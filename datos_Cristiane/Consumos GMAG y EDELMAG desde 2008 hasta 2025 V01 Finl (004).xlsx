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martin\AppData\Local\Microsoft\Windows\INetCache\Content.Outlook\QT13R607\"/>
    </mc:Choice>
  </mc:AlternateContent>
  <xr:revisionPtr revIDLastSave="0" documentId="8_{04229D38-1B15-43EF-AE72-45BBFC26928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OTAL GMAG " sheetId="1" r:id="rId1"/>
    <sheet name="TOTAL EDELMAG " sheetId="4" r:id="rId2"/>
  </sheets>
  <definedNames>
    <definedName name="_Key1" localSheetId="1" hidden="1">#REF!</definedName>
    <definedName name="_Key1" hidden="1">#REF!</definedName>
    <definedName name="_Order1" hidden="1">0</definedName>
    <definedName name="_Order2" hidden="1">255</definedName>
    <definedName name="_Sort" localSheetId="1" hidden="1">#REF!</definedName>
    <definedName name="_Sort" hidden="1">#REF!</definedName>
    <definedName name="_xlnm.Print_Area" localSheetId="0">'TOTAL GMAG '!#REF!</definedName>
    <definedName name="FACTOR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R18" i="1" l="1"/>
  <c r="AT18" i="1"/>
  <c r="AR19" i="1"/>
  <c r="AT19" i="1"/>
  <c r="AR20" i="1"/>
  <c r="AT20" i="1"/>
  <c r="AR21" i="1"/>
  <c r="AT21" i="1"/>
  <c r="AR22" i="1"/>
  <c r="AT22" i="1"/>
  <c r="AQ22" i="1"/>
  <c r="AQ21" i="1"/>
  <c r="AQ20" i="1"/>
  <c r="AQ19" i="1"/>
  <c r="AQ18" i="1" l="1"/>
  <c r="AJ18" i="1"/>
  <c r="AL18" i="1"/>
  <c r="BC394" i="1"/>
  <c r="BD394" i="1" s="1"/>
  <c r="BC393" i="1"/>
  <c r="BD393" i="1" s="1"/>
  <c r="BC392" i="1"/>
  <c r="BD392" i="1" s="1"/>
  <c r="BC391" i="1"/>
  <c r="BD391" i="1" s="1"/>
  <c r="BC390" i="1"/>
  <c r="BD390" i="1" s="1"/>
  <c r="BC389" i="1"/>
  <c r="BD389" i="1" s="1"/>
  <c r="BC388" i="1"/>
  <c r="BD388" i="1" s="1"/>
  <c r="BC387" i="1"/>
  <c r="BD387" i="1" s="1"/>
  <c r="BC386" i="1"/>
  <c r="BD386" i="1" s="1"/>
  <c r="BC385" i="1"/>
  <c r="BD385" i="1" s="1"/>
  <c r="BC384" i="1"/>
  <c r="BD384" i="1" s="1"/>
  <c r="BC383" i="1"/>
  <c r="BD383" i="1" s="1"/>
  <c r="BC382" i="1"/>
  <c r="BD382" i="1" s="1"/>
  <c r="BC381" i="1"/>
  <c r="BD381" i="1" s="1"/>
  <c r="BC380" i="1"/>
  <c r="BD380" i="1" s="1"/>
  <c r="BC379" i="1"/>
  <c r="BD379" i="1" s="1"/>
  <c r="BC378" i="1"/>
  <c r="BD378" i="1" s="1"/>
  <c r="BC377" i="1"/>
  <c r="BD377" i="1" s="1"/>
  <c r="BC376" i="1"/>
  <c r="BD376" i="1" s="1"/>
  <c r="BC375" i="1"/>
  <c r="BD375" i="1" s="1"/>
  <c r="BC374" i="1"/>
  <c r="BD374" i="1" s="1"/>
  <c r="BC373" i="1"/>
  <c r="BD373" i="1" s="1"/>
  <c r="BC372" i="1"/>
  <c r="BD372" i="1" s="1"/>
  <c r="BC371" i="1"/>
  <c r="BD371" i="1" s="1"/>
  <c r="BC370" i="1"/>
  <c r="BD370" i="1" s="1"/>
  <c r="BC369" i="1"/>
  <c r="BD369" i="1" s="1"/>
  <c r="BC368" i="1"/>
  <c r="BD368" i="1" s="1"/>
  <c r="BC367" i="1"/>
  <c r="BD367" i="1" s="1"/>
  <c r="BC366" i="1"/>
  <c r="BD366" i="1" s="1"/>
  <c r="BC365" i="1"/>
  <c r="BD365" i="1" s="1"/>
  <c r="BC364" i="1"/>
  <c r="BD364" i="1" s="1"/>
  <c r="BC363" i="1"/>
  <c r="BD363" i="1" s="1"/>
  <c r="BC362" i="1"/>
  <c r="BD362" i="1" s="1"/>
  <c r="BC361" i="1"/>
  <c r="BD361" i="1" s="1"/>
  <c r="BC360" i="1"/>
  <c r="BD360" i="1" s="1"/>
  <c r="BC359" i="1"/>
  <c r="BD359" i="1" s="1"/>
  <c r="BC358" i="1"/>
  <c r="BD358" i="1" s="1"/>
  <c r="BC357" i="1"/>
  <c r="BD357" i="1" s="1"/>
  <c r="BC356" i="1"/>
  <c r="BD356" i="1" s="1"/>
  <c r="BC355" i="1"/>
  <c r="BD355" i="1" s="1"/>
  <c r="BC354" i="1"/>
  <c r="BD354" i="1" s="1"/>
  <c r="BC353" i="1"/>
  <c r="BD353" i="1" s="1"/>
  <c r="BC352" i="1"/>
  <c r="BD352" i="1" s="1"/>
  <c r="BC351" i="1"/>
  <c r="BD351" i="1" s="1"/>
  <c r="BC350" i="1"/>
  <c r="BD350" i="1" s="1"/>
  <c r="BC349" i="1"/>
  <c r="BD349" i="1" s="1"/>
  <c r="BC348" i="1"/>
  <c r="BD348" i="1" s="1"/>
  <c r="BC347" i="1"/>
  <c r="BD347" i="1" s="1"/>
  <c r="BC346" i="1"/>
  <c r="BD346" i="1" s="1"/>
  <c r="BC345" i="1"/>
  <c r="BD345" i="1" s="1"/>
  <c r="BC344" i="1"/>
  <c r="BD344" i="1" s="1"/>
  <c r="BC343" i="1"/>
  <c r="BD343" i="1" s="1"/>
  <c r="BC342" i="1"/>
  <c r="BD342" i="1" s="1"/>
  <c r="BC341" i="1"/>
  <c r="BD341" i="1" s="1"/>
  <c r="BC340" i="1"/>
  <c r="BD340" i="1" s="1"/>
  <c r="BC339" i="1"/>
  <c r="BD339" i="1" s="1"/>
  <c r="BC338" i="1"/>
  <c r="BD338" i="1" s="1"/>
  <c r="BC337" i="1"/>
  <c r="BD337" i="1" s="1"/>
  <c r="BC336" i="1"/>
  <c r="BD336" i="1" s="1"/>
  <c r="BC335" i="1"/>
  <c r="BD335" i="1" s="1"/>
  <c r="BC334" i="1"/>
  <c r="BD334" i="1" s="1"/>
  <c r="BC333" i="1"/>
  <c r="BD333" i="1" s="1"/>
  <c r="BC332" i="1"/>
  <c r="BD332" i="1" s="1"/>
  <c r="BC331" i="1"/>
  <c r="BD331" i="1" s="1"/>
  <c r="BC330" i="1"/>
  <c r="BD330" i="1" s="1"/>
  <c r="BC329" i="1"/>
  <c r="BD329" i="1" s="1"/>
  <c r="BC328" i="1"/>
  <c r="BD328" i="1" s="1"/>
  <c r="BC327" i="1"/>
  <c r="BD327" i="1" s="1"/>
  <c r="BC326" i="1"/>
  <c r="BD326" i="1" s="1"/>
  <c r="BC325" i="1"/>
  <c r="BD325" i="1" s="1"/>
  <c r="BC324" i="1"/>
  <c r="BD324" i="1" s="1"/>
  <c r="BC323" i="1"/>
  <c r="BD323" i="1" s="1"/>
  <c r="BC322" i="1"/>
  <c r="BD322" i="1" s="1"/>
  <c r="BC321" i="1"/>
  <c r="BD321" i="1" s="1"/>
  <c r="BC320" i="1"/>
  <c r="BD320" i="1" s="1"/>
  <c r="BC319" i="1"/>
  <c r="BD319" i="1" s="1"/>
  <c r="BC318" i="1"/>
  <c r="BD318" i="1" s="1"/>
  <c r="BC317" i="1"/>
  <c r="BD317" i="1" s="1"/>
  <c r="BC316" i="1"/>
  <c r="BD316" i="1" s="1"/>
  <c r="BC315" i="1"/>
  <c r="BD315" i="1" s="1"/>
  <c r="BC314" i="1"/>
  <c r="BD314" i="1" s="1"/>
  <c r="BC313" i="1"/>
  <c r="BD313" i="1" s="1"/>
  <c r="BC312" i="1"/>
  <c r="BD312" i="1" s="1"/>
  <c r="BC311" i="1"/>
  <c r="BD311" i="1" s="1"/>
  <c r="BC310" i="1"/>
  <c r="BD310" i="1" s="1"/>
  <c r="BC309" i="1"/>
  <c r="BD309" i="1" s="1"/>
  <c r="BC308" i="1"/>
  <c r="BD308" i="1" s="1"/>
  <c r="BC307" i="1"/>
  <c r="BD307" i="1" s="1"/>
  <c r="BC306" i="1"/>
  <c r="BD306" i="1" s="1"/>
  <c r="BC305" i="1"/>
  <c r="BD305" i="1" s="1"/>
  <c r="BC304" i="1"/>
  <c r="BD304" i="1" s="1"/>
  <c r="BC303" i="1"/>
  <c r="BD303" i="1" s="1"/>
  <c r="BC302" i="1"/>
  <c r="BD302" i="1" s="1"/>
  <c r="BC301" i="1"/>
  <c r="BD301" i="1" s="1"/>
  <c r="BC300" i="1"/>
  <c r="BD300" i="1" s="1"/>
  <c r="BC299" i="1"/>
  <c r="BD299" i="1" s="1"/>
  <c r="BC298" i="1"/>
  <c r="BD298" i="1" s="1"/>
  <c r="BC297" i="1"/>
  <c r="BD297" i="1" s="1"/>
  <c r="BC296" i="1"/>
  <c r="BD296" i="1" s="1"/>
  <c r="BC295" i="1"/>
  <c r="BD295" i="1" s="1"/>
  <c r="BC294" i="1"/>
  <c r="BD294" i="1" s="1"/>
  <c r="BC293" i="1"/>
  <c r="BD293" i="1" s="1"/>
  <c r="BC292" i="1"/>
  <c r="BD292" i="1" s="1"/>
  <c r="BC291" i="1"/>
  <c r="BD291" i="1" s="1"/>
  <c r="BC290" i="1"/>
  <c r="BD290" i="1" s="1"/>
  <c r="BC289" i="1"/>
  <c r="BD289" i="1" s="1"/>
  <c r="BC288" i="1"/>
  <c r="BD288" i="1" s="1"/>
  <c r="BC287" i="1"/>
  <c r="BD287" i="1" s="1"/>
  <c r="BC286" i="1"/>
  <c r="BD286" i="1" s="1"/>
  <c r="BC285" i="1"/>
  <c r="BD285" i="1" s="1"/>
  <c r="BC284" i="1"/>
  <c r="BD284" i="1" s="1"/>
  <c r="BC283" i="1"/>
  <c r="BD283" i="1" s="1"/>
  <c r="BC282" i="1"/>
  <c r="BD282" i="1" s="1"/>
  <c r="BC281" i="1"/>
  <c r="BD281" i="1" s="1"/>
  <c r="BC280" i="1"/>
  <c r="BD280" i="1" s="1"/>
  <c r="BC279" i="1"/>
  <c r="BD279" i="1" s="1"/>
  <c r="BC278" i="1"/>
  <c r="BD278" i="1" s="1"/>
  <c r="BC277" i="1"/>
  <c r="BD277" i="1" s="1"/>
  <c r="BC276" i="1"/>
  <c r="BD276" i="1" s="1"/>
  <c r="BC275" i="1"/>
  <c r="BD275" i="1" s="1"/>
  <c r="BC274" i="1"/>
  <c r="BD274" i="1" s="1"/>
  <c r="BC273" i="1"/>
  <c r="BD273" i="1" s="1"/>
  <c r="BC272" i="1"/>
  <c r="BD272" i="1" s="1"/>
  <c r="BC271" i="1"/>
  <c r="BD271" i="1" s="1"/>
  <c r="BC270" i="1"/>
  <c r="BD270" i="1" s="1"/>
  <c r="BC269" i="1"/>
  <c r="BD269" i="1" s="1"/>
  <c r="BC268" i="1"/>
  <c r="BD268" i="1" s="1"/>
  <c r="BC267" i="1"/>
  <c r="BD267" i="1" s="1"/>
  <c r="BC266" i="1"/>
  <c r="BD266" i="1" s="1"/>
  <c r="BC265" i="1"/>
  <c r="BD265" i="1" s="1"/>
  <c r="BC264" i="1"/>
  <c r="BD264" i="1" s="1"/>
  <c r="BC263" i="1"/>
  <c r="BD263" i="1" s="1"/>
  <c r="BC262" i="1"/>
  <c r="BD262" i="1" s="1"/>
  <c r="BC261" i="1"/>
  <c r="BD261" i="1" s="1"/>
  <c r="BC260" i="1"/>
  <c r="BD260" i="1" s="1"/>
  <c r="BC259" i="1"/>
  <c r="BD259" i="1" s="1"/>
  <c r="BC258" i="1"/>
  <c r="BD258" i="1" s="1"/>
  <c r="BC257" i="1"/>
  <c r="BD257" i="1" s="1"/>
  <c r="BC256" i="1"/>
  <c r="BD256" i="1" s="1"/>
  <c r="BC255" i="1"/>
  <c r="BD255" i="1" s="1"/>
  <c r="BC254" i="1"/>
  <c r="BD254" i="1" s="1"/>
  <c r="BC253" i="1"/>
  <c r="BD253" i="1" s="1"/>
  <c r="BC252" i="1"/>
  <c r="BD252" i="1" s="1"/>
  <c r="BC251" i="1"/>
  <c r="BD251" i="1" s="1"/>
  <c r="BC250" i="1"/>
  <c r="BD250" i="1" s="1"/>
  <c r="BC249" i="1"/>
  <c r="BD249" i="1" s="1"/>
  <c r="BC248" i="1"/>
  <c r="BD248" i="1" s="1"/>
  <c r="BC247" i="1"/>
  <c r="BD247" i="1" s="1"/>
  <c r="BC246" i="1"/>
  <c r="BD246" i="1" s="1"/>
  <c r="BC245" i="1"/>
  <c r="BD245" i="1" s="1"/>
  <c r="BC244" i="1"/>
  <c r="BD244" i="1" s="1"/>
  <c r="BC243" i="1"/>
  <c r="BD243" i="1" s="1"/>
  <c r="BC242" i="1"/>
  <c r="BD242" i="1" s="1"/>
  <c r="BC241" i="1"/>
  <c r="BD241" i="1" s="1"/>
  <c r="BC240" i="1"/>
  <c r="BD240" i="1" s="1"/>
  <c r="BC239" i="1"/>
  <c r="BD239" i="1" s="1"/>
  <c r="BC238" i="1"/>
  <c r="BD238" i="1" s="1"/>
  <c r="BC237" i="1"/>
  <c r="BD237" i="1" s="1"/>
  <c r="BC236" i="1"/>
  <c r="BD236" i="1" s="1"/>
  <c r="BC235" i="1"/>
  <c r="BD235" i="1" s="1"/>
  <c r="BC234" i="1"/>
  <c r="BD234" i="1" s="1"/>
  <c r="BC233" i="1"/>
  <c r="BD233" i="1" s="1"/>
  <c r="BC232" i="1"/>
  <c r="BD232" i="1" s="1"/>
  <c r="BC231" i="1"/>
  <c r="BD231" i="1" s="1"/>
  <c r="BC230" i="1"/>
  <c r="BD230" i="1" s="1"/>
  <c r="BC229" i="1"/>
  <c r="BD229" i="1" s="1"/>
  <c r="BC228" i="1"/>
  <c r="BD228" i="1" s="1"/>
  <c r="BC227" i="1"/>
  <c r="BD227" i="1" s="1"/>
  <c r="BC226" i="1"/>
  <c r="BD226" i="1" s="1"/>
  <c r="BC225" i="1"/>
  <c r="BD225" i="1" s="1"/>
  <c r="BC224" i="1"/>
  <c r="BD224" i="1" s="1"/>
  <c r="BC223" i="1"/>
  <c r="BD223" i="1" s="1"/>
  <c r="BC222" i="1"/>
  <c r="BD222" i="1" s="1"/>
  <c r="BC221" i="1"/>
  <c r="BD221" i="1" s="1"/>
  <c r="BC220" i="1"/>
  <c r="BD220" i="1" s="1"/>
  <c r="BC219" i="1"/>
  <c r="BD219" i="1" s="1"/>
  <c r="BC218" i="1"/>
  <c r="BD218" i="1" s="1"/>
  <c r="BC217" i="1"/>
  <c r="BD217" i="1" s="1"/>
  <c r="BC216" i="1"/>
  <c r="BD216" i="1" s="1"/>
  <c r="BC215" i="1"/>
  <c r="BD215" i="1" s="1"/>
  <c r="BC214" i="1"/>
  <c r="BD214" i="1" s="1"/>
  <c r="BC213" i="1"/>
  <c r="BD213" i="1" s="1"/>
  <c r="BC212" i="1"/>
  <c r="BD212" i="1" s="1"/>
  <c r="BC211" i="1"/>
  <c r="BD211" i="1" s="1"/>
  <c r="BC210" i="1"/>
  <c r="BD210" i="1" s="1"/>
  <c r="BC209" i="1"/>
  <c r="BD209" i="1" s="1"/>
  <c r="BC208" i="1"/>
  <c r="BD208" i="1" s="1"/>
  <c r="BC207" i="1"/>
  <c r="BD207" i="1" s="1"/>
  <c r="BC206" i="1"/>
  <c r="BD206" i="1" s="1"/>
  <c r="BC205" i="1"/>
  <c r="BD205" i="1" s="1"/>
  <c r="BC204" i="1"/>
  <c r="BD204" i="1" s="1"/>
  <c r="BC203" i="1"/>
  <c r="BD203" i="1" s="1"/>
  <c r="BC202" i="1"/>
  <c r="BD202" i="1" s="1"/>
  <c r="BC201" i="1"/>
  <c r="BD201" i="1" s="1"/>
  <c r="BC200" i="1"/>
  <c r="BD200" i="1" s="1"/>
  <c r="BC199" i="1"/>
  <c r="BD199" i="1" s="1"/>
  <c r="BC198" i="1"/>
  <c r="BD198" i="1" s="1"/>
  <c r="BC197" i="1"/>
  <c r="BD197" i="1" s="1"/>
  <c r="BC196" i="1"/>
  <c r="BD196" i="1" s="1"/>
  <c r="BC195" i="1"/>
  <c r="BD195" i="1" s="1"/>
  <c r="BC194" i="1"/>
  <c r="BD194" i="1" s="1"/>
  <c r="BC193" i="1"/>
  <c r="BD193" i="1" s="1"/>
  <c r="BC192" i="1"/>
  <c r="BD192" i="1" s="1"/>
  <c r="BC191" i="1"/>
  <c r="BD191" i="1" s="1"/>
  <c r="BC190" i="1"/>
  <c r="BD190" i="1" s="1"/>
  <c r="BC189" i="1"/>
  <c r="BD189" i="1" s="1"/>
  <c r="BC188" i="1"/>
  <c r="BD188" i="1" s="1"/>
  <c r="BC187" i="1"/>
  <c r="BD187" i="1" s="1"/>
  <c r="BC186" i="1"/>
  <c r="BD186" i="1" s="1"/>
  <c r="BC185" i="1"/>
  <c r="BD185" i="1" s="1"/>
  <c r="BC184" i="1"/>
  <c r="BD184" i="1" s="1"/>
  <c r="BC183" i="1"/>
  <c r="BD183" i="1" s="1"/>
  <c r="BC182" i="1"/>
  <c r="BD182" i="1" s="1"/>
  <c r="BC181" i="1"/>
  <c r="BD181" i="1" s="1"/>
  <c r="BC180" i="1"/>
  <c r="BD180" i="1" s="1"/>
  <c r="BC179" i="1"/>
  <c r="BD179" i="1" s="1"/>
  <c r="BC178" i="1"/>
  <c r="BD178" i="1" s="1"/>
  <c r="BC177" i="1"/>
  <c r="BD177" i="1" s="1"/>
  <c r="BC176" i="1"/>
  <c r="BD176" i="1" s="1"/>
  <c r="BC175" i="1"/>
  <c r="BD175" i="1" s="1"/>
  <c r="BC174" i="1"/>
  <c r="BD174" i="1" s="1"/>
  <c r="BC173" i="1"/>
  <c r="BD173" i="1" s="1"/>
  <c r="BC172" i="1"/>
  <c r="BD172" i="1" s="1"/>
  <c r="BC171" i="1"/>
  <c r="BD171" i="1" s="1"/>
  <c r="BC170" i="1"/>
  <c r="BD170" i="1" s="1"/>
  <c r="BC169" i="1"/>
  <c r="BD169" i="1" s="1"/>
  <c r="BC168" i="1"/>
  <c r="BD168" i="1" s="1"/>
  <c r="BC167" i="1"/>
  <c r="BD167" i="1" s="1"/>
  <c r="BC166" i="1"/>
  <c r="BD166" i="1" s="1"/>
  <c r="BC165" i="1"/>
  <c r="BD165" i="1" s="1"/>
  <c r="BC164" i="1"/>
  <c r="BD164" i="1" s="1"/>
  <c r="BC163" i="1"/>
  <c r="BD163" i="1" s="1"/>
  <c r="BC162" i="1"/>
  <c r="BD162" i="1" s="1"/>
  <c r="BC161" i="1"/>
  <c r="BD161" i="1" s="1"/>
  <c r="BC160" i="1"/>
  <c r="BD160" i="1" s="1"/>
  <c r="BC159" i="1"/>
  <c r="BD159" i="1" s="1"/>
  <c r="BC158" i="1"/>
  <c r="BD158" i="1" s="1"/>
  <c r="BC157" i="1"/>
  <c r="BD157" i="1" s="1"/>
  <c r="BC156" i="1"/>
  <c r="BD156" i="1" s="1"/>
  <c r="BC155" i="1"/>
  <c r="BD155" i="1" s="1"/>
  <c r="BC154" i="1"/>
  <c r="BD154" i="1" s="1"/>
  <c r="BC153" i="1"/>
  <c r="BD153" i="1" s="1"/>
  <c r="BC152" i="1"/>
  <c r="BD152" i="1" s="1"/>
  <c r="BC151" i="1"/>
  <c r="BD151" i="1" s="1"/>
  <c r="BC150" i="1"/>
  <c r="BD150" i="1" s="1"/>
  <c r="BC149" i="1"/>
  <c r="BD149" i="1" s="1"/>
  <c r="BC148" i="1"/>
  <c r="BD148" i="1" s="1"/>
  <c r="BC147" i="1"/>
  <c r="BD147" i="1" s="1"/>
  <c r="BC146" i="1"/>
  <c r="BD146" i="1" s="1"/>
  <c r="BC145" i="1"/>
  <c r="BD145" i="1" s="1"/>
  <c r="BC144" i="1"/>
  <c r="BD144" i="1" s="1"/>
  <c r="BC143" i="1"/>
  <c r="BD143" i="1" s="1"/>
  <c r="BC142" i="1"/>
  <c r="BD142" i="1" s="1"/>
  <c r="BC141" i="1"/>
  <c r="BD141" i="1" s="1"/>
  <c r="BC140" i="1"/>
  <c r="BD140" i="1" s="1"/>
  <c r="BC139" i="1"/>
  <c r="BD139" i="1" s="1"/>
  <c r="BC138" i="1"/>
  <c r="BD138" i="1" s="1"/>
  <c r="BC137" i="1"/>
  <c r="BD137" i="1" s="1"/>
  <c r="BC136" i="1"/>
  <c r="BD136" i="1" s="1"/>
  <c r="BC135" i="1"/>
  <c r="BD135" i="1" s="1"/>
  <c r="BC134" i="1"/>
  <c r="BD134" i="1" s="1"/>
  <c r="BC133" i="1"/>
  <c r="BD133" i="1" s="1"/>
  <c r="BC132" i="1"/>
  <c r="BD132" i="1" s="1"/>
  <c r="BC131" i="1"/>
  <c r="BD131" i="1" s="1"/>
  <c r="BC130" i="1"/>
  <c r="BD130" i="1" s="1"/>
  <c r="BC129" i="1"/>
  <c r="BD129" i="1" s="1"/>
  <c r="BC128" i="1"/>
  <c r="BD128" i="1" s="1"/>
  <c r="BC127" i="1"/>
  <c r="BD127" i="1" s="1"/>
  <c r="BC126" i="1"/>
  <c r="BD126" i="1" s="1"/>
  <c r="BC125" i="1"/>
  <c r="BD125" i="1" s="1"/>
  <c r="BC124" i="1"/>
  <c r="BD124" i="1" s="1"/>
  <c r="BC123" i="1"/>
  <c r="BD123" i="1" s="1"/>
  <c r="BC122" i="1"/>
  <c r="BD122" i="1" s="1"/>
  <c r="BC121" i="1"/>
  <c r="BD121" i="1" s="1"/>
  <c r="BC120" i="1"/>
  <c r="BD120" i="1" s="1"/>
  <c r="BC119" i="1"/>
  <c r="BD119" i="1" s="1"/>
  <c r="BC118" i="1"/>
  <c r="BD118" i="1" s="1"/>
  <c r="BC117" i="1"/>
  <c r="BD117" i="1" s="1"/>
  <c r="BC116" i="1"/>
  <c r="BD116" i="1" s="1"/>
  <c r="BC115" i="1"/>
  <c r="BD115" i="1" s="1"/>
  <c r="BC114" i="1"/>
  <c r="BD114" i="1" s="1"/>
  <c r="BC113" i="1"/>
  <c r="BD113" i="1" s="1"/>
  <c r="BC112" i="1"/>
  <c r="BD112" i="1" s="1"/>
  <c r="BC111" i="1"/>
  <c r="BD111" i="1" s="1"/>
  <c r="BC110" i="1"/>
  <c r="BD110" i="1" s="1"/>
  <c r="BC109" i="1"/>
  <c r="BD109" i="1" s="1"/>
  <c r="BC108" i="1"/>
  <c r="BD108" i="1" s="1"/>
  <c r="BC107" i="1"/>
  <c r="BD107" i="1" s="1"/>
  <c r="BC106" i="1"/>
  <c r="BD106" i="1" s="1"/>
  <c r="BC105" i="1"/>
  <c r="BD105" i="1" s="1"/>
  <c r="BC104" i="1"/>
  <c r="BD104" i="1" s="1"/>
  <c r="BC103" i="1"/>
  <c r="BD103" i="1" s="1"/>
  <c r="BC102" i="1"/>
  <c r="BD102" i="1" s="1"/>
  <c r="BC101" i="1"/>
  <c r="BD101" i="1" s="1"/>
  <c r="BC100" i="1"/>
  <c r="BD100" i="1" s="1"/>
  <c r="BC99" i="1"/>
  <c r="BD99" i="1" s="1"/>
  <c r="BC98" i="1"/>
  <c r="BD98" i="1" s="1"/>
  <c r="BC97" i="1"/>
  <c r="BD97" i="1" s="1"/>
  <c r="BC96" i="1"/>
  <c r="BD96" i="1" s="1"/>
  <c r="BC95" i="1"/>
  <c r="BD95" i="1" s="1"/>
  <c r="BC94" i="1"/>
  <c r="BD94" i="1" s="1"/>
  <c r="BC93" i="1"/>
  <c r="BD93" i="1" s="1"/>
  <c r="BC92" i="1"/>
  <c r="BD92" i="1" s="1"/>
  <c r="BC91" i="1"/>
  <c r="BD91" i="1" s="1"/>
  <c r="BC90" i="1"/>
  <c r="BD90" i="1" s="1"/>
  <c r="BC89" i="1"/>
  <c r="BD89" i="1" s="1"/>
  <c r="BC88" i="1"/>
  <c r="BD88" i="1" s="1"/>
  <c r="BC87" i="1"/>
  <c r="BD87" i="1" s="1"/>
  <c r="BC86" i="1"/>
  <c r="BD86" i="1" s="1"/>
  <c r="BC85" i="1"/>
  <c r="BD85" i="1" s="1"/>
  <c r="BC84" i="1"/>
  <c r="BD84" i="1" s="1"/>
  <c r="BC83" i="1"/>
  <c r="BD83" i="1" s="1"/>
  <c r="BC82" i="1"/>
  <c r="BD82" i="1" s="1"/>
  <c r="BC81" i="1"/>
  <c r="BD81" i="1" s="1"/>
  <c r="BC80" i="1"/>
  <c r="BD80" i="1" s="1"/>
  <c r="BC79" i="1"/>
  <c r="BD79" i="1" s="1"/>
  <c r="BC78" i="1"/>
  <c r="BD78" i="1" s="1"/>
  <c r="BC77" i="1"/>
  <c r="BD77" i="1" s="1"/>
  <c r="BC76" i="1"/>
  <c r="BD76" i="1" s="1"/>
  <c r="BC75" i="1"/>
  <c r="BD75" i="1" s="1"/>
  <c r="BC74" i="1"/>
  <c r="BD74" i="1" s="1"/>
  <c r="BC73" i="1"/>
  <c r="BD73" i="1" s="1"/>
  <c r="BC72" i="1"/>
  <c r="BD72" i="1" s="1"/>
  <c r="BC71" i="1"/>
  <c r="BD71" i="1" s="1"/>
  <c r="BC70" i="1"/>
  <c r="BD70" i="1" s="1"/>
  <c r="BC69" i="1"/>
  <c r="BD69" i="1" s="1"/>
  <c r="BC68" i="1"/>
  <c r="BD68" i="1" s="1"/>
  <c r="BC67" i="1"/>
  <c r="BD67" i="1" s="1"/>
  <c r="BC66" i="1"/>
  <c r="BD66" i="1" s="1"/>
  <c r="BC65" i="1"/>
  <c r="BD65" i="1" s="1"/>
  <c r="BC64" i="1"/>
  <c r="BD64" i="1" s="1"/>
  <c r="BC63" i="1"/>
  <c r="BD63" i="1" s="1"/>
  <c r="BC62" i="1"/>
  <c r="BD62" i="1" s="1"/>
  <c r="BC61" i="1"/>
  <c r="BD61" i="1" s="1"/>
  <c r="BC60" i="1"/>
  <c r="BD60" i="1" s="1"/>
  <c r="BC59" i="1"/>
  <c r="BD59" i="1" s="1"/>
  <c r="BC58" i="1"/>
  <c r="BD58" i="1" s="1"/>
  <c r="BC57" i="1"/>
  <c r="BD57" i="1" s="1"/>
  <c r="BC56" i="1"/>
  <c r="BD56" i="1" s="1"/>
  <c r="BC55" i="1"/>
  <c r="BD55" i="1" s="1"/>
  <c r="BC54" i="1"/>
  <c r="BD54" i="1" s="1"/>
  <c r="BC53" i="1"/>
  <c r="BD53" i="1" s="1"/>
  <c r="BC52" i="1"/>
  <c r="BD52" i="1" s="1"/>
  <c r="BC51" i="1"/>
  <c r="BD51" i="1" s="1"/>
  <c r="BC50" i="1"/>
  <c r="BD50" i="1" s="1"/>
  <c r="BC49" i="1"/>
  <c r="BD49" i="1" s="1"/>
  <c r="BC48" i="1"/>
  <c r="BD48" i="1" s="1"/>
  <c r="BC47" i="1"/>
  <c r="BD47" i="1" s="1"/>
  <c r="BC46" i="1"/>
  <c r="BD46" i="1" s="1"/>
  <c r="BC45" i="1"/>
  <c r="BD45" i="1" s="1"/>
  <c r="BC44" i="1"/>
  <c r="BD44" i="1" s="1"/>
  <c r="BC43" i="1"/>
  <c r="BD43" i="1" s="1"/>
  <c r="BC42" i="1"/>
  <c r="BD42" i="1" s="1"/>
  <c r="BC41" i="1"/>
  <c r="BD41" i="1" s="1"/>
  <c r="BC40" i="1"/>
  <c r="BD40" i="1" s="1"/>
  <c r="BC39" i="1"/>
  <c r="BD39" i="1" s="1"/>
  <c r="BC38" i="1"/>
  <c r="BD38" i="1" s="1"/>
  <c r="BC37" i="1"/>
  <c r="BD37" i="1" s="1"/>
  <c r="BC36" i="1"/>
  <c r="BD36" i="1" s="1"/>
  <c r="BC35" i="1"/>
  <c r="BD35" i="1" s="1"/>
  <c r="BC34" i="1"/>
  <c r="BD34" i="1" s="1"/>
  <c r="BC33" i="1"/>
  <c r="BD33" i="1" s="1"/>
  <c r="BC32" i="1"/>
  <c r="BD32" i="1" s="1"/>
  <c r="BC31" i="1"/>
  <c r="BD31" i="1" s="1"/>
  <c r="AX31" i="1"/>
  <c r="AX32" i="1" s="1"/>
  <c r="AX33" i="1" s="1"/>
  <c r="AX34" i="1" s="1"/>
  <c r="AX35" i="1" s="1"/>
  <c r="AX36" i="1" s="1"/>
  <c r="BC30" i="1"/>
  <c r="BD30" i="1" s="1"/>
  <c r="BB22" i="1"/>
  <c r="AZ22" i="1"/>
  <c r="AY22" i="1"/>
  <c r="BB21" i="1"/>
  <c r="AZ21" i="1"/>
  <c r="AY21" i="1"/>
  <c r="BB20" i="1"/>
  <c r="AZ20" i="1"/>
  <c r="AY20" i="1"/>
  <c r="BB19" i="1"/>
  <c r="AZ19" i="1"/>
  <c r="AY19" i="1"/>
  <c r="BB18" i="1"/>
  <c r="AZ18" i="1"/>
  <c r="AY18" i="1"/>
  <c r="BB16" i="1"/>
  <c r="AZ16" i="1"/>
  <c r="AY16" i="1"/>
  <c r="BB15" i="1"/>
  <c r="AZ15" i="1"/>
  <c r="AY15" i="1"/>
  <c r="BB14" i="1"/>
  <c r="AZ14" i="1"/>
  <c r="AY14" i="1"/>
  <c r="BB12" i="1"/>
  <c r="AZ12" i="1"/>
  <c r="AY12" i="1"/>
  <c r="BB11" i="1"/>
  <c r="AZ11" i="1"/>
  <c r="AY11" i="1"/>
  <c r="BB10" i="1"/>
  <c r="AZ10" i="1"/>
  <c r="AY10" i="1"/>
  <c r="BB7" i="1"/>
  <c r="AZ7" i="1"/>
  <c r="AY7" i="1"/>
  <c r="BB6" i="1"/>
  <c r="AZ6" i="1"/>
  <c r="AY6" i="1"/>
  <c r="BB5" i="1"/>
  <c r="AZ5" i="1"/>
  <c r="AY5" i="1"/>
  <c r="AU394" i="1"/>
  <c r="AV394" i="1" s="1"/>
  <c r="AU395" i="1"/>
  <c r="AV395" i="1" s="1"/>
  <c r="AU393" i="1"/>
  <c r="AV393" i="1" s="1"/>
  <c r="AU392" i="1"/>
  <c r="AV392" i="1" s="1"/>
  <c r="AU391" i="1"/>
  <c r="AV391" i="1" s="1"/>
  <c r="AU390" i="1"/>
  <c r="AV390" i="1" s="1"/>
  <c r="AU389" i="1"/>
  <c r="AV389" i="1" s="1"/>
  <c r="AU388" i="1"/>
  <c r="AV388" i="1" s="1"/>
  <c r="AU387" i="1"/>
  <c r="AV387" i="1" s="1"/>
  <c r="AU386" i="1"/>
  <c r="AV386" i="1" s="1"/>
  <c r="AU385" i="1"/>
  <c r="AV385" i="1" s="1"/>
  <c r="AU384" i="1"/>
  <c r="AV384" i="1" s="1"/>
  <c r="AU383" i="1"/>
  <c r="AV383" i="1" s="1"/>
  <c r="AU382" i="1"/>
  <c r="AV382" i="1" s="1"/>
  <c r="AU381" i="1"/>
  <c r="AV381" i="1" s="1"/>
  <c r="AU380" i="1"/>
  <c r="AV380" i="1" s="1"/>
  <c r="AU379" i="1"/>
  <c r="AV379" i="1" s="1"/>
  <c r="AU378" i="1"/>
  <c r="AV378" i="1" s="1"/>
  <c r="AU377" i="1"/>
  <c r="AV377" i="1" s="1"/>
  <c r="AU376" i="1"/>
  <c r="AV376" i="1" s="1"/>
  <c r="AU375" i="1"/>
  <c r="AV375" i="1" s="1"/>
  <c r="AU374" i="1"/>
  <c r="AV374" i="1" s="1"/>
  <c r="AU373" i="1"/>
  <c r="AV373" i="1" s="1"/>
  <c r="AU372" i="1"/>
  <c r="AV372" i="1" s="1"/>
  <c r="AU371" i="1"/>
  <c r="AV371" i="1" s="1"/>
  <c r="AU370" i="1"/>
  <c r="AV370" i="1" s="1"/>
  <c r="AU369" i="1"/>
  <c r="AV369" i="1" s="1"/>
  <c r="AU368" i="1"/>
  <c r="AV368" i="1" s="1"/>
  <c r="AU367" i="1"/>
  <c r="AV367" i="1" s="1"/>
  <c r="AU366" i="1"/>
  <c r="AV366" i="1" s="1"/>
  <c r="AU365" i="1"/>
  <c r="AV365" i="1" s="1"/>
  <c r="AU364" i="1"/>
  <c r="AV364" i="1" s="1"/>
  <c r="AU363" i="1"/>
  <c r="AV363" i="1" s="1"/>
  <c r="AU362" i="1"/>
  <c r="AV362" i="1" s="1"/>
  <c r="AU361" i="1"/>
  <c r="AV361" i="1" s="1"/>
  <c r="AU360" i="1"/>
  <c r="AV360" i="1" s="1"/>
  <c r="AU359" i="1"/>
  <c r="AV359" i="1" s="1"/>
  <c r="AU358" i="1"/>
  <c r="AV358" i="1" s="1"/>
  <c r="AU357" i="1"/>
  <c r="AV357" i="1" s="1"/>
  <c r="AU356" i="1"/>
  <c r="AV356" i="1" s="1"/>
  <c r="AU355" i="1"/>
  <c r="AV355" i="1" s="1"/>
  <c r="AU354" i="1"/>
  <c r="AV354" i="1" s="1"/>
  <c r="AU353" i="1"/>
  <c r="AV353" i="1" s="1"/>
  <c r="AU352" i="1"/>
  <c r="AV352" i="1" s="1"/>
  <c r="AU351" i="1"/>
  <c r="AV351" i="1" s="1"/>
  <c r="AU350" i="1"/>
  <c r="AV350" i="1" s="1"/>
  <c r="AU349" i="1"/>
  <c r="AV349" i="1" s="1"/>
  <c r="AU348" i="1"/>
  <c r="AV348" i="1" s="1"/>
  <c r="AU347" i="1"/>
  <c r="AV347" i="1" s="1"/>
  <c r="AU346" i="1"/>
  <c r="AV346" i="1" s="1"/>
  <c r="AU345" i="1"/>
  <c r="AV345" i="1" s="1"/>
  <c r="AU344" i="1"/>
  <c r="AV344" i="1" s="1"/>
  <c r="AU343" i="1"/>
  <c r="AV343" i="1" s="1"/>
  <c r="AU342" i="1"/>
  <c r="AV342" i="1" s="1"/>
  <c r="AU341" i="1"/>
  <c r="AV341" i="1" s="1"/>
  <c r="AU340" i="1"/>
  <c r="AV340" i="1" s="1"/>
  <c r="AU339" i="1"/>
  <c r="AV339" i="1" s="1"/>
  <c r="AU338" i="1"/>
  <c r="AV338" i="1" s="1"/>
  <c r="AU337" i="1"/>
  <c r="AV337" i="1" s="1"/>
  <c r="AU336" i="1"/>
  <c r="AV336" i="1" s="1"/>
  <c r="AU335" i="1"/>
  <c r="AV335" i="1" s="1"/>
  <c r="AU334" i="1"/>
  <c r="AV334" i="1" s="1"/>
  <c r="AU333" i="1"/>
  <c r="AV333" i="1" s="1"/>
  <c r="AU332" i="1"/>
  <c r="AV332" i="1" s="1"/>
  <c r="AU331" i="1"/>
  <c r="AV331" i="1" s="1"/>
  <c r="AU330" i="1"/>
  <c r="AV330" i="1" s="1"/>
  <c r="AU329" i="1"/>
  <c r="AV329" i="1" s="1"/>
  <c r="AU328" i="1"/>
  <c r="AV328" i="1" s="1"/>
  <c r="AU327" i="1"/>
  <c r="AV327" i="1" s="1"/>
  <c r="AU326" i="1"/>
  <c r="AV326" i="1" s="1"/>
  <c r="AU325" i="1"/>
  <c r="AV325" i="1" s="1"/>
  <c r="AU324" i="1"/>
  <c r="AV324" i="1" s="1"/>
  <c r="AU323" i="1"/>
  <c r="AV323" i="1" s="1"/>
  <c r="AU322" i="1"/>
  <c r="AV322" i="1" s="1"/>
  <c r="AU321" i="1"/>
  <c r="AV321" i="1" s="1"/>
  <c r="AU320" i="1"/>
  <c r="AV320" i="1" s="1"/>
  <c r="AU319" i="1"/>
  <c r="AV319" i="1" s="1"/>
  <c r="AU318" i="1"/>
  <c r="AV318" i="1" s="1"/>
  <c r="AU317" i="1"/>
  <c r="AV317" i="1" s="1"/>
  <c r="AU316" i="1"/>
  <c r="AV316" i="1" s="1"/>
  <c r="AU315" i="1"/>
  <c r="AV315" i="1" s="1"/>
  <c r="AU314" i="1"/>
  <c r="AV314" i="1" s="1"/>
  <c r="AU313" i="1"/>
  <c r="AV313" i="1" s="1"/>
  <c r="AU312" i="1"/>
  <c r="AV312" i="1" s="1"/>
  <c r="AU311" i="1"/>
  <c r="AV311" i="1" s="1"/>
  <c r="AU310" i="1"/>
  <c r="AV310" i="1" s="1"/>
  <c r="AU309" i="1"/>
  <c r="AV309" i="1" s="1"/>
  <c r="AU308" i="1"/>
  <c r="AV308" i="1" s="1"/>
  <c r="AU307" i="1"/>
  <c r="AV307" i="1" s="1"/>
  <c r="AU306" i="1"/>
  <c r="AV306" i="1" s="1"/>
  <c r="AU305" i="1"/>
  <c r="AV305" i="1" s="1"/>
  <c r="AU304" i="1"/>
  <c r="AV304" i="1" s="1"/>
  <c r="AU303" i="1"/>
  <c r="AV303" i="1" s="1"/>
  <c r="AU302" i="1"/>
  <c r="AV302" i="1" s="1"/>
  <c r="AU301" i="1"/>
  <c r="AV301" i="1" s="1"/>
  <c r="AU300" i="1"/>
  <c r="AV300" i="1" s="1"/>
  <c r="AU299" i="1"/>
  <c r="AV299" i="1" s="1"/>
  <c r="AU298" i="1"/>
  <c r="AV298" i="1" s="1"/>
  <c r="AU297" i="1"/>
  <c r="AV297" i="1" s="1"/>
  <c r="AU296" i="1"/>
  <c r="AV296" i="1" s="1"/>
  <c r="AU295" i="1"/>
  <c r="AV295" i="1" s="1"/>
  <c r="AU294" i="1"/>
  <c r="AV294" i="1" s="1"/>
  <c r="AU293" i="1"/>
  <c r="AV293" i="1" s="1"/>
  <c r="AU292" i="1"/>
  <c r="AV292" i="1" s="1"/>
  <c r="AU291" i="1"/>
  <c r="AV291" i="1" s="1"/>
  <c r="AU290" i="1"/>
  <c r="AV290" i="1" s="1"/>
  <c r="AU289" i="1"/>
  <c r="AV289" i="1" s="1"/>
  <c r="AU288" i="1"/>
  <c r="AV288" i="1" s="1"/>
  <c r="AU287" i="1"/>
  <c r="AV287" i="1" s="1"/>
  <c r="AU286" i="1"/>
  <c r="AV286" i="1" s="1"/>
  <c r="AU285" i="1"/>
  <c r="AV285" i="1" s="1"/>
  <c r="AU284" i="1"/>
  <c r="AV284" i="1" s="1"/>
  <c r="AU283" i="1"/>
  <c r="AV283" i="1" s="1"/>
  <c r="AU282" i="1"/>
  <c r="AV282" i="1" s="1"/>
  <c r="AU281" i="1"/>
  <c r="AV281" i="1" s="1"/>
  <c r="AU280" i="1"/>
  <c r="AV280" i="1" s="1"/>
  <c r="AU279" i="1"/>
  <c r="AV279" i="1" s="1"/>
  <c r="AU278" i="1"/>
  <c r="AV278" i="1" s="1"/>
  <c r="AU277" i="1"/>
  <c r="AV277" i="1" s="1"/>
  <c r="AU276" i="1"/>
  <c r="AV276" i="1" s="1"/>
  <c r="AU275" i="1"/>
  <c r="AV275" i="1" s="1"/>
  <c r="AU274" i="1"/>
  <c r="AV274" i="1" s="1"/>
  <c r="AU273" i="1"/>
  <c r="AV273" i="1" s="1"/>
  <c r="AU272" i="1"/>
  <c r="AV272" i="1" s="1"/>
  <c r="AU271" i="1"/>
  <c r="AV271" i="1" s="1"/>
  <c r="AU270" i="1"/>
  <c r="AV270" i="1" s="1"/>
  <c r="AU269" i="1"/>
  <c r="AV269" i="1" s="1"/>
  <c r="AU268" i="1"/>
  <c r="AV268" i="1" s="1"/>
  <c r="AU267" i="1"/>
  <c r="AV267" i="1" s="1"/>
  <c r="AU266" i="1"/>
  <c r="AV266" i="1" s="1"/>
  <c r="AU265" i="1"/>
  <c r="AV265" i="1" s="1"/>
  <c r="AU264" i="1"/>
  <c r="AV264" i="1" s="1"/>
  <c r="AU263" i="1"/>
  <c r="AV263" i="1" s="1"/>
  <c r="AU262" i="1"/>
  <c r="AV262" i="1" s="1"/>
  <c r="AU261" i="1"/>
  <c r="AV261" i="1" s="1"/>
  <c r="AU260" i="1"/>
  <c r="AV260" i="1" s="1"/>
  <c r="AU259" i="1"/>
  <c r="AV259" i="1" s="1"/>
  <c r="AU258" i="1"/>
  <c r="AV258" i="1" s="1"/>
  <c r="AU257" i="1"/>
  <c r="AV257" i="1" s="1"/>
  <c r="AU256" i="1"/>
  <c r="AV256" i="1" s="1"/>
  <c r="AU255" i="1"/>
  <c r="AV255" i="1" s="1"/>
  <c r="AU254" i="1"/>
  <c r="AV254" i="1" s="1"/>
  <c r="AU253" i="1"/>
  <c r="AV253" i="1" s="1"/>
  <c r="AU252" i="1"/>
  <c r="AV252" i="1" s="1"/>
  <c r="AU251" i="1"/>
  <c r="AV251" i="1" s="1"/>
  <c r="AU250" i="1"/>
  <c r="AV250" i="1" s="1"/>
  <c r="AU249" i="1"/>
  <c r="AV249" i="1" s="1"/>
  <c r="AU248" i="1"/>
  <c r="AV248" i="1" s="1"/>
  <c r="AU247" i="1"/>
  <c r="AV247" i="1" s="1"/>
  <c r="AU246" i="1"/>
  <c r="AV246" i="1" s="1"/>
  <c r="AU245" i="1"/>
  <c r="AV245" i="1" s="1"/>
  <c r="AU244" i="1"/>
  <c r="AV244" i="1" s="1"/>
  <c r="AU243" i="1"/>
  <c r="AV243" i="1" s="1"/>
  <c r="AU242" i="1"/>
  <c r="AV242" i="1" s="1"/>
  <c r="AU241" i="1"/>
  <c r="AV241" i="1" s="1"/>
  <c r="AU240" i="1"/>
  <c r="AV240" i="1" s="1"/>
  <c r="AU239" i="1"/>
  <c r="AV239" i="1" s="1"/>
  <c r="AU238" i="1"/>
  <c r="AV238" i="1" s="1"/>
  <c r="AU237" i="1"/>
  <c r="AV237" i="1" s="1"/>
  <c r="AU236" i="1"/>
  <c r="AV236" i="1" s="1"/>
  <c r="AU235" i="1"/>
  <c r="AV235" i="1" s="1"/>
  <c r="AU234" i="1"/>
  <c r="AV234" i="1" s="1"/>
  <c r="AU233" i="1"/>
  <c r="AV233" i="1" s="1"/>
  <c r="AU232" i="1"/>
  <c r="AV232" i="1" s="1"/>
  <c r="AU231" i="1"/>
  <c r="AV231" i="1" s="1"/>
  <c r="AU230" i="1"/>
  <c r="AV230" i="1" s="1"/>
  <c r="AU229" i="1"/>
  <c r="AV229" i="1" s="1"/>
  <c r="AU228" i="1"/>
  <c r="AV228" i="1" s="1"/>
  <c r="AU227" i="1"/>
  <c r="AV227" i="1" s="1"/>
  <c r="AU226" i="1"/>
  <c r="AV226" i="1" s="1"/>
  <c r="AU225" i="1"/>
  <c r="AV225" i="1" s="1"/>
  <c r="AU224" i="1"/>
  <c r="AV224" i="1" s="1"/>
  <c r="AU223" i="1"/>
  <c r="AV223" i="1" s="1"/>
  <c r="AU222" i="1"/>
  <c r="AV222" i="1" s="1"/>
  <c r="AU221" i="1"/>
  <c r="AV221" i="1" s="1"/>
  <c r="AU220" i="1"/>
  <c r="AV220" i="1" s="1"/>
  <c r="AU219" i="1"/>
  <c r="AV219" i="1" s="1"/>
  <c r="AU218" i="1"/>
  <c r="AV218" i="1" s="1"/>
  <c r="AU217" i="1"/>
  <c r="AV217" i="1" s="1"/>
  <c r="AU216" i="1"/>
  <c r="AV216" i="1" s="1"/>
  <c r="AU215" i="1"/>
  <c r="AV215" i="1" s="1"/>
  <c r="AU214" i="1"/>
  <c r="AV214" i="1" s="1"/>
  <c r="AU213" i="1"/>
  <c r="AV213" i="1" s="1"/>
  <c r="AU212" i="1"/>
  <c r="AV212" i="1" s="1"/>
  <c r="AU211" i="1"/>
  <c r="AV211" i="1" s="1"/>
  <c r="AU210" i="1"/>
  <c r="AV210" i="1" s="1"/>
  <c r="AU209" i="1"/>
  <c r="AV209" i="1" s="1"/>
  <c r="AU208" i="1"/>
  <c r="AV208" i="1" s="1"/>
  <c r="AU207" i="1"/>
  <c r="AV207" i="1" s="1"/>
  <c r="AU206" i="1"/>
  <c r="AV206" i="1" s="1"/>
  <c r="AU205" i="1"/>
  <c r="AV205" i="1" s="1"/>
  <c r="AU204" i="1"/>
  <c r="AV204" i="1" s="1"/>
  <c r="AU203" i="1"/>
  <c r="AV203" i="1" s="1"/>
  <c r="AU202" i="1"/>
  <c r="AV202" i="1" s="1"/>
  <c r="AU201" i="1"/>
  <c r="AV201" i="1" s="1"/>
  <c r="AU200" i="1"/>
  <c r="AV200" i="1" s="1"/>
  <c r="AU199" i="1"/>
  <c r="AV199" i="1" s="1"/>
  <c r="AU198" i="1"/>
  <c r="AV198" i="1" s="1"/>
  <c r="AU197" i="1"/>
  <c r="AV197" i="1" s="1"/>
  <c r="AU196" i="1"/>
  <c r="AV196" i="1" s="1"/>
  <c r="AU195" i="1"/>
  <c r="AV195" i="1" s="1"/>
  <c r="AU194" i="1"/>
  <c r="AV194" i="1" s="1"/>
  <c r="AU193" i="1"/>
  <c r="AV193" i="1" s="1"/>
  <c r="AU192" i="1"/>
  <c r="AV192" i="1" s="1"/>
  <c r="AU191" i="1"/>
  <c r="AV191" i="1" s="1"/>
  <c r="AU190" i="1"/>
  <c r="AV190" i="1" s="1"/>
  <c r="AU189" i="1"/>
  <c r="AV189" i="1" s="1"/>
  <c r="AU188" i="1"/>
  <c r="AV188" i="1" s="1"/>
  <c r="AU187" i="1"/>
  <c r="AV187" i="1" s="1"/>
  <c r="AU186" i="1"/>
  <c r="AV186" i="1" s="1"/>
  <c r="AU185" i="1"/>
  <c r="AV185" i="1" s="1"/>
  <c r="AU184" i="1"/>
  <c r="AV184" i="1" s="1"/>
  <c r="AU183" i="1"/>
  <c r="AV183" i="1" s="1"/>
  <c r="AU182" i="1"/>
  <c r="AV182" i="1" s="1"/>
  <c r="AU181" i="1"/>
  <c r="AV181" i="1" s="1"/>
  <c r="AU180" i="1"/>
  <c r="AV180" i="1" s="1"/>
  <c r="AU179" i="1"/>
  <c r="AV179" i="1" s="1"/>
  <c r="AU178" i="1"/>
  <c r="AV178" i="1" s="1"/>
  <c r="AU177" i="1"/>
  <c r="AV177" i="1" s="1"/>
  <c r="AU176" i="1"/>
  <c r="AV176" i="1" s="1"/>
  <c r="AU175" i="1"/>
  <c r="AV175" i="1" s="1"/>
  <c r="AU174" i="1"/>
  <c r="AV174" i="1" s="1"/>
  <c r="AU173" i="1"/>
  <c r="AV173" i="1" s="1"/>
  <c r="AU172" i="1"/>
  <c r="AV172" i="1" s="1"/>
  <c r="AU171" i="1"/>
  <c r="AV171" i="1" s="1"/>
  <c r="AU170" i="1"/>
  <c r="AV170" i="1" s="1"/>
  <c r="AU169" i="1"/>
  <c r="AV169" i="1" s="1"/>
  <c r="AU168" i="1"/>
  <c r="AV168" i="1" s="1"/>
  <c r="AU167" i="1"/>
  <c r="AV167" i="1" s="1"/>
  <c r="AU166" i="1"/>
  <c r="AV166" i="1" s="1"/>
  <c r="AU165" i="1"/>
  <c r="AV165" i="1" s="1"/>
  <c r="AU164" i="1"/>
  <c r="AV164" i="1" s="1"/>
  <c r="AU163" i="1"/>
  <c r="AV163" i="1" s="1"/>
  <c r="AU162" i="1"/>
  <c r="AV162" i="1" s="1"/>
  <c r="AU161" i="1"/>
  <c r="AV161" i="1" s="1"/>
  <c r="AU160" i="1"/>
  <c r="AV160" i="1" s="1"/>
  <c r="AU159" i="1"/>
  <c r="AV159" i="1" s="1"/>
  <c r="AU158" i="1"/>
  <c r="AV158" i="1" s="1"/>
  <c r="AU157" i="1"/>
  <c r="AV157" i="1" s="1"/>
  <c r="AU156" i="1"/>
  <c r="AV156" i="1" s="1"/>
  <c r="AU155" i="1"/>
  <c r="AV155" i="1" s="1"/>
  <c r="AU154" i="1"/>
  <c r="AV154" i="1" s="1"/>
  <c r="AU153" i="1"/>
  <c r="AV153" i="1" s="1"/>
  <c r="AU152" i="1"/>
  <c r="AV152" i="1" s="1"/>
  <c r="AU151" i="1"/>
  <c r="AV151" i="1" s="1"/>
  <c r="AU150" i="1"/>
  <c r="AV150" i="1" s="1"/>
  <c r="AU149" i="1"/>
  <c r="AV149" i="1" s="1"/>
  <c r="AU148" i="1"/>
  <c r="AV148" i="1" s="1"/>
  <c r="AU147" i="1"/>
  <c r="AV147" i="1" s="1"/>
  <c r="AU146" i="1"/>
  <c r="AV146" i="1" s="1"/>
  <c r="AU145" i="1"/>
  <c r="AV145" i="1" s="1"/>
  <c r="AU144" i="1"/>
  <c r="AV144" i="1" s="1"/>
  <c r="AU143" i="1"/>
  <c r="AV143" i="1" s="1"/>
  <c r="AU142" i="1"/>
  <c r="AV142" i="1" s="1"/>
  <c r="AU141" i="1"/>
  <c r="AV141" i="1" s="1"/>
  <c r="AU140" i="1"/>
  <c r="AV140" i="1" s="1"/>
  <c r="AU139" i="1"/>
  <c r="AV139" i="1" s="1"/>
  <c r="AU138" i="1"/>
  <c r="AV138" i="1" s="1"/>
  <c r="AU137" i="1"/>
  <c r="AV137" i="1" s="1"/>
  <c r="AU136" i="1"/>
  <c r="AV136" i="1" s="1"/>
  <c r="AU135" i="1"/>
  <c r="AV135" i="1" s="1"/>
  <c r="AU134" i="1"/>
  <c r="AV134" i="1" s="1"/>
  <c r="AU133" i="1"/>
  <c r="AV133" i="1" s="1"/>
  <c r="AU132" i="1"/>
  <c r="AV132" i="1" s="1"/>
  <c r="AU131" i="1"/>
  <c r="AV131" i="1" s="1"/>
  <c r="AU130" i="1"/>
  <c r="AV130" i="1" s="1"/>
  <c r="AU129" i="1"/>
  <c r="AV129" i="1" s="1"/>
  <c r="AU128" i="1"/>
  <c r="AV128" i="1" s="1"/>
  <c r="AU127" i="1"/>
  <c r="AV127" i="1" s="1"/>
  <c r="AU126" i="1"/>
  <c r="AV126" i="1" s="1"/>
  <c r="AU125" i="1"/>
  <c r="AV125" i="1" s="1"/>
  <c r="AU124" i="1"/>
  <c r="AV124" i="1" s="1"/>
  <c r="AU123" i="1"/>
  <c r="AV123" i="1" s="1"/>
  <c r="AU122" i="1"/>
  <c r="AV122" i="1" s="1"/>
  <c r="AU121" i="1"/>
  <c r="AV121" i="1" s="1"/>
  <c r="AU120" i="1"/>
  <c r="AV120" i="1" s="1"/>
  <c r="AU119" i="1"/>
  <c r="AV119" i="1" s="1"/>
  <c r="AU118" i="1"/>
  <c r="AV118" i="1" s="1"/>
  <c r="AU117" i="1"/>
  <c r="AV117" i="1" s="1"/>
  <c r="AU116" i="1"/>
  <c r="AV116" i="1" s="1"/>
  <c r="AU115" i="1"/>
  <c r="AV115" i="1" s="1"/>
  <c r="AU114" i="1"/>
  <c r="AV114" i="1" s="1"/>
  <c r="AU113" i="1"/>
  <c r="AV113" i="1" s="1"/>
  <c r="AU112" i="1"/>
  <c r="AV112" i="1" s="1"/>
  <c r="AU111" i="1"/>
  <c r="AV111" i="1" s="1"/>
  <c r="AU110" i="1"/>
  <c r="AV110" i="1" s="1"/>
  <c r="AU109" i="1"/>
  <c r="AV109" i="1" s="1"/>
  <c r="AU108" i="1"/>
  <c r="AV108" i="1" s="1"/>
  <c r="AU107" i="1"/>
  <c r="AV107" i="1" s="1"/>
  <c r="AU106" i="1"/>
  <c r="AV106" i="1" s="1"/>
  <c r="AU105" i="1"/>
  <c r="AV105" i="1" s="1"/>
  <c r="AU104" i="1"/>
  <c r="AV104" i="1" s="1"/>
  <c r="AU103" i="1"/>
  <c r="AV103" i="1" s="1"/>
  <c r="AU102" i="1"/>
  <c r="AV102" i="1" s="1"/>
  <c r="AU101" i="1"/>
  <c r="AV101" i="1" s="1"/>
  <c r="AU100" i="1"/>
  <c r="AV100" i="1" s="1"/>
  <c r="AU99" i="1"/>
  <c r="AV99" i="1" s="1"/>
  <c r="AU98" i="1"/>
  <c r="AV98" i="1" s="1"/>
  <c r="AU97" i="1"/>
  <c r="AV97" i="1" s="1"/>
  <c r="AU96" i="1"/>
  <c r="AV96" i="1" s="1"/>
  <c r="AU95" i="1"/>
  <c r="AV95" i="1" s="1"/>
  <c r="AU94" i="1"/>
  <c r="AV94" i="1" s="1"/>
  <c r="AU93" i="1"/>
  <c r="AV93" i="1" s="1"/>
  <c r="AU92" i="1"/>
  <c r="AV92" i="1" s="1"/>
  <c r="AU91" i="1"/>
  <c r="AV91" i="1" s="1"/>
  <c r="AU90" i="1"/>
  <c r="AV90" i="1" s="1"/>
  <c r="AU89" i="1"/>
  <c r="AV89" i="1" s="1"/>
  <c r="AU88" i="1"/>
  <c r="AV88" i="1" s="1"/>
  <c r="AU87" i="1"/>
  <c r="AV87" i="1" s="1"/>
  <c r="AU86" i="1"/>
  <c r="AV86" i="1" s="1"/>
  <c r="AU85" i="1"/>
  <c r="AV85" i="1" s="1"/>
  <c r="AU84" i="1"/>
  <c r="AV84" i="1" s="1"/>
  <c r="AU83" i="1"/>
  <c r="AV83" i="1" s="1"/>
  <c r="AU82" i="1"/>
  <c r="AV82" i="1" s="1"/>
  <c r="AU81" i="1"/>
  <c r="AV81" i="1" s="1"/>
  <c r="AU80" i="1"/>
  <c r="AV80" i="1" s="1"/>
  <c r="AU79" i="1"/>
  <c r="AV79" i="1" s="1"/>
  <c r="AU78" i="1"/>
  <c r="AV78" i="1" s="1"/>
  <c r="AU77" i="1"/>
  <c r="AV77" i="1" s="1"/>
  <c r="AU76" i="1"/>
  <c r="AV76" i="1" s="1"/>
  <c r="AU75" i="1"/>
  <c r="AV75" i="1" s="1"/>
  <c r="AU74" i="1"/>
  <c r="AV74" i="1" s="1"/>
  <c r="AU73" i="1"/>
  <c r="AV73" i="1" s="1"/>
  <c r="AU72" i="1"/>
  <c r="AV72" i="1" s="1"/>
  <c r="AU71" i="1"/>
  <c r="AV71" i="1" s="1"/>
  <c r="AU70" i="1"/>
  <c r="AV70" i="1" s="1"/>
  <c r="AU69" i="1"/>
  <c r="AV69" i="1" s="1"/>
  <c r="AU68" i="1"/>
  <c r="AV68" i="1" s="1"/>
  <c r="AU67" i="1"/>
  <c r="AV67" i="1" s="1"/>
  <c r="AU66" i="1"/>
  <c r="AV66" i="1" s="1"/>
  <c r="AU65" i="1"/>
  <c r="AV65" i="1" s="1"/>
  <c r="AU64" i="1"/>
  <c r="AV64" i="1" s="1"/>
  <c r="AU63" i="1"/>
  <c r="AV63" i="1" s="1"/>
  <c r="AU62" i="1"/>
  <c r="AV62" i="1" s="1"/>
  <c r="AU61" i="1"/>
  <c r="AV61" i="1" s="1"/>
  <c r="AU60" i="1"/>
  <c r="AV60" i="1" s="1"/>
  <c r="AU59" i="1"/>
  <c r="AV59" i="1" s="1"/>
  <c r="AU58" i="1"/>
  <c r="AV58" i="1" s="1"/>
  <c r="AU57" i="1"/>
  <c r="AV57" i="1" s="1"/>
  <c r="AU56" i="1"/>
  <c r="AV56" i="1" s="1"/>
  <c r="AU55" i="1"/>
  <c r="AV55" i="1" s="1"/>
  <c r="AU54" i="1"/>
  <c r="AV54" i="1" s="1"/>
  <c r="AU53" i="1"/>
  <c r="AV53" i="1" s="1"/>
  <c r="AU52" i="1"/>
  <c r="AV52" i="1" s="1"/>
  <c r="AU51" i="1"/>
  <c r="AV51" i="1" s="1"/>
  <c r="AU50" i="1"/>
  <c r="AV50" i="1" s="1"/>
  <c r="AU49" i="1"/>
  <c r="AV49" i="1" s="1"/>
  <c r="AU48" i="1"/>
  <c r="AV48" i="1" s="1"/>
  <c r="AU47" i="1"/>
  <c r="AV47" i="1" s="1"/>
  <c r="AU46" i="1"/>
  <c r="AV46" i="1" s="1"/>
  <c r="AU45" i="1"/>
  <c r="AV45" i="1" s="1"/>
  <c r="AU44" i="1"/>
  <c r="AV44" i="1" s="1"/>
  <c r="AU43" i="1"/>
  <c r="AV43" i="1" s="1"/>
  <c r="AU42" i="1"/>
  <c r="AV42" i="1" s="1"/>
  <c r="AU41" i="1"/>
  <c r="AV41" i="1" s="1"/>
  <c r="AU40" i="1"/>
  <c r="AV40" i="1" s="1"/>
  <c r="AU39" i="1"/>
  <c r="AV39" i="1" s="1"/>
  <c r="AU38" i="1"/>
  <c r="AV38" i="1" s="1"/>
  <c r="AU37" i="1"/>
  <c r="AV37" i="1" s="1"/>
  <c r="AU36" i="1"/>
  <c r="AV36" i="1" s="1"/>
  <c r="AU35" i="1"/>
  <c r="AV35" i="1" s="1"/>
  <c r="AU34" i="1"/>
  <c r="AV34" i="1" s="1"/>
  <c r="AU33" i="1"/>
  <c r="AV33" i="1" s="1"/>
  <c r="AU32" i="1"/>
  <c r="AV32" i="1" s="1"/>
  <c r="AU31" i="1"/>
  <c r="AP31" i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U30" i="1"/>
  <c r="AT16" i="1"/>
  <c r="AR16" i="1"/>
  <c r="AQ16" i="1"/>
  <c r="AT15" i="1"/>
  <c r="AR15" i="1"/>
  <c r="AQ15" i="1"/>
  <c r="AT14" i="1"/>
  <c r="AR14" i="1"/>
  <c r="AQ14" i="1"/>
  <c r="AT12" i="1"/>
  <c r="AR12" i="1"/>
  <c r="AQ12" i="1"/>
  <c r="AT11" i="1"/>
  <c r="AR11" i="1"/>
  <c r="AQ11" i="1"/>
  <c r="AT10" i="1"/>
  <c r="AR10" i="1"/>
  <c r="AQ10" i="1"/>
  <c r="AT7" i="1"/>
  <c r="AR7" i="1"/>
  <c r="AQ7" i="1"/>
  <c r="AT6" i="1"/>
  <c r="AR6" i="1"/>
  <c r="AQ6" i="1"/>
  <c r="AT5" i="1"/>
  <c r="AR5" i="1"/>
  <c r="AQ5" i="1"/>
  <c r="AP382" i="4"/>
  <c r="AQ382" i="4" s="1"/>
  <c r="AP381" i="4"/>
  <c r="AQ381" i="4" s="1"/>
  <c r="AP380" i="4"/>
  <c r="AQ380" i="4" s="1"/>
  <c r="AP379" i="4"/>
  <c r="AQ379" i="4" s="1"/>
  <c r="AP378" i="4"/>
  <c r="AQ378" i="4" s="1"/>
  <c r="AP377" i="4"/>
  <c r="AQ377" i="4" s="1"/>
  <c r="AP376" i="4"/>
  <c r="AQ376" i="4" s="1"/>
  <c r="AP375" i="4"/>
  <c r="AQ375" i="4" s="1"/>
  <c r="AP374" i="4"/>
  <c r="AQ374" i="4" s="1"/>
  <c r="AP373" i="4"/>
  <c r="AQ373" i="4" s="1"/>
  <c r="AP372" i="4"/>
  <c r="AQ372" i="4" s="1"/>
  <c r="AP371" i="4"/>
  <c r="AQ371" i="4" s="1"/>
  <c r="AP370" i="4"/>
  <c r="AQ370" i="4" s="1"/>
  <c r="AP369" i="4"/>
  <c r="AQ369" i="4" s="1"/>
  <c r="AP368" i="4"/>
  <c r="AQ368" i="4" s="1"/>
  <c r="AP367" i="4"/>
  <c r="AQ367" i="4" s="1"/>
  <c r="AP366" i="4"/>
  <c r="AQ366" i="4" s="1"/>
  <c r="AP365" i="4"/>
  <c r="AQ365" i="4" s="1"/>
  <c r="AP364" i="4"/>
  <c r="AQ364" i="4" s="1"/>
  <c r="AP363" i="4"/>
  <c r="AQ363" i="4" s="1"/>
  <c r="AP362" i="4"/>
  <c r="AQ362" i="4" s="1"/>
  <c r="AP361" i="4"/>
  <c r="AQ361" i="4" s="1"/>
  <c r="AP360" i="4"/>
  <c r="AQ360" i="4" s="1"/>
  <c r="AP359" i="4"/>
  <c r="AQ359" i="4" s="1"/>
  <c r="AP358" i="4"/>
  <c r="AQ358" i="4" s="1"/>
  <c r="AP357" i="4"/>
  <c r="AQ357" i="4" s="1"/>
  <c r="AP356" i="4"/>
  <c r="AQ356" i="4" s="1"/>
  <c r="AP355" i="4"/>
  <c r="AQ355" i="4" s="1"/>
  <c r="AP354" i="4"/>
  <c r="AQ354" i="4" s="1"/>
  <c r="AP353" i="4"/>
  <c r="AQ353" i="4" s="1"/>
  <c r="AP352" i="4"/>
  <c r="AQ352" i="4" s="1"/>
  <c r="AP351" i="4"/>
  <c r="AQ351" i="4" s="1"/>
  <c r="AP350" i="4"/>
  <c r="AQ350" i="4" s="1"/>
  <c r="AP349" i="4"/>
  <c r="AQ349" i="4" s="1"/>
  <c r="AP348" i="4"/>
  <c r="AQ348" i="4" s="1"/>
  <c r="AP347" i="4"/>
  <c r="AQ347" i="4" s="1"/>
  <c r="AP346" i="4"/>
  <c r="AQ346" i="4" s="1"/>
  <c r="AP345" i="4"/>
  <c r="AQ345" i="4" s="1"/>
  <c r="AP344" i="4"/>
  <c r="AQ344" i="4" s="1"/>
  <c r="AP343" i="4"/>
  <c r="AQ343" i="4" s="1"/>
  <c r="AP342" i="4"/>
  <c r="AQ342" i="4" s="1"/>
  <c r="AP341" i="4"/>
  <c r="AQ341" i="4" s="1"/>
  <c r="AP340" i="4"/>
  <c r="AQ340" i="4" s="1"/>
  <c r="AP339" i="4"/>
  <c r="AQ339" i="4" s="1"/>
  <c r="AP338" i="4"/>
  <c r="AQ338" i="4" s="1"/>
  <c r="AP337" i="4"/>
  <c r="AQ337" i="4" s="1"/>
  <c r="AP336" i="4"/>
  <c r="AQ336" i="4" s="1"/>
  <c r="AP335" i="4"/>
  <c r="AQ335" i="4" s="1"/>
  <c r="AP334" i="4"/>
  <c r="AQ334" i="4" s="1"/>
  <c r="AP333" i="4"/>
  <c r="AQ333" i="4" s="1"/>
  <c r="AP332" i="4"/>
  <c r="AQ332" i="4" s="1"/>
  <c r="AP331" i="4"/>
  <c r="AQ331" i="4" s="1"/>
  <c r="AP330" i="4"/>
  <c r="AQ330" i="4" s="1"/>
  <c r="AP329" i="4"/>
  <c r="AQ329" i="4" s="1"/>
  <c r="AP328" i="4"/>
  <c r="AQ328" i="4" s="1"/>
  <c r="AP327" i="4"/>
  <c r="AQ327" i="4" s="1"/>
  <c r="AP326" i="4"/>
  <c r="AQ326" i="4" s="1"/>
  <c r="AP325" i="4"/>
  <c r="AQ325" i="4" s="1"/>
  <c r="AP324" i="4"/>
  <c r="AQ324" i="4" s="1"/>
  <c r="AP323" i="4"/>
  <c r="AQ323" i="4" s="1"/>
  <c r="AP322" i="4"/>
  <c r="AQ322" i="4" s="1"/>
  <c r="AP321" i="4"/>
  <c r="AQ321" i="4" s="1"/>
  <c r="AP320" i="4"/>
  <c r="AQ320" i="4" s="1"/>
  <c r="AP319" i="4"/>
  <c r="AQ319" i="4" s="1"/>
  <c r="AP318" i="4"/>
  <c r="AQ318" i="4" s="1"/>
  <c r="AP317" i="4"/>
  <c r="AQ317" i="4" s="1"/>
  <c r="AP316" i="4"/>
  <c r="AQ316" i="4" s="1"/>
  <c r="AP315" i="4"/>
  <c r="AQ315" i="4" s="1"/>
  <c r="AP314" i="4"/>
  <c r="AQ314" i="4" s="1"/>
  <c r="AP313" i="4"/>
  <c r="AQ313" i="4" s="1"/>
  <c r="AP312" i="4"/>
  <c r="AQ312" i="4" s="1"/>
  <c r="AP311" i="4"/>
  <c r="AQ311" i="4" s="1"/>
  <c r="AP310" i="4"/>
  <c r="AQ310" i="4" s="1"/>
  <c r="AP309" i="4"/>
  <c r="AQ309" i="4" s="1"/>
  <c r="AP308" i="4"/>
  <c r="AQ308" i="4" s="1"/>
  <c r="AP307" i="4"/>
  <c r="AQ307" i="4" s="1"/>
  <c r="AP306" i="4"/>
  <c r="AQ306" i="4" s="1"/>
  <c r="AP305" i="4"/>
  <c r="AQ305" i="4" s="1"/>
  <c r="AP304" i="4"/>
  <c r="AQ304" i="4" s="1"/>
  <c r="AP303" i="4"/>
  <c r="AQ303" i="4" s="1"/>
  <c r="AP302" i="4"/>
  <c r="AQ302" i="4" s="1"/>
  <c r="AP301" i="4"/>
  <c r="AQ301" i="4" s="1"/>
  <c r="AP300" i="4"/>
  <c r="AQ300" i="4" s="1"/>
  <c r="AP299" i="4"/>
  <c r="AQ299" i="4" s="1"/>
  <c r="AP298" i="4"/>
  <c r="AQ298" i="4" s="1"/>
  <c r="AP297" i="4"/>
  <c r="AQ297" i="4" s="1"/>
  <c r="AP296" i="4"/>
  <c r="AQ296" i="4" s="1"/>
  <c r="AP295" i="4"/>
  <c r="AQ295" i="4" s="1"/>
  <c r="AP294" i="4"/>
  <c r="AQ294" i="4" s="1"/>
  <c r="AP293" i="4"/>
  <c r="AQ293" i="4" s="1"/>
  <c r="AP292" i="4"/>
  <c r="AQ292" i="4" s="1"/>
  <c r="AP291" i="4"/>
  <c r="AQ291" i="4" s="1"/>
  <c r="AP290" i="4"/>
  <c r="AQ290" i="4" s="1"/>
  <c r="AP289" i="4"/>
  <c r="AQ289" i="4" s="1"/>
  <c r="AP288" i="4"/>
  <c r="AQ288" i="4" s="1"/>
  <c r="AP287" i="4"/>
  <c r="AQ287" i="4" s="1"/>
  <c r="AP286" i="4"/>
  <c r="AQ286" i="4" s="1"/>
  <c r="AP285" i="4"/>
  <c r="AQ285" i="4" s="1"/>
  <c r="AP284" i="4"/>
  <c r="AQ284" i="4" s="1"/>
  <c r="AP283" i="4"/>
  <c r="AQ283" i="4" s="1"/>
  <c r="AP282" i="4"/>
  <c r="AQ282" i="4" s="1"/>
  <c r="AP281" i="4"/>
  <c r="AQ281" i="4" s="1"/>
  <c r="AP280" i="4"/>
  <c r="AQ280" i="4" s="1"/>
  <c r="AP279" i="4"/>
  <c r="AQ279" i="4" s="1"/>
  <c r="AP278" i="4"/>
  <c r="AQ278" i="4" s="1"/>
  <c r="AP277" i="4"/>
  <c r="AQ277" i="4" s="1"/>
  <c r="AP276" i="4"/>
  <c r="AQ276" i="4" s="1"/>
  <c r="AP275" i="4"/>
  <c r="AQ275" i="4" s="1"/>
  <c r="AP274" i="4"/>
  <c r="AQ274" i="4" s="1"/>
  <c r="AP273" i="4"/>
  <c r="AQ273" i="4" s="1"/>
  <c r="AP272" i="4"/>
  <c r="AQ272" i="4" s="1"/>
  <c r="AP271" i="4"/>
  <c r="AQ271" i="4" s="1"/>
  <c r="AP270" i="4"/>
  <c r="AQ270" i="4" s="1"/>
  <c r="AP269" i="4"/>
  <c r="AQ269" i="4" s="1"/>
  <c r="AP268" i="4"/>
  <c r="AQ268" i="4" s="1"/>
  <c r="AP267" i="4"/>
  <c r="AQ267" i="4" s="1"/>
  <c r="AP266" i="4"/>
  <c r="AQ266" i="4" s="1"/>
  <c r="AP265" i="4"/>
  <c r="AQ265" i="4" s="1"/>
  <c r="AP264" i="4"/>
  <c r="AQ264" i="4" s="1"/>
  <c r="AP263" i="4"/>
  <c r="AQ263" i="4" s="1"/>
  <c r="AP262" i="4"/>
  <c r="AQ262" i="4" s="1"/>
  <c r="AP261" i="4"/>
  <c r="AQ260" i="4"/>
  <c r="AP260" i="4"/>
  <c r="AP259" i="4"/>
  <c r="AQ259" i="4" s="1"/>
  <c r="AP258" i="4"/>
  <c r="AQ258" i="4" s="1"/>
  <c r="AP257" i="4"/>
  <c r="AQ257" i="4" s="1"/>
  <c r="AP256" i="4"/>
  <c r="AQ256" i="4" s="1"/>
  <c r="AP255" i="4"/>
  <c r="AQ255" i="4" s="1"/>
  <c r="AP254" i="4"/>
  <c r="AQ254" i="4" s="1"/>
  <c r="AP253" i="4"/>
  <c r="AQ253" i="4" s="1"/>
  <c r="AP252" i="4"/>
  <c r="AQ252" i="4" s="1"/>
  <c r="AP251" i="4"/>
  <c r="AQ251" i="4" s="1"/>
  <c r="AP250" i="4"/>
  <c r="AQ250" i="4" s="1"/>
  <c r="AP249" i="4"/>
  <c r="AQ249" i="4" s="1"/>
  <c r="AP248" i="4"/>
  <c r="AQ248" i="4" s="1"/>
  <c r="AP247" i="4"/>
  <c r="AQ247" i="4" s="1"/>
  <c r="AP246" i="4"/>
  <c r="AQ246" i="4" s="1"/>
  <c r="AP245" i="4"/>
  <c r="AQ245" i="4" s="1"/>
  <c r="AP244" i="4"/>
  <c r="AQ244" i="4" s="1"/>
  <c r="AP243" i="4"/>
  <c r="AQ243" i="4" s="1"/>
  <c r="AP242" i="4"/>
  <c r="AQ242" i="4" s="1"/>
  <c r="AP241" i="4"/>
  <c r="AQ241" i="4" s="1"/>
  <c r="AP240" i="4"/>
  <c r="AQ240" i="4" s="1"/>
  <c r="AP239" i="4"/>
  <c r="AQ239" i="4" s="1"/>
  <c r="AP238" i="4"/>
  <c r="AQ238" i="4" s="1"/>
  <c r="AP237" i="4"/>
  <c r="AQ237" i="4" s="1"/>
  <c r="AP236" i="4"/>
  <c r="AQ236" i="4" s="1"/>
  <c r="AP235" i="4"/>
  <c r="AQ235" i="4" s="1"/>
  <c r="AP234" i="4"/>
  <c r="AQ234" i="4" s="1"/>
  <c r="AP233" i="4"/>
  <c r="AQ233" i="4" s="1"/>
  <c r="AP232" i="4"/>
  <c r="AQ232" i="4" s="1"/>
  <c r="AP231" i="4"/>
  <c r="AP230" i="4"/>
  <c r="AQ230" i="4" s="1"/>
  <c r="AP229" i="4"/>
  <c r="AQ229" i="4" s="1"/>
  <c r="AP228" i="4"/>
  <c r="AQ228" i="4" s="1"/>
  <c r="AP227" i="4"/>
  <c r="AQ227" i="4" s="1"/>
  <c r="AP226" i="4"/>
  <c r="AQ226" i="4" s="1"/>
  <c r="AP225" i="4"/>
  <c r="AQ225" i="4" s="1"/>
  <c r="AP224" i="4"/>
  <c r="AQ224" i="4" s="1"/>
  <c r="AP223" i="4"/>
  <c r="AQ223" i="4" s="1"/>
  <c r="AP222" i="4"/>
  <c r="AQ222" i="4" s="1"/>
  <c r="AP221" i="4"/>
  <c r="AQ221" i="4" s="1"/>
  <c r="AP220" i="4"/>
  <c r="AQ220" i="4" s="1"/>
  <c r="AP219" i="4"/>
  <c r="AQ219" i="4" s="1"/>
  <c r="AP218" i="4"/>
  <c r="AQ218" i="4" s="1"/>
  <c r="AP217" i="4"/>
  <c r="AQ217" i="4" s="1"/>
  <c r="AP216" i="4"/>
  <c r="AQ216" i="4" s="1"/>
  <c r="AP215" i="4"/>
  <c r="AQ215" i="4" s="1"/>
  <c r="AP214" i="4"/>
  <c r="AQ214" i="4" s="1"/>
  <c r="AP213" i="4"/>
  <c r="AQ213" i="4" s="1"/>
  <c r="AP212" i="4"/>
  <c r="AQ212" i="4" s="1"/>
  <c r="AP211" i="4"/>
  <c r="AQ211" i="4" s="1"/>
  <c r="AP210" i="4"/>
  <c r="AQ210" i="4" s="1"/>
  <c r="AP209" i="4"/>
  <c r="AQ209" i="4" s="1"/>
  <c r="AP208" i="4"/>
  <c r="AQ208" i="4" s="1"/>
  <c r="AP207" i="4"/>
  <c r="AQ207" i="4" s="1"/>
  <c r="AP206" i="4"/>
  <c r="AQ206" i="4" s="1"/>
  <c r="AP205" i="4"/>
  <c r="AQ205" i="4" s="1"/>
  <c r="AP204" i="4"/>
  <c r="AQ204" i="4" s="1"/>
  <c r="AP203" i="4"/>
  <c r="AQ203" i="4" s="1"/>
  <c r="AP202" i="4"/>
  <c r="AQ202" i="4" s="1"/>
  <c r="AP201" i="4"/>
  <c r="AQ201" i="4" s="1"/>
  <c r="AP200" i="4"/>
  <c r="AQ200" i="4" s="1"/>
  <c r="AP199" i="4"/>
  <c r="AQ198" i="4"/>
  <c r="AP198" i="4"/>
  <c r="AP197" i="4"/>
  <c r="AQ197" i="4" s="1"/>
  <c r="AP196" i="4"/>
  <c r="AQ196" i="4" s="1"/>
  <c r="AP195" i="4"/>
  <c r="AQ195" i="4" s="1"/>
  <c r="AP194" i="4"/>
  <c r="AQ194" i="4" s="1"/>
  <c r="AP193" i="4"/>
  <c r="AQ193" i="4" s="1"/>
  <c r="AP192" i="4"/>
  <c r="AQ192" i="4" s="1"/>
  <c r="AP191" i="4"/>
  <c r="AQ191" i="4" s="1"/>
  <c r="AP190" i="4"/>
  <c r="AQ190" i="4" s="1"/>
  <c r="AP189" i="4"/>
  <c r="AQ189" i="4" s="1"/>
  <c r="AP188" i="4"/>
  <c r="AQ188" i="4" s="1"/>
  <c r="AP187" i="4"/>
  <c r="AQ187" i="4" s="1"/>
  <c r="AP186" i="4"/>
  <c r="AQ186" i="4" s="1"/>
  <c r="AP185" i="4"/>
  <c r="AQ185" i="4" s="1"/>
  <c r="AP184" i="4"/>
  <c r="AQ184" i="4" s="1"/>
  <c r="AP183" i="4"/>
  <c r="AQ183" i="4" s="1"/>
  <c r="AP182" i="4"/>
  <c r="AQ182" i="4" s="1"/>
  <c r="AP181" i="4"/>
  <c r="AQ181" i="4" s="1"/>
  <c r="AP180" i="4"/>
  <c r="AQ180" i="4" s="1"/>
  <c r="AP179" i="4"/>
  <c r="AQ179" i="4" s="1"/>
  <c r="AP178" i="4"/>
  <c r="AQ178" i="4" s="1"/>
  <c r="AP177" i="4"/>
  <c r="AQ177" i="4" s="1"/>
  <c r="AP176" i="4"/>
  <c r="AQ176" i="4" s="1"/>
  <c r="AP175" i="4"/>
  <c r="AQ175" i="4" s="1"/>
  <c r="AP174" i="4"/>
  <c r="AQ174" i="4" s="1"/>
  <c r="AP173" i="4"/>
  <c r="AQ173" i="4" s="1"/>
  <c r="AP172" i="4"/>
  <c r="AQ172" i="4" s="1"/>
  <c r="AP171" i="4"/>
  <c r="AP170" i="4"/>
  <c r="AQ170" i="4" s="1"/>
  <c r="AP169" i="4"/>
  <c r="AQ169" i="4" s="1"/>
  <c r="AP168" i="4"/>
  <c r="AQ168" i="4" s="1"/>
  <c r="AP167" i="4"/>
  <c r="AQ167" i="4" s="1"/>
  <c r="AP166" i="4"/>
  <c r="AQ166" i="4" s="1"/>
  <c r="AP165" i="4"/>
  <c r="AQ165" i="4" s="1"/>
  <c r="AP164" i="4"/>
  <c r="AQ164" i="4" s="1"/>
  <c r="AP163" i="4"/>
  <c r="AQ163" i="4" s="1"/>
  <c r="AP162" i="4"/>
  <c r="AQ162" i="4" s="1"/>
  <c r="AP161" i="4"/>
  <c r="AQ161" i="4" s="1"/>
  <c r="AP160" i="4"/>
  <c r="AQ160" i="4" s="1"/>
  <c r="AP159" i="4"/>
  <c r="AQ159" i="4" s="1"/>
  <c r="AP158" i="4"/>
  <c r="AQ158" i="4" s="1"/>
  <c r="AP157" i="4"/>
  <c r="AQ157" i="4" s="1"/>
  <c r="AP156" i="4"/>
  <c r="AQ156" i="4" s="1"/>
  <c r="AP155" i="4"/>
  <c r="AQ155" i="4" s="1"/>
  <c r="AP154" i="4"/>
  <c r="AQ154" i="4" s="1"/>
  <c r="AP153" i="4"/>
  <c r="AQ153" i="4" s="1"/>
  <c r="AP152" i="4"/>
  <c r="AQ152" i="4" s="1"/>
  <c r="AP151" i="4"/>
  <c r="AQ151" i="4" s="1"/>
  <c r="AP150" i="4"/>
  <c r="AQ150" i="4" s="1"/>
  <c r="AP149" i="4"/>
  <c r="AQ149" i="4" s="1"/>
  <c r="AP148" i="4"/>
  <c r="AQ148" i="4" s="1"/>
  <c r="AP147" i="4"/>
  <c r="AQ147" i="4" s="1"/>
  <c r="AP146" i="4"/>
  <c r="AQ146" i="4" s="1"/>
  <c r="AP145" i="4"/>
  <c r="AQ145" i="4" s="1"/>
  <c r="AP144" i="4"/>
  <c r="AQ144" i="4" s="1"/>
  <c r="AP143" i="4"/>
  <c r="AQ143" i="4" s="1"/>
  <c r="AP142" i="4"/>
  <c r="AQ142" i="4" s="1"/>
  <c r="AP141" i="4"/>
  <c r="AQ141" i="4" s="1"/>
  <c r="AP140" i="4"/>
  <c r="AQ140" i="4" s="1"/>
  <c r="AP139" i="4"/>
  <c r="AQ139" i="4" s="1"/>
  <c r="AP138" i="4"/>
  <c r="AQ138" i="4" s="1"/>
  <c r="AP137" i="4"/>
  <c r="AQ137" i="4" s="1"/>
  <c r="AP136" i="4"/>
  <c r="AQ136" i="4" s="1"/>
  <c r="AP135" i="4"/>
  <c r="AQ135" i="4" s="1"/>
  <c r="AP134" i="4"/>
  <c r="AQ134" i="4" s="1"/>
  <c r="AP133" i="4"/>
  <c r="AQ133" i="4" s="1"/>
  <c r="AP132" i="4"/>
  <c r="AQ132" i="4" s="1"/>
  <c r="AP131" i="4"/>
  <c r="AQ131" i="4" s="1"/>
  <c r="AP130" i="4"/>
  <c r="AQ130" i="4" s="1"/>
  <c r="AP129" i="4"/>
  <c r="AQ129" i="4" s="1"/>
  <c r="AP128" i="4"/>
  <c r="AQ128" i="4" s="1"/>
  <c r="AP127" i="4"/>
  <c r="AQ127" i="4" s="1"/>
  <c r="AP126" i="4"/>
  <c r="AQ126" i="4" s="1"/>
  <c r="AP125" i="4"/>
  <c r="AQ125" i="4" s="1"/>
  <c r="AP124" i="4"/>
  <c r="AQ124" i="4" s="1"/>
  <c r="AP123" i="4"/>
  <c r="AQ123" i="4" s="1"/>
  <c r="AP122" i="4"/>
  <c r="AQ122" i="4" s="1"/>
  <c r="AP121" i="4"/>
  <c r="AQ121" i="4" s="1"/>
  <c r="AP120" i="4"/>
  <c r="AQ120" i="4" s="1"/>
  <c r="AP119" i="4"/>
  <c r="AQ119" i="4" s="1"/>
  <c r="AP118" i="4"/>
  <c r="AQ118" i="4" s="1"/>
  <c r="AP117" i="4"/>
  <c r="AQ117" i="4" s="1"/>
  <c r="AP116" i="4"/>
  <c r="AQ116" i="4" s="1"/>
  <c r="AP115" i="4"/>
  <c r="AQ115" i="4" s="1"/>
  <c r="AP114" i="4"/>
  <c r="AQ114" i="4" s="1"/>
  <c r="AP113" i="4"/>
  <c r="AQ113" i="4" s="1"/>
  <c r="AP112" i="4"/>
  <c r="AQ112" i="4" s="1"/>
  <c r="AP111" i="4"/>
  <c r="AQ111" i="4" s="1"/>
  <c r="AP110" i="4"/>
  <c r="AQ110" i="4" s="1"/>
  <c r="AP109" i="4"/>
  <c r="AQ109" i="4" s="1"/>
  <c r="AP108" i="4"/>
  <c r="AQ108" i="4" s="1"/>
  <c r="AP107" i="4"/>
  <c r="AP106" i="4"/>
  <c r="AQ106" i="4" s="1"/>
  <c r="AP105" i="4"/>
  <c r="AQ105" i="4" s="1"/>
  <c r="AP104" i="4"/>
  <c r="AQ104" i="4" s="1"/>
  <c r="AP103" i="4"/>
  <c r="AQ103" i="4" s="1"/>
  <c r="AP102" i="4"/>
  <c r="AQ102" i="4" s="1"/>
  <c r="AP101" i="4"/>
  <c r="AQ101" i="4" s="1"/>
  <c r="AP100" i="4"/>
  <c r="AQ100" i="4" s="1"/>
  <c r="AP99" i="4"/>
  <c r="AQ99" i="4" s="1"/>
  <c r="AP98" i="4"/>
  <c r="AQ98" i="4" s="1"/>
  <c r="AP97" i="4"/>
  <c r="AQ97" i="4" s="1"/>
  <c r="AP96" i="4"/>
  <c r="AQ96" i="4" s="1"/>
  <c r="AP95" i="4"/>
  <c r="AQ95" i="4" s="1"/>
  <c r="AP94" i="4"/>
  <c r="AQ94" i="4" s="1"/>
  <c r="AP93" i="4"/>
  <c r="AQ93" i="4" s="1"/>
  <c r="AP92" i="4"/>
  <c r="AQ92" i="4" s="1"/>
  <c r="AP91" i="4"/>
  <c r="AQ91" i="4" s="1"/>
  <c r="AP90" i="4"/>
  <c r="AQ90" i="4" s="1"/>
  <c r="AP89" i="4"/>
  <c r="AQ89" i="4" s="1"/>
  <c r="AP88" i="4"/>
  <c r="AQ88" i="4" s="1"/>
  <c r="AP87" i="4"/>
  <c r="AQ87" i="4" s="1"/>
  <c r="AP86" i="4"/>
  <c r="AQ86" i="4" s="1"/>
  <c r="AP85" i="4"/>
  <c r="AQ85" i="4" s="1"/>
  <c r="AP84" i="4"/>
  <c r="AQ84" i="4" s="1"/>
  <c r="AP83" i="4"/>
  <c r="AQ83" i="4" s="1"/>
  <c r="AP82" i="4"/>
  <c r="AQ82" i="4" s="1"/>
  <c r="AP81" i="4"/>
  <c r="AQ81" i="4" s="1"/>
  <c r="AP80" i="4"/>
  <c r="AQ80" i="4" s="1"/>
  <c r="AP79" i="4"/>
  <c r="AQ79" i="4" s="1"/>
  <c r="AP78" i="4"/>
  <c r="AQ78" i="4" s="1"/>
  <c r="AP77" i="4"/>
  <c r="AQ77" i="4" s="1"/>
  <c r="AP76" i="4"/>
  <c r="AP75" i="4"/>
  <c r="AQ75" i="4" s="1"/>
  <c r="AP74" i="4"/>
  <c r="AQ74" i="4" s="1"/>
  <c r="AP73" i="4"/>
  <c r="AQ73" i="4" s="1"/>
  <c r="AP72" i="4"/>
  <c r="AQ72" i="4" s="1"/>
  <c r="AP71" i="4"/>
  <c r="AQ71" i="4" s="1"/>
  <c r="AP70" i="4"/>
  <c r="AQ70" i="4" s="1"/>
  <c r="AP69" i="4"/>
  <c r="AQ69" i="4" s="1"/>
  <c r="AP68" i="4"/>
  <c r="AQ68" i="4" s="1"/>
  <c r="AP67" i="4"/>
  <c r="AQ67" i="4" s="1"/>
  <c r="AP66" i="4"/>
  <c r="AQ66" i="4" s="1"/>
  <c r="AP65" i="4"/>
  <c r="AQ65" i="4" s="1"/>
  <c r="AP64" i="4"/>
  <c r="AQ64" i="4" s="1"/>
  <c r="AP63" i="4"/>
  <c r="AQ63" i="4" s="1"/>
  <c r="AP62" i="4"/>
  <c r="AQ62" i="4" s="1"/>
  <c r="AP61" i="4"/>
  <c r="AQ61" i="4" s="1"/>
  <c r="AP60" i="4"/>
  <c r="AQ60" i="4" s="1"/>
  <c r="AP59" i="4"/>
  <c r="AQ59" i="4" s="1"/>
  <c r="AP58" i="4"/>
  <c r="AQ58" i="4" s="1"/>
  <c r="AP57" i="4"/>
  <c r="AQ57" i="4" s="1"/>
  <c r="AP56" i="4"/>
  <c r="AQ56" i="4" s="1"/>
  <c r="AP55" i="4"/>
  <c r="AQ55" i="4" s="1"/>
  <c r="AP54" i="4"/>
  <c r="AQ54" i="4" s="1"/>
  <c r="AP53" i="4"/>
  <c r="AQ53" i="4" s="1"/>
  <c r="AP52" i="4"/>
  <c r="AQ52" i="4" s="1"/>
  <c r="AP51" i="4"/>
  <c r="AQ51" i="4" s="1"/>
  <c r="AP50" i="4"/>
  <c r="AQ50" i="4" s="1"/>
  <c r="AP49" i="4"/>
  <c r="AQ49" i="4" s="1"/>
  <c r="AP48" i="4"/>
  <c r="AQ48" i="4" s="1"/>
  <c r="AP47" i="4"/>
  <c r="AQ47" i="4" s="1"/>
  <c r="AP46" i="4"/>
  <c r="AQ46" i="4" s="1"/>
  <c r="AP45" i="4"/>
  <c r="AQ45" i="4" s="1"/>
  <c r="AP44" i="4"/>
  <c r="AQ44" i="4" s="1"/>
  <c r="AP43" i="4"/>
  <c r="AQ43" i="4" s="1"/>
  <c r="AP42" i="4"/>
  <c r="AQ42" i="4" s="1"/>
  <c r="AP41" i="4"/>
  <c r="AQ41" i="4" s="1"/>
  <c r="AP40" i="4"/>
  <c r="AQ40" i="4" s="1"/>
  <c r="AP39" i="4"/>
  <c r="AQ39" i="4" s="1"/>
  <c r="AP38" i="4"/>
  <c r="AQ38" i="4" s="1"/>
  <c r="AP37" i="4"/>
  <c r="AQ37" i="4" s="1"/>
  <c r="AP36" i="4"/>
  <c r="AQ36" i="4" s="1"/>
  <c r="AP35" i="4"/>
  <c r="AQ35" i="4" s="1"/>
  <c r="AP34" i="4"/>
  <c r="AQ34" i="4" s="1"/>
  <c r="AP33" i="4"/>
  <c r="AQ33" i="4" s="1"/>
  <c r="AP32" i="4"/>
  <c r="AQ32" i="4" s="1"/>
  <c r="AP31" i="4"/>
  <c r="AQ31" i="4" s="1"/>
  <c r="AP30" i="4"/>
  <c r="AQ30" i="4" s="1"/>
  <c r="AP29" i="4"/>
  <c r="AQ29" i="4" s="1"/>
  <c r="AP28" i="4"/>
  <c r="AQ28" i="4" s="1"/>
  <c r="AP27" i="4"/>
  <c r="AQ27" i="4" s="1"/>
  <c r="AP26" i="4"/>
  <c r="AQ26" i="4" s="1"/>
  <c r="AP25" i="4"/>
  <c r="AQ25" i="4" s="1"/>
  <c r="AP24" i="4"/>
  <c r="AQ24" i="4" s="1"/>
  <c r="AP23" i="4"/>
  <c r="AQ23" i="4" s="1"/>
  <c r="AP22" i="4"/>
  <c r="AQ22" i="4" s="1"/>
  <c r="AP21" i="4"/>
  <c r="AQ21" i="4" s="1"/>
  <c r="AP20" i="4"/>
  <c r="AP19" i="4"/>
  <c r="AQ19" i="4" s="1"/>
  <c r="AQ18" i="4"/>
  <c r="AL18" i="4"/>
  <c r="AL19" i="4" s="1"/>
  <c r="AL20" i="4" s="1"/>
  <c r="AL21" i="4" s="1"/>
  <c r="AL22" i="4" s="1"/>
  <c r="AL23" i="4" s="1"/>
  <c r="AL24" i="4" s="1"/>
  <c r="AL25" i="4" s="1"/>
  <c r="AL26" i="4" s="1"/>
  <c r="AL27" i="4" s="1"/>
  <c r="AL28" i="4" s="1"/>
  <c r="AL29" i="4" s="1"/>
  <c r="AL30" i="4" s="1"/>
  <c r="AL31" i="4" s="1"/>
  <c r="AL32" i="4" s="1"/>
  <c r="AL33" i="4" s="1"/>
  <c r="AL34" i="4" s="1"/>
  <c r="AL35" i="4" s="1"/>
  <c r="AL36" i="4" s="1"/>
  <c r="AL37" i="4" s="1"/>
  <c r="AL38" i="4" s="1"/>
  <c r="AL39" i="4" s="1"/>
  <c r="AL40" i="4" s="1"/>
  <c r="AL41" i="4" s="1"/>
  <c r="AL42" i="4" s="1"/>
  <c r="AL43" i="4" s="1"/>
  <c r="AL44" i="4" s="1"/>
  <c r="AL45" i="4" s="1"/>
  <c r="AL46" i="4" s="1"/>
  <c r="AL47" i="4" s="1"/>
  <c r="AL48" i="4" s="1"/>
  <c r="AL49" i="4" s="1"/>
  <c r="AL50" i="4" s="1"/>
  <c r="AL51" i="4" s="1"/>
  <c r="AL52" i="4" s="1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AL65" i="4" s="1"/>
  <c r="AL66" i="4" s="1"/>
  <c r="AL67" i="4" s="1"/>
  <c r="AL68" i="4" s="1"/>
  <c r="AL69" i="4" s="1"/>
  <c r="AL70" i="4" s="1"/>
  <c r="AL71" i="4" s="1"/>
  <c r="AL72" i="4" s="1"/>
  <c r="AL73" i="4" s="1"/>
  <c r="AL74" i="4" s="1"/>
  <c r="AL75" i="4" s="1"/>
  <c r="AL76" i="4" s="1"/>
  <c r="AL77" i="4" s="1"/>
  <c r="AL78" i="4" s="1"/>
  <c r="AL79" i="4" s="1"/>
  <c r="AL80" i="4" s="1"/>
  <c r="AL81" i="4" s="1"/>
  <c r="AL82" i="4" s="1"/>
  <c r="AL83" i="4" s="1"/>
  <c r="AL84" i="4" s="1"/>
  <c r="AL85" i="4" s="1"/>
  <c r="AL86" i="4" s="1"/>
  <c r="AL87" i="4" s="1"/>
  <c r="AL88" i="4" s="1"/>
  <c r="AL89" i="4" s="1"/>
  <c r="AL90" i="4" s="1"/>
  <c r="AL91" i="4" s="1"/>
  <c r="AL92" i="4" s="1"/>
  <c r="AL93" i="4" s="1"/>
  <c r="AL94" i="4" s="1"/>
  <c r="AL95" i="4" s="1"/>
  <c r="AL96" i="4" s="1"/>
  <c r="AL97" i="4" s="1"/>
  <c r="AL98" i="4" s="1"/>
  <c r="AL99" i="4" s="1"/>
  <c r="AL100" i="4" s="1"/>
  <c r="AL101" i="4" s="1"/>
  <c r="AL102" i="4" s="1"/>
  <c r="AL103" i="4" s="1"/>
  <c r="AL104" i="4" s="1"/>
  <c r="AL105" i="4" s="1"/>
  <c r="AL106" i="4" s="1"/>
  <c r="AL107" i="4" s="1"/>
  <c r="AL108" i="4" s="1"/>
  <c r="AL109" i="4" s="1"/>
  <c r="AL110" i="4" s="1"/>
  <c r="AL111" i="4" s="1"/>
  <c r="AL112" i="4" s="1"/>
  <c r="AL113" i="4" s="1"/>
  <c r="AL114" i="4" s="1"/>
  <c r="AL115" i="4" s="1"/>
  <c r="AL116" i="4" s="1"/>
  <c r="AL117" i="4" s="1"/>
  <c r="AL118" i="4" s="1"/>
  <c r="AL119" i="4" s="1"/>
  <c r="AL120" i="4" s="1"/>
  <c r="AL121" i="4" s="1"/>
  <c r="AL122" i="4" s="1"/>
  <c r="AL123" i="4" s="1"/>
  <c r="AL124" i="4" s="1"/>
  <c r="AL125" i="4" s="1"/>
  <c r="AL126" i="4" s="1"/>
  <c r="AL127" i="4" s="1"/>
  <c r="AL128" i="4" s="1"/>
  <c r="AL129" i="4" s="1"/>
  <c r="AL130" i="4" s="1"/>
  <c r="AL131" i="4" s="1"/>
  <c r="AL132" i="4" s="1"/>
  <c r="AL133" i="4" s="1"/>
  <c r="AL134" i="4" s="1"/>
  <c r="AL135" i="4" s="1"/>
  <c r="AL136" i="4" s="1"/>
  <c r="AL137" i="4" s="1"/>
  <c r="AL138" i="4" s="1"/>
  <c r="AL139" i="4" s="1"/>
  <c r="AL140" i="4" s="1"/>
  <c r="AL141" i="4" s="1"/>
  <c r="AL142" i="4" s="1"/>
  <c r="AL143" i="4" s="1"/>
  <c r="AL144" i="4" s="1"/>
  <c r="AL145" i="4" s="1"/>
  <c r="AL146" i="4" s="1"/>
  <c r="AL147" i="4" s="1"/>
  <c r="AL148" i="4" s="1"/>
  <c r="AL149" i="4" s="1"/>
  <c r="AL150" i="4" s="1"/>
  <c r="AL151" i="4" s="1"/>
  <c r="AL152" i="4" s="1"/>
  <c r="AL153" i="4" s="1"/>
  <c r="AL154" i="4" s="1"/>
  <c r="AL155" i="4" s="1"/>
  <c r="AL156" i="4" s="1"/>
  <c r="AL157" i="4" s="1"/>
  <c r="AL158" i="4" s="1"/>
  <c r="AL159" i="4" s="1"/>
  <c r="AL160" i="4" s="1"/>
  <c r="AL161" i="4" s="1"/>
  <c r="AL162" i="4" s="1"/>
  <c r="AL163" i="4" s="1"/>
  <c r="AL164" i="4" s="1"/>
  <c r="AL165" i="4" s="1"/>
  <c r="AL166" i="4" s="1"/>
  <c r="AL167" i="4" s="1"/>
  <c r="AL168" i="4" s="1"/>
  <c r="AL169" i="4" s="1"/>
  <c r="AL170" i="4" s="1"/>
  <c r="AL171" i="4" s="1"/>
  <c r="AL172" i="4" s="1"/>
  <c r="AL173" i="4" s="1"/>
  <c r="AL174" i="4" s="1"/>
  <c r="AL175" i="4" s="1"/>
  <c r="AL176" i="4" s="1"/>
  <c r="AL177" i="4" s="1"/>
  <c r="AL178" i="4" s="1"/>
  <c r="AL179" i="4" s="1"/>
  <c r="AL180" i="4" s="1"/>
  <c r="AL181" i="4" s="1"/>
  <c r="AL182" i="4" s="1"/>
  <c r="AL183" i="4" s="1"/>
  <c r="AL184" i="4" s="1"/>
  <c r="AL185" i="4" s="1"/>
  <c r="AL186" i="4" s="1"/>
  <c r="AL187" i="4" s="1"/>
  <c r="AL188" i="4" s="1"/>
  <c r="AL189" i="4" s="1"/>
  <c r="AL190" i="4" s="1"/>
  <c r="AL191" i="4" s="1"/>
  <c r="AL192" i="4" s="1"/>
  <c r="AL193" i="4" s="1"/>
  <c r="AL194" i="4" s="1"/>
  <c r="AL195" i="4" s="1"/>
  <c r="AL196" i="4" s="1"/>
  <c r="AL197" i="4" s="1"/>
  <c r="AL198" i="4" s="1"/>
  <c r="AL199" i="4" s="1"/>
  <c r="AL200" i="4" s="1"/>
  <c r="AL201" i="4" s="1"/>
  <c r="AL202" i="4" s="1"/>
  <c r="AL203" i="4" s="1"/>
  <c r="AL204" i="4" s="1"/>
  <c r="AL205" i="4" s="1"/>
  <c r="AL206" i="4" s="1"/>
  <c r="AL207" i="4" s="1"/>
  <c r="AL208" i="4" s="1"/>
  <c r="AL209" i="4" s="1"/>
  <c r="AL210" i="4" s="1"/>
  <c r="AL211" i="4" s="1"/>
  <c r="AL212" i="4" s="1"/>
  <c r="AL213" i="4" s="1"/>
  <c r="AL214" i="4" s="1"/>
  <c r="AL215" i="4" s="1"/>
  <c r="AL216" i="4" s="1"/>
  <c r="AL217" i="4" s="1"/>
  <c r="AL218" i="4" s="1"/>
  <c r="AL219" i="4" s="1"/>
  <c r="AL220" i="4" s="1"/>
  <c r="AL221" i="4" s="1"/>
  <c r="AL222" i="4" s="1"/>
  <c r="AL223" i="4" s="1"/>
  <c r="AL224" i="4" s="1"/>
  <c r="AL225" i="4" s="1"/>
  <c r="AL226" i="4" s="1"/>
  <c r="AL227" i="4" s="1"/>
  <c r="AL228" i="4" s="1"/>
  <c r="AL229" i="4" s="1"/>
  <c r="AL230" i="4" s="1"/>
  <c r="AL231" i="4" s="1"/>
  <c r="AL232" i="4" s="1"/>
  <c r="AL233" i="4" s="1"/>
  <c r="AL234" i="4" s="1"/>
  <c r="AL235" i="4" s="1"/>
  <c r="AL236" i="4" s="1"/>
  <c r="AL237" i="4" s="1"/>
  <c r="AL238" i="4" s="1"/>
  <c r="AL239" i="4" s="1"/>
  <c r="AL240" i="4" s="1"/>
  <c r="AL241" i="4" s="1"/>
  <c r="AL242" i="4" s="1"/>
  <c r="AL243" i="4" s="1"/>
  <c r="AL244" i="4" s="1"/>
  <c r="AL245" i="4" s="1"/>
  <c r="AL246" i="4" s="1"/>
  <c r="AL247" i="4" s="1"/>
  <c r="AL248" i="4" s="1"/>
  <c r="AL249" i="4" s="1"/>
  <c r="AL250" i="4" s="1"/>
  <c r="AL251" i="4" s="1"/>
  <c r="AL252" i="4" s="1"/>
  <c r="AL253" i="4" s="1"/>
  <c r="AL254" i="4" s="1"/>
  <c r="AL255" i="4" s="1"/>
  <c r="AL256" i="4" s="1"/>
  <c r="AL257" i="4" s="1"/>
  <c r="AL258" i="4" s="1"/>
  <c r="AL259" i="4" s="1"/>
  <c r="AL260" i="4" s="1"/>
  <c r="AL261" i="4" s="1"/>
  <c r="AL262" i="4" s="1"/>
  <c r="AL263" i="4" s="1"/>
  <c r="AL264" i="4" s="1"/>
  <c r="AL265" i="4" s="1"/>
  <c r="AL266" i="4" s="1"/>
  <c r="AL267" i="4" s="1"/>
  <c r="AL268" i="4" s="1"/>
  <c r="AL269" i="4" s="1"/>
  <c r="AL270" i="4" s="1"/>
  <c r="AL271" i="4" s="1"/>
  <c r="AL272" i="4" s="1"/>
  <c r="AL273" i="4" s="1"/>
  <c r="AL274" i="4" s="1"/>
  <c r="AL275" i="4" s="1"/>
  <c r="AL276" i="4" s="1"/>
  <c r="AL277" i="4" s="1"/>
  <c r="AL278" i="4" s="1"/>
  <c r="AL279" i="4" s="1"/>
  <c r="AL280" i="4" s="1"/>
  <c r="AL281" i="4" s="1"/>
  <c r="AL282" i="4" s="1"/>
  <c r="AL283" i="4" s="1"/>
  <c r="AL284" i="4" s="1"/>
  <c r="AL285" i="4" s="1"/>
  <c r="AL286" i="4" s="1"/>
  <c r="AL287" i="4" s="1"/>
  <c r="AL288" i="4" s="1"/>
  <c r="AL289" i="4" s="1"/>
  <c r="AL290" i="4" s="1"/>
  <c r="AL291" i="4" s="1"/>
  <c r="AL292" i="4" s="1"/>
  <c r="AL293" i="4" s="1"/>
  <c r="AL294" i="4" s="1"/>
  <c r="AL295" i="4" s="1"/>
  <c r="AL296" i="4" s="1"/>
  <c r="AL297" i="4" s="1"/>
  <c r="AL298" i="4" s="1"/>
  <c r="AL299" i="4" s="1"/>
  <c r="AL300" i="4" s="1"/>
  <c r="AL301" i="4" s="1"/>
  <c r="AL302" i="4" s="1"/>
  <c r="AL303" i="4" s="1"/>
  <c r="AL304" i="4" s="1"/>
  <c r="AL305" i="4" s="1"/>
  <c r="AL306" i="4" s="1"/>
  <c r="AL307" i="4" s="1"/>
  <c r="AL308" i="4" s="1"/>
  <c r="AL309" i="4" s="1"/>
  <c r="AL310" i="4" s="1"/>
  <c r="AL311" i="4" s="1"/>
  <c r="AL312" i="4" s="1"/>
  <c r="AL313" i="4" s="1"/>
  <c r="AL314" i="4" s="1"/>
  <c r="AL315" i="4" s="1"/>
  <c r="AL316" i="4" s="1"/>
  <c r="AL317" i="4" s="1"/>
  <c r="AL318" i="4" s="1"/>
  <c r="AL319" i="4" s="1"/>
  <c r="AL320" i="4" s="1"/>
  <c r="AL321" i="4" s="1"/>
  <c r="AL322" i="4" s="1"/>
  <c r="AL323" i="4" s="1"/>
  <c r="AL324" i="4" s="1"/>
  <c r="AL325" i="4" s="1"/>
  <c r="AL326" i="4" s="1"/>
  <c r="AL327" i="4" s="1"/>
  <c r="AL328" i="4" s="1"/>
  <c r="AL329" i="4" s="1"/>
  <c r="AL330" i="4" s="1"/>
  <c r="AL331" i="4" s="1"/>
  <c r="AL332" i="4" s="1"/>
  <c r="AL333" i="4" s="1"/>
  <c r="AL334" i="4" s="1"/>
  <c r="AL335" i="4" s="1"/>
  <c r="AL336" i="4" s="1"/>
  <c r="AL337" i="4" s="1"/>
  <c r="AL338" i="4" s="1"/>
  <c r="AL339" i="4" s="1"/>
  <c r="AL340" i="4" s="1"/>
  <c r="AL341" i="4" s="1"/>
  <c r="AL342" i="4" s="1"/>
  <c r="AL343" i="4" s="1"/>
  <c r="AL344" i="4" s="1"/>
  <c r="AL345" i="4" s="1"/>
  <c r="AL346" i="4" s="1"/>
  <c r="AL347" i="4" s="1"/>
  <c r="AL348" i="4" s="1"/>
  <c r="AL349" i="4" s="1"/>
  <c r="AL350" i="4" s="1"/>
  <c r="AL351" i="4" s="1"/>
  <c r="AL352" i="4" s="1"/>
  <c r="AL353" i="4" s="1"/>
  <c r="AL354" i="4" s="1"/>
  <c r="AL355" i="4" s="1"/>
  <c r="AL356" i="4" s="1"/>
  <c r="AL357" i="4" s="1"/>
  <c r="AL358" i="4" s="1"/>
  <c r="AL359" i="4" s="1"/>
  <c r="AL360" i="4" s="1"/>
  <c r="AL361" i="4" s="1"/>
  <c r="AL362" i="4" s="1"/>
  <c r="AL363" i="4" s="1"/>
  <c r="AL364" i="4" s="1"/>
  <c r="AL365" i="4" s="1"/>
  <c r="AL366" i="4" s="1"/>
  <c r="AL367" i="4" s="1"/>
  <c r="AL368" i="4" s="1"/>
  <c r="AL369" i="4" s="1"/>
  <c r="AL370" i="4" s="1"/>
  <c r="AL371" i="4" s="1"/>
  <c r="AL372" i="4" s="1"/>
  <c r="AL373" i="4" s="1"/>
  <c r="AL374" i="4" s="1"/>
  <c r="AL375" i="4" s="1"/>
  <c r="AL376" i="4" s="1"/>
  <c r="AL377" i="4" s="1"/>
  <c r="AL378" i="4" s="1"/>
  <c r="AL379" i="4" s="1"/>
  <c r="AL380" i="4" s="1"/>
  <c r="AL381" i="4" s="1"/>
  <c r="AP17" i="4"/>
  <c r="AO12" i="4"/>
  <c r="AN12" i="4"/>
  <c r="AM12" i="4"/>
  <c r="AO11" i="4"/>
  <c r="AN11" i="4"/>
  <c r="AM11" i="4"/>
  <c r="AO10" i="4"/>
  <c r="AN10" i="4"/>
  <c r="AM10" i="4"/>
  <c r="AO9" i="4"/>
  <c r="AN9" i="4"/>
  <c r="AM9" i="4"/>
  <c r="AO6" i="4"/>
  <c r="AN6" i="4"/>
  <c r="AM6" i="4"/>
  <c r="AJ383" i="4"/>
  <c r="AJ382" i="4"/>
  <c r="AJ381" i="4"/>
  <c r="AK381" i="4" s="1"/>
  <c r="AJ380" i="4"/>
  <c r="AK380" i="4" s="1"/>
  <c r="AJ379" i="4"/>
  <c r="AK379" i="4" s="1"/>
  <c r="AJ378" i="4"/>
  <c r="AK378" i="4" s="1"/>
  <c r="AJ377" i="4"/>
  <c r="AK377" i="4" s="1"/>
  <c r="AJ376" i="4"/>
  <c r="AK376" i="4" s="1"/>
  <c r="AJ375" i="4"/>
  <c r="AK375" i="4" s="1"/>
  <c r="AJ374" i="4"/>
  <c r="AK374" i="4" s="1"/>
  <c r="AJ373" i="4"/>
  <c r="AK373" i="4" s="1"/>
  <c r="AJ372" i="4"/>
  <c r="AK372" i="4" s="1"/>
  <c r="AJ371" i="4"/>
  <c r="AK371" i="4" s="1"/>
  <c r="AJ370" i="4"/>
  <c r="AK370" i="4" s="1"/>
  <c r="AJ369" i="4"/>
  <c r="AK369" i="4" s="1"/>
  <c r="AJ368" i="4"/>
  <c r="AK368" i="4" s="1"/>
  <c r="AJ367" i="4"/>
  <c r="AK367" i="4" s="1"/>
  <c r="AJ366" i="4"/>
  <c r="AK366" i="4" s="1"/>
  <c r="AJ365" i="4"/>
  <c r="AK365" i="4" s="1"/>
  <c r="AJ364" i="4"/>
  <c r="AK364" i="4" s="1"/>
  <c r="AJ363" i="4"/>
  <c r="AK363" i="4" s="1"/>
  <c r="AJ362" i="4"/>
  <c r="AK362" i="4" s="1"/>
  <c r="AJ361" i="4"/>
  <c r="AK361" i="4" s="1"/>
  <c r="AJ360" i="4"/>
  <c r="AK360" i="4" s="1"/>
  <c r="AJ359" i="4"/>
  <c r="AK359" i="4" s="1"/>
  <c r="AJ358" i="4"/>
  <c r="AK358" i="4" s="1"/>
  <c r="AJ357" i="4"/>
  <c r="AK357" i="4" s="1"/>
  <c r="AJ356" i="4"/>
  <c r="AK356" i="4" s="1"/>
  <c r="AJ355" i="4"/>
  <c r="AK355" i="4" s="1"/>
  <c r="AJ354" i="4"/>
  <c r="AK354" i="4" s="1"/>
  <c r="AJ353" i="4"/>
  <c r="AK353" i="4" s="1"/>
  <c r="AJ352" i="4"/>
  <c r="AJ351" i="4"/>
  <c r="AK351" i="4" s="1"/>
  <c r="AJ350" i="4"/>
  <c r="AK350" i="4" s="1"/>
  <c r="AJ349" i="4"/>
  <c r="AK349" i="4" s="1"/>
  <c r="AJ348" i="4"/>
  <c r="AK348" i="4" s="1"/>
  <c r="AJ347" i="4"/>
  <c r="AK347" i="4" s="1"/>
  <c r="AJ346" i="4"/>
  <c r="AK346" i="4" s="1"/>
  <c r="AJ345" i="4"/>
  <c r="AK345" i="4" s="1"/>
  <c r="AJ344" i="4"/>
  <c r="AK344" i="4" s="1"/>
  <c r="AJ343" i="4"/>
  <c r="AK343" i="4" s="1"/>
  <c r="AJ342" i="4"/>
  <c r="AK342" i="4" s="1"/>
  <c r="AJ341" i="4"/>
  <c r="AK341" i="4" s="1"/>
  <c r="AJ340" i="4"/>
  <c r="AK340" i="4" s="1"/>
  <c r="AJ339" i="4"/>
  <c r="AK339" i="4" s="1"/>
  <c r="AJ338" i="4"/>
  <c r="AK338" i="4" s="1"/>
  <c r="AJ337" i="4"/>
  <c r="AK337" i="4" s="1"/>
  <c r="AJ336" i="4"/>
  <c r="AK336" i="4" s="1"/>
  <c r="AJ335" i="4"/>
  <c r="AK335" i="4" s="1"/>
  <c r="AJ334" i="4"/>
  <c r="AK334" i="4" s="1"/>
  <c r="AJ333" i="4"/>
  <c r="AK333" i="4" s="1"/>
  <c r="AJ332" i="4"/>
  <c r="AK332" i="4" s="1"/>
  <c r="AJ331" i="4"/>
  <c r="AK331" i="4" s="1"/>
  <c r="AJ330" i="4"/>
  <c r="AK330" i="4" s="1"/>
  <c r="AJ329" i="4"/>
  <c r="AK329" i="4" s="1"/>
  <c r="AJ328" i="4"/>
  <c r="AK328" i="4" s="1"/>
  <c r="AJ327" i="4"/>
  <c r="AK327" i="4" s="1"/>
  <c r="AJ326" i="4"/>
  <c r="AK326" i="4" s="1"/>
  <c r="AJ325" i="4"/>
  <c r="AK325" i="4" s="1"/>
  <c r="AJ324" i="4"/>
  <c r="AJ323" i="4"/>
  <c r="AK323" i="4" s="1"/>
  <c r="AJ322" i="4"/>
  <c r="AK322" i="4" s="1"/>
  <c r="AJ321" i="4"/>
  <c r="AK321" i="4" s="1"/>
  <c r="AJ320" i="4"/>
  <c r="AK320" i="4" s="1"/>
  <c r="AJ319" i="4"/>
  <c r="AK319" i="4" s="1"/>
  <c r="AJ318" i="4"/>
  <c r="AK318" i="4" s="1"/>
  <c r="AJ317" i="4"/>
  <c r="AK317" i="4" s="1"/>
  <c r="AJ316" i="4"/>
  <c r="AK316" i="4" s="1"/>
  <c r="AJ315" i="4"/>
  <c r="AK315" i="4" s="1"/>
  <c r="AJ314" i="4"/>
  <c r="AK314" i="4" s="1"/>
  <c r="AJ313" i="4"/>
  <c r="AK313" i="4" s="1"/>
  <c r="AJ312" i="4"/>
  <c r="AK312" i="4" s="1"/>
  <c r="AJ311" i="4"/>
  <c r="AK311" i="4" s="1"/>
  <c r="AJ310" i="4"/>
  <c r="AK310" i="4" s="1"/>
  <c r="AJ309" i="4"/>
  <c r="AK309" i="4" s="1"/>
  <c r="AJ308" i="4"/>
  <c r="AK308" i="4" s="1"/>
  <c r="AJ307" i="4"/>
  <c r="AK307" i="4" s="1"/>
  <c r="AJ306" i="4"/>
  <c r="AK306" i="4" s="1"/>
  <c r="AJ305" i="4"/>
  <c r="AK305" i="4" s="1"/>
  <c r="AJ304" i="4"/>
  <c r="AK304" i="4" s="1"/>
  <c r="AJ303" i="4"/>
  <c r="AK303" i="4" s="1"/>
  <c r="AJ302" i="4"/>
  <c r="AK302" i="4" s="1"/>
  <c r="AJ301" i="4"/>
  <c r="AK301" i="4" s="1"/>
  <c r="AJ300" i="4"/>
  <c r="AK300" i="4" s="1"/>
  <c r="AJ299" i="4"/>
  <c r="AK299" i="4" s="1"/>
  <c r="AJ298" i="4"/>
  <c r="AK298" i="4" s="1"/>
  <c r="AJ297" i="4"/>
  <c r="AK297" i="4" s="1"/>
  <c r="AJ296" i="4"/>
  <c r="AK296" i="4" s="1"/>
  <c r="AJ295" i="4"/>
  <c r="AK295" i="4" s="1"/>
  <c r="AJ294" i="4"/>
  <c r="AK294" i="4" s="1"/>
  <c r="AJ293" i="4"/>
  <c r="AK293" i="4" s="1"/>
  <c r="AJ292" i="4"/>
  <c r="AK292" i="4" s="1"/>
  <c r="AJ291" i="4"/>
  <c r="AK291" i="4" s="1"/>
  <c r="AK290" i="4"/>
  <c r="AJ290" i="4"/>
  <c r="AJ289" i="4"/>
  <c r="AK289" i="4" s="1"/>
  <c r="AJ288" i="4"/>
  <c r="AK288" i="4" s="1"/>
  <c r="AJ287" i="4"/>
  <c r="AK287" i="4" s="1"/>
  <c r="AJ286" i="4"/>
  <c r="AK286" i="4" s="1"/>
  <c r="AJ285" i="4"/>
  <c r="AK285" i="4" s="1"/>
  <c r="AJ284" i="4"/>
  <c r="AK284" i="4" s="1"/>
  <c r="AJ283" i="4"/>
  <c r="AK283" i="4" s="1"/>
  <c r="AJ282" i="4"/>
  <c r="AK282" i="4" s="1"/>
  <c r="AJ281" i="4"/>
  <c r="AK281" i="4" s="1"/>
  <c r="AJ280" i="4"/>
  <c r="AK280" i="4" s="1"/>
  <c r="AJ279" i="4"/>
  <c r="AK279" i="4" s="1"/>
  <c r="AJ278" i="4"/>
  <c r="AK278" i="4" s="1"/>
  <c r="AJ277" i="4"/>
  <c r="AK277" i="4" s="1"/>
  <c r="AJ276" i="4"/>
  <c r="AK276" i="4" s="1"/>
  <c r="AJ275" i="4"/>
  <c r="AK275" i="4" s="1"/>
  <c r="AJ274" i="4"/>
  <c r="AK274" i="4" s="1"/>
  <c r="AJ273" i="4"/>
  <c r="AK273" i="4" s="1"/>
  <c r="AJ272" i="4"/>
  <c r="AK272" i="4" s="1"/>
  <c r="AJ271" i="4"/>
  <c r="AK271" i="4" s="1"/>
  <c r="AJ270" i="4"/>
  <c r="AK270" i="4" s="1"/>
  <c r="AJ269" i="4"/>
  <c r="AK269" i="4" s="1"/>
  <c r="AJ268" i="4"/>
  <c r="AK268" i="4" s="1"/>
  <c r="AJ267" i="4"/>
  <c r="AK267" i="4" s="1"/>
  <c r="AJ266" i="4"/>
  <c r="AK266" i="4" s="1"/>
  <c r="AJ265" i="4"/>
  <c r="AK265" i="4" s="1"/>
  <c r="AJ264" i="4"/>
  <c r="AK264" i="4" s="1"/>
  <c r="AJ263" i="4"/>
  <c r="AK263" i="4" s="1"/>
  <c r="AJ262" i="4"/>
  <c r="AK262" i="4" s="1"/>
  <c r="AJ261" i="4"/>
  <c r="AJ260" i="4"/>
  <c r="AK260" i="4" s="1"/>
  <c r="AJ259" i="4"/>
  <c r="AK259" i="4" s="1"/>
  <c r="AJ258" i="4"/>
  <c r="AK258" i="4" s="1"/>
  <c r="AJ257" i="4"/>
  <c r="AK257" i="4" s="1"/>
  <c r="AJ256" i="4"/>
  <c r="AK256" i="4" s="1"/>
  <c r="AJ255" i="4"/>
  <c r="AK255" i="4" s="1"/>
  <c r="AJ254" i="4"/>
  <c r="AK254" i="4" s="1"/>
  <c r="AJ253" i="4"/>
  <c r="AK253" i="4" s="1"/>
  <c r="AJ252" i="4"/>
  <c r="AK252" i="4" s="1"/>
  <c r="AJ251" i="4"/>
  <c r="AK251" i="4" s="1"/>
  <c r="AJ250" i="4"/>
  <c r="AK250" i="4" s="1"/>
  <c r="AJ249" i="4"/>
  <c r="AK249" i="4" s="1"/>
  <c r="AJ248" i="4"/>
  <c r="AK248" i="4" s="1"/>
  <c r="AJ247" i="4"/>
  <c r="AK247" i="4" s="1"/>
  <c r="AJ246" i="4"/>
  <c r="AK246" i="4" s="1"/>
  <c r="AJ245" i="4"/>
  <c r="AK245" i="4" s="1"/>
  <c r="AJ244" i="4"/>
  <c r="AK244" i="4" s="1"/>
  <c r="AJ243" i="4"/>
  <c r="AK243" i="4" s="1"/>
  <c r="AJ242" i="4"/>
  <c r="AK242" i="4" s="1"/>
  <c r="AJ241" i="4"/>
  <c r="AK241" i="4" s="1"/>
  <c r="AJ240" i="4"/>
  <c r="AK240" i="4" s="1"/>
  <c r="AJ239" i="4"/>
  <c r="AK239" i="4" s="1"/>
  <c r="AJ238" i="4"/>
  <c r="AK238" i="4" s="1"/>
  <c r="AJ237" i="4"/>
  <c r="AK237" i="4" s="1"/>
  <c r="AJ236" i="4"/>
  <c r="AK236" i="4" s="1"/>
  <c r="AJ235" i="4"/>
  <c r="AK235" i="4" s="1"/>
  <c r="AJ234" i="4"/>
  <c r="AK234" i="4" s="1"/>
  <c r="AJ233" i="4"/>
  <c r="AK233" i="4" s="1"/>
  <c r="AJ232" i="4"/>
  <c r="AK232" i="4" s="1"/>
  <c r="AJ231" i="4"/>
  <c r="AK231" i="4" s="1"/>
  <c r="AJ230" i="4"/>
  <c r="AK230" i="4" s="1"/>
  <c r="AJ229" i="4"/>
  <c r="AK229" i="4" s="1"/>
  <c r="AJ228" i="4"/>
  <c r="AK228" i="4" s="1"/>
  <c r="AJ227" i="4"/>
  <c r="AK227" i="4" s="1"/>
  <c r="AJ226" i="4"/>
  <c r="AK226" i="4" s="1"/>
  <c r="AJ225" i="4"/>
  <c r="AK225" i="4" s="1"/>
  <c r="AJ224" i="4"/>
  <c r="AK224" i="4" s="1"/>
  <c r="AJ223" i="4"/>
  <c r="AK223" i="4" s="1"/>
  <c r="AJ222" i="4"/>
  <c r="AK222" i="4" s="1"/>
  <c r="AJ221" i="4"/>
  <c r="AK221" i="4" s="1"/>
  <c r="AJ220" i="4"/>
  <c r="AK220" i="4" s="1"/>
  <c r="AJ219" i="4"/>
  <c r="AK219" i="4" s="1"/>
  <c r="AJ218" i="4"/>
  <c r="AK218" i="4" s="1"/>
  <c r="AJ217" i="4"/>
  <c r="AK217" i="4" s="1"/>
  <c r="AJ216" i="4"/>
  <c r="AK216" i="4" s="1"/>
  <c r="AJ215" i="4"/>
  <c r="AK215" i="4" s="1"/>
  <c r="AJ214" i="4"/>
  <c r="AK214" i="4" s="1"/>
  <c r="AJ213" i="4"/>
  <c r="AK213" i="4" s="1"/>
  <c r="AJ212" i="4"/>
  <c r="AK212" i="4" s="1"/>
  <c r="AJ211" i="4"/>
  <c r="AK211" i="4" s="1"/>
  <c r="AJ210" i="4"/>
  <c r="AK210" i="4" s="1"/>
  <c r="AJ209" i="4"/>
  <c r="AK209" i="4" s="1"/>
  <c r="AJ208" i="4"/>
  <c r="AK208" i="4" s="1"/>
  <c r="AJ207" i="4"/>
  <c r="AK207" i="4" s="1"/>
  <c r="AJ206" i="4"/>
  <c r="AK206" i="4" s="1"/>
  <c r="AJ205" i="4"/>
  <c r="AK205" i="4" s="1"/>
  <c r="AJ204" i="4"/>
  <c r="AK204" i="4" s="1"/>
  <c r="AJ203" i="4"/>
  <c r="AK203" i="4" s="1"/>
  <c r="AJ202" i="4"/>
  <c r="AK202" i="4" s="1"/>
  <c r="AJ201" i="4"/>
  <c r="AK201" i="4" s="1"/>
  <c r="AJ200" i="4"/>
  <c r="AK200" i="4" s="1"/>
  <c r="AJ199" i="4"/>
  <c r="AK199" i="4" s="1"/>
  <c r="AJ198" i="4"/>
  <c r="AK198" i="4" s="1"/>
  <c r="AJ197" i="4"/>
  <c r="AK197" i="4" s="1"/>
  <c r="AJ196" i="4"/>
  <c r="AK196" i="4" s="1"/>
  <c r="AJ195" i="4"/>
  <c r="AK195" i="4" s="1"/>
  <c r="AJ194" i="4"/>
  <c r="AK194" i="4" s="1"/>
  <c r="AJ193" i="4"/>
  <c r="AK193" i="4" s="1"/>
  <c r="AJ192" i="4"/>
  <c r="AK192" i="4" s="1"/>
  <c r="AJ191" i="4"/>
  <c r="AK191" i="4" s="1"/>
  <c r="AJ190" i="4"/>
  <c r="AK190" i="4" s="1"/>
  <c r="AJ189" i="4"/>
  <c r="AK189" i="4" s="1"/>
  <c r="AJ188" i="4"/>
  <c r="AK188" i="4" s="1"/>
  <c r="AJ187" i="4"/>
  <c r="AK187" i="4" s="1"/>
  <c r="AJ186" i="4"/>
  <c r="AK186" i="4" s="1"/>
  <c r="AJ185" i="4"/>
  <c r="AK185" i="4" s="1"/>
  <c r="AJ184" i="4"/>
  <c r="AK184" i="4" s="1"/>
  <c r="AJ183" i="4"/>
  <c r="AK183" i="4" s="1"/>
  <c r="AJ182" i="4"/>
  <c r="AK182" i="4" s="1"/>
  <c r="AJ181" i="4"/>
  <c r="AK181" i="4" s="1"/>
  <c r="AJ180" i="4"/>
  <c r="AK180" i="4" s="1"/>
  <c r="AJ179" i="4"/>
  <c r="AK179" i="4" s="1"/>
  <c r="AJ178" i="4"/>
  <c r="AK178" i="4" s="1"/>
  <c r="AJ177" i="4"/>
  <c r="AK177" i="4" s="1"/>
  <c r="AJ176" i="4"/>
  <c r="AK176" i="4" s="1"/>
  <c r="AJ175" i="4"/>
  <c r="AK175" i="4" s="1"/>
  <c r="AJ174" i="4"/>
  <c r="AK174" i="4" s="1"/>
  <c r="AJ173" i="4"/>
  <c r="AK173" i="4" s="1"/>
  <c r="AJ172" i="4"/>
  <c r="AK172" i="4" s="1"/>
  <c r="AJ171" i="4"/>
  <c r="AK171" i="4" s="1"/>
  <c r="AJ170" i="4"/>
  <c r="AK170" i="4" s="1"/>
  <c r="AJ169" i="4"/>
  <c r="AK169" i="4" s="1"/>
  <c r="AJ168" i="4"/>
  <c r="AJ167" i="4"/>
  <c r="AK167" i="4" s="1"/>
  <c r="AJ166" i="4"/>
  <c r="AK166" i="4" s="1"/>
  <c r="AJ165" i="4"/>
  <c r="AK165" i="4" s="1"/>
  <c r="AJ164" i="4"/>
  <c r="AK164" i="4" s="1"/>
  <c r="AJ163" i="4"/>
  <c r="AK163" i="4" s="1"/>
  <c r="AJ162" i="4"/>
  <c r="AK162" i="4" s="1"/>
  <c r="AJ161" i="4"/>
  <c r="AK161" i="4" s="1"/>
  <c r="AJ160" i="4"/>
  <c r="AK160" i="4" s="1"/>
  <c r="AJ159" i="4"/>
  <c r="AK159" i="4" s="1"/>
  <c r="AJ158" i="4"/>
  <c r="AK158" i="4" s="1"/>
  <c r="AJ157" i="4"/>
  <c r="AK157" i="4" s="1"/>
  <c r="AJ156" i="4"/>
  <c r="AK156" i="4" s="1"/>
  <c r="AJ155" i="4"/>
  <c r="AK155" i="4" s="1"/>
  <c r="AJ154" i="4"/>
  <c r="AK154" i="4" s="1"/>
  <c r="AJ153" i="4"/>
  <c r="AK153" i="4" s="1"/>
  <c r="AJ152" i="4"/>
  <c r="AK152" i="4" s="1"/>
  <c r="AJ151" i="4"/>
  <c r="AK151" i="4" s="1"/>
  <c r="AJ150" i="4"/>
  <c r="AK150" i="4" s="1"/>
  <c r="AJ149" i="4"/>
  <c r="AK149" i="4" s="1"/>
  <c r="AJ148" i="4"/>
  <c r="AK148" i="4" s="1"/>
  <c r="AJ147" i="4"/>
  <c r="AK147" i="4" s="1"/>
  <c r="AJ146" i="4"/>
  <c r="AK146" i="4" s="1"/>
  <c r="AJ145" i="4"/>
  <c r="AK145" i="4" s="1"/>
  <c r="AJ144" i="4"/>
  <c r="AK144" i="4" s="1"/>
  <c r="AJ143" i="4"/>
  <c r="AK143" i="4" s="1"/>
  <c r="AJ142" i="4"/>
  <c r="AK142" i="4" s="1"/>
  <c r="AJ141" i="4"/>
  <c r="AK141" i="4" s="1"/>
  <c r="AJ140" i="4"/>
  <c r="AK140" i="4" s="1"/>
  <c r="AJ139" i="4"/>
  <c r="AK139" i="4" s="1"/>
  <c r="AJ138" i="4"/>
  <c r="AK138" i="4" s="1"/>
  <c r="AJ137" i="4"/>
  <c r="AJ136" i="4"/>
  <c r="AK136" i="4" s="1"/>
  <c r="AJ135" i="4"/>
  <c r="AK135" i="4" s="1"/>
  <c r="AJ134" i="4"/>
  <c r="AK134" i="4" s="1"/>
  <c r="AJ133" i="4"/>
  <c r="AK133" i="4" s="1"/>
  <c r="AJ132" i="4"/>
  <c r="AK132" i="4" s="1"/>
  <c r="AJ131" i="4"/>
  <c r="AK131" i="4" s="1"/>
  <c r="AJ130" i="4"/>
  <c r="AK130" i="4" s="1"/>
  <c r="AJ129" i="4"/>
  <c r="AK129" i="4" s="1"/>
  <c r="AJ128" i="4"/>
  <c r="AK128" i="4" s="1"/>
  <c r="AJ127" i="4"/>
  <c r="AK127" i="4" s="1"/>
  <c r="AJ126" i="4"/>
  <c r="AK126" i="4" s="1"/>
  <c r="AJ125" i="4"/>
  <c r="AK125" i="4" s="1"/>
  <c r="AJ124" i="4"/>
  <c r="AK124" i="4" s="1"/>
  <c r="AJ123" i="4"/>
  <c r="AK123" i="4" s="1"/>
  <c r="AJ122" i="4"/>
  <c r="AK122" i="4" s="1"/>
  <c r="AJ121" i="4"/>
  <c r="AK121" i="4" s="1"/>
  <c r="AJ120" i="4"/>
  <c r="AK120" i="4" s="1"/>
  <c r="AJ119" i="4"/>
  <c r="AK119" i="4" s="1"/>
  <c r="AJ118" i="4"/>
  <c r="AK118" i="4" s="1"/>
  <c r="AJ117" i="4"/>
  <c r="AK117" i="4" s="1"/>
  <c r="AJ116" i="4"/>
  <c r="AK116" i="4" s="1"/>
  <c r="AJ115" i="4"/>
  <c r="AK115" i="4" s="1"/>
  <c r="AJ114" i="4"/>
  <c r="AK114" i="4" s="1"/>
  <c r="AJ113" i="4"/>
  <c r="AK113" i="4" s="1"/>
  <c r="AJ112" i="4"/>
  <c r="AK112" i="4" s="1"/>
  <c r="AJ111" i="4"/>
  <c r="AK111" i="4" s="1"/>
  <c r="AJ110" i="4"/>
  <c r="AK110" i="4" s="1"/>
  <c r="AJ109" i="4"/>
  <c r="AJ108" i="4"/>
  <c r="AK108" i="4" s="1"/>
  <c r="AJ107" i="4"/>
  <c r="AK107" i="4" s="1"/>
  <c r="AJ106" i="4"/>
  <c r="AK106" i="4" s="1"/>
  <c r="AJ105" i="4"/>
  <c r="AK105" i="4" s="1"/>
  <c r="AJ104" i="4"/>
  <c r="AK104" i="4" s="1"/>
  <c r="AJ103" i="4"/>
  <c r="AK103" i="4" s="1"/>
  <c r="AJ102" i="4"/>
  <c r="AK102" i="4" s="1"/>
  <c r="AJ101" i="4"/>
  <c r="AK101" i="4" s="1"/>
  <c r="AJ100" i="4"/>
  <c r="AK100" i="4" s="1"/>
  <c r="AJ99" i="4"/>
  <c r="AK99" i="4" s="1"/>
  <c r="AJ98" i="4"/>
  <c r="AK98" i="4" s="1"/>
  <c r="AJ97" i="4"/>
  <c r="AK97" i="4" s="1"/>
  <c r="AJ96" i="4"/>
  <c r="AK96" i="4" s="1"/>
  <c r="AJ95" i="4"/>
  <c r="AK95" i="4" s="1"/>
  <c r="AJ94" i="4"/>
  <c r="AK94" i="4" s="1"/>
  <c r="AJ93" i="4"/>
  <c r="AK93" i="4" s="1"/>
  <c r="AJ92" i="4"/>
  <c r="AK92" i="4" s="1"/>
  <c r="AJ91" i="4"/>
  <c r="AK91" i="4" s="1"/>
  <c r="AJ90" i="4"/>
  <c r="AK90" i="4" s="1"/>
  <c r="AJ89" i="4"/>
  <c r="AK89" i="4" s="1"/>
  <c r="AJ88" i="4"/>
  <c r="AK88" i="4" s="1"/>
  <c r="AJ87" i="4"/>
  <c r="AK87" i="4" s="1"/>
  <c r="AJ86" i="4"/>
  <c r="AK86" i="4" s="1"/>
  <c r="AJ85" i="4"/>
  <c r="AK85" i="4" s="1"/>
  <c r="AJ84" i="4"/>
  <c r="AK84" i="4" s="1"/>
  <c r="AJ83" i="4"/>
  <c r="AK83" i="4" s="1"/>
  <c r="AJ82" i="4"/>
  <c r="AK82" i="4" s="1"/>
  <c r="AJ81" i="4"/>
  <c r="AK81" i="4" s="1"/>
  <c r="AJ80" i="4"/>
  <c r="AK80" i="4" s="1"/>
  <c r="AJ79" i="4"/>
  <c r="AK79" i="4" s="1"/>
  <c r="AJ78" i="4"/>
  <c r="AK78" i="4" s="1"/>
  <c r="AJ77" i="4"/>
  <c r="AK77" i="4" s="1"/>
  <c r="AJ76" i="4"/>
  <c r="AJ75" i="4"/>
  <c r="AK75" i="4" s="1"/>
  <c r="AJ74" i="4"/>
  <c r="AK74" i="4" s="1"/>
  <c r="AJ73" i="4"/>
  <c r="AK73" i="4" s="1"/>
  <c r="AJ72" i="4"/>
  <c r="AK72" i="4" s="1"/>
  <c r="AJ71" i="4"/>
  <c r="AK71" i="4" s="1"/>
  <c r="AJ70" i="4"/>
  <c r="AK70" i="4" s="1"/>
  <c r="AJ69" i="4"/>
  <c r="AK69" i="4" s="1"/>
  <c r="AJ68" i="4"/>
  <c r="AK68" i="4" s="1"/>
  <c r="AJ67" i="4"/>
  <c r="AK67" i="4" s="1"/>
  <c r="AJ66" i="4"/>
  <c r="AK66" i="4" s="1"/>
  <c r="AJ65" i="4"/>
  <c r="AK65" i="4" s="1"/>
  <c r="AJ64" i="4"/>
  <c r="AK64" i="4" s="1"/>
  <c r="AJ63" i="4"/>
  <c r="AK63" i="4" s="1"/>
  <c r="AJ62" i="4"/>
  <c r="AK62" i="4" s="1"/>
  <c r="AJ61" i="4"/>
  <c r="AK61" i="4" s="1"/>
  <c r="AJ60" i="4"/>
  <c r="AK60" i="4" s="1"/>
  <c r="AJ59" i="4"/>
  <c r="AK59" i="4" s="1"/>
  <c r="AJ58" i="4"/>
  <c r="AK58" i="4" s="1"/>
  <c r="AJ57" i="4"/>
  <c r="AK57" i="4" s="1"/>
  <c r="AJ56" i="4"/>
  <c r="AJ55" i="4"/>
  <c r="AK55" i="4" s="1"/>
  <c r="AJ54" i="4"/>
  <c r="AK54" i="4" s="1"/>
  <c r="AJ53" i="4"/>
  <c r="AK53" i="4" s="1"/>
  <c r="AJ52" i="4"/>
  <c r="AK52" i="4" s="1"/>
  <c r="AJ51" i="4"/>
  <c r="AK51" i="4" s="1"/>
  <c r="AJ50" i="4"/>
  <c r="AK50" i="4" s="1"/>
  <c r="AJ49" i="4"/>
  <c r="AK49" i="4" s="1"/>
  <c r="AJ48" i="4"/>
  <c r="AK48" i="4" s="1"/>
  <c r="AJ47" i="4"/>
  <c r="AK47" i="4" s="1"/>
  <c r="AJ46" i="4"/>
  <c r="AK46" i="4" s="1"/>
  <c r="AJ45" i="4"/>
  <c r="AK45" i="4" s="1"/>
  <c r="AJ44" i="4"/>
  <c r="AK44" i="4" s="1"/>
  <c r="AJ43" i="4"/>
  <c r="AK43" i="4" s="1"/>
  <c r="AJ42" i="4"/>
  <c r="AK42" i="4" s="1"/>
  <c r="AJ41" i="4"/>
  <c r="AK41" i="4" s="1"/>
  <c r="AJ40" i="4"/>
  <c r="AK40" i="4" s="1"/>
  <c r="AJ39" i="4"/>
  <c r="AK39" i="4" s="1"/>
  <c r="AJ38" i="4"/>
  <c r="AK38" i="4" s="1"/>
  <c r="AJ37" i="4"/>
  <c r="AK37" i="4" s="1"/>
  <c r="AJ36" i="4"/>
  <c r="AK36" i="4" s="1"/>
  <c r="AJ35" i="4"/>
  <c r="AK35" i="4" s="1"/>
  <c r="AJ34" i="4"/>
  <c r="AK34" i="4" s="1"/>
  <c r="AJ33" i="4"/>
  <c r="AK33" i="4" s="1"/>
  <c r="AJ32" i="4"/>
  <c r="AK32" i="4" s="1"/>
  <c r="AJ31" i="4"/>
  <c r="AK31" i="4" s="1"/>
  <c r="AJ30" i="4"/>
  <c r="AK30" i="4" s="1"/>
  <c r="AJ29" i="4"/>
  <c r="AK29" i="4" s="1"/>
  <c r="AJ28" i="4"/>
  <c r="AK28" i="4" s="1"/>
  <c r="AJ27" i="4"/>
  <c r="AK27" i="4" s="1"/>
  <c r="AJ26" i="4"/>
  <c r="AK26" i="4" s="1"/>
  <c r="AJ25" i="4"/>
  <c r="AK25" i="4" s="1"/>
  <c r="AJ24" i="4"/>
  <c r="AK24" i="4" s="1"/>
  <c r="AJ23" i="4"/>
  <c r="AK23" i="4" s="1"/>
  <c r="AJ22" i="4"/>
  <c r="AK22" i="4" s="1"/>
  <c r="AJ21" i="4"/>
  <c r="AK21" i="4" s="1"/>
  <c r="AJ20" i="4"/>
  <c r="AJ19" i="4"/>
  <c r="AK19" i="4" s="1"/>
  <c r="AK18" i="4"/>
  <c r="AF18" i="4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AF50" i="4" s="1"/>
  <c r="AF51" i="4" s="1"/>
  <c r="AF52" i="4" s="1"/>
  <c r="AF53" i="4" s="1"/>
  <c r="AF54" i="4" s="1"/>
  <c r="AF55" i="4" s="1"/>
  <c r="AF56" i="4" s="1"/>
  <c r="AF57" i="4" s="1"/>
  <c r="AF58" i="4" s="1"/>
  <c r="AF59" i="4" s="1"/>
  <c r="AF60" i="4" s="1"/>
  <c r="AF61" i="4" s="1"/>
  <c r="AF62" i="4" s="1"/>
  <c r="AF63" i="4" s="1"/>
  <c r="AF64" i="4" s="1"/>
  <c r="AF65" i="4" s="1"/>
  <c r="AF66" i="4" s="1"/>
  <c r="AF67" i="4" s="1"/>
  <c r="AF68" i="4" s="1"/>
  <c r="AF69" i="4" s="1"/>
  <c r="AF70" i="4" s="1"/>
  <c r="AF71" i="4" s="1"/>
  <c r="AF72" i="4" s="1"/>
  <c r="AF73" i="4" s="1"/>
  <c r="AF74" i="4" s="1"/>
  <c r="AF75" i="4" s="1"/>
  <c r="AF76" i="4" s="1"/>
  <c r="AF77" i="4" s="1"/>
  <c r="AF78" i="4" s="1"/>
  <c r="AF79" i="4" s="1"/>
  <c r="AF80" i="4" s="1"/>
  <c r="AF81" i="4" s="1"/>
  <c r="AF82" i="4" s="1"/>
  <c r="AF83" i="4" s="1"/>
  <c r="AF84" i="4" s="1"/>
  <c r="AF85" i="4" s="1"/>
  <c r="AF86" i="4" s="1"/>
  <c r="AF87" i="4" s="1"/>
  <c r="AF88" i="4" s="1"/>
  <c r="AF89" i="4" s="1"/>
  <c r="AF90" i="4" s="1"/>
  <c r="AF91" i="4" s="1"/>
  <c r="AF92" i="4" s="1"/>
  <c r="AF93" i="4" s="1"/>
  <c r="AF94" i="4" s="1"/>
  <c r="AF95" i="4" s="1"/>
  <c r="AF96" i="4" s="1"/>
  <c r="AF97" i="4" s="1"/>
  <c r="AF98" i="4" s="1"/>
  <c r="AF99" i="4" s="1"/>
  <c r="AF100" i="4" s="1"/>
  <c r="AF101" i="4" s="1"/>
  <c r="AF102" i="4" s="1"/>
  <c r="AF103" i="4" s="1"/>
  <c r="AF104" i="4" s="1"/>
  <c r="AF105" i="4" s="1"/>
  <c r="AF106" i="4" s="1"/>
  <c r="AF107" i="4" s="1"/>
  <c r="AF108" i="4" s="1"/>
  <c r="AF109" i="4" s="1"/>
  <c r="AF110" i="4" s="1"/>
  <c r="AF111" i="4" s="1"/>
  <c r="AF112" i="4" s="1"/>
  <c r="AF113" i="4" s="1"/>
  <c r="AF114" i="4" s="1"/>
  <c r="AF115" i="4" s="1"/>
  <c r="AF116" i="4" s="1"/>
  <c r="AF117" i="4" s="1"/>
  <c r="AF118" i="4" s="1"/>
  <c r="AF119" i="4" s="1"/>
  <c r="AF120" i="4" s="1"/>
  <c r="AF121" i="4" s="1"/>
  <c r="AF122" i="4" s="1"/>
  <c r="AF123" i="4" s="1"/>
  <c r="AF124" i="4" s="1"/>
  <c r="AF125" i="4" s="1"/>
  <c r="AF126" i="4" s="1"/>
  <c r="AF127" i="4" s="1"/>
  <c r="AF128" i="4" s="1"/>
  <c r="AF129" i="4" s="1"/>
  <c r="AF130" i="4" s="1"/>
  <c r="AF131" i="4" s="1"/>
  <c r="AF132" i="4" s="1"/>
  <c r="AF133" i="4" s="1"/>
  <c r="AF134" i="4" s="1"/>
  <c r="AF135" i="4" s="1"/>
  <c r="AF136" i="4" s="1"/>
  <c r="AF137" i="4" s="1"/>
  <c r="AF138" i="4" s="1"/>
  <c r="AF139" i="4" s="1"/>
  <c r="AF140" i="4" s="1"/>
  <c r="AF141" i="4" s="1"/>
  <c r="AF142" i="4" s="1"/>
  <c r="AF143" i="4" s="1"/>
  <c r="AF144" i="4" s="1"/>
  <c r="AF145" i="4" s="1"/>
  <c r="AF146" i="4" s="1"/>
  <c r="AF147" i="4" s="1"/>
  <c r="AF148" i="4" s="1"/>
  <c r="AF149" i="4" s="1"/>
  <c r="AF150" i="4" s="1"/>
  <c r="AF151" i="4" s="1"/>
  <c r="AF152" i="4" s="1"/>
  <c r="AF153" i="4" s="1"/>
  <c r="AF154" i="4" s="1"/>
  <c r="AF155" i="4" s="1"/>
  <c r="AF156" i="4" s="1"/>
  <c r="AF157" i="4" s="1"/>
  <c r="AF158" i="4" s="1"/>
  <c r="AF159" i="4" s="1"/>
  <c r="AF160" i="4" s="1"/>
  <c r="AF161" i="4" s="1"/>
  <c r="AF162" i="4" s="1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AF173" i="4" s="1"/>
  <c r="AF174" i="4" s="1"/>
  <c r="AF175" i="4" s="1"/>
  <c r="AF176" i="4" s="1"/>
  <c r="AF177" i="4" s="1"/>
  <c r="AF178" i="4" s="1"/>
  <c r="AF179" i="4" s="1"/>
  <c r="AF180" i="4" s="1"/>
  <c r="AF181" i="4" s="1"/>
  <c r="AF182" i="4" s="1"/>
  <c r="AF183" i="4" s="1"/>
  <c r="AF184" i="4" s="1"/>
  <c r="AF185" i="4" s="1"/>
  <c r="AF186" i="4" s="1"/>
  <c r="AF187" i="4" s="1"/>
  <c r="AF188" i="4" s="1"/>
  <c r="AF189" i="4" s="1"/>
  <c r="AF190" i="4" s="1"/>
  <c r="AF191" i="4" s="1"/>
  <c r="AF192" i="4" s="1"/>
  <c r="AF193" i="4" s="1"/>
  <c r="AF194" i="4" s="1"/>
  <c r="AF195" i="4" s="1"/>
  <c r="AF196" i="4" s="1"/>
  <c r="AF197" i="4" s="1"/>
  <c r="AF198" i="4" s="1"/>
  <c r="AF199" i="4" s="1"/>
  <c r="AF200" i="4" s="1"/>
  <c r="AF201" i="4" s="1"/>
  <c r="AF202" i="4" s="1"/>
  <c r="AF203" i="4" s="1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F224" i="4" s="1"/>
  <c r="AF225" i="4" s="1"/>
  <c r="AF226" i="4" s="1"/>
  <c r="AF227" i="4" s="1"/>
  <c r="AF228" i="4" s="1"/>
  <c r="AF229" i="4" s="1"/>
  <c r="AF230" i="4" s="1"/>
  <c r="AF231" i="4" s="1"/>
  <c r="AF232" i="4" s="1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F243" i="4" s="1"/>
  <c r="AF244" i="4" s="1"/>
  <c r="AF245" i="4" s="1"/>
  <c r="AF246" i="4" s="1"/>
  <c r="AF247" i="4" s="1"/>
  <c r="AF248" i="4" s="1"/>
  <c r="AF249" i="4" s="1"/>
  <c r="AF250" i="4" s="1"/>
  <c r="AF251" i="4" s="1"/>
  <c r="AF252" i="4" s="1"/>
  <c r="AF253" i="4" s="1"/>
  <c r="AF254" i="4" s="1"/>
  <c r="AF255" i="4" s="1"/>
  <c r="AF256" i="4" s="1"/>
  <c r="AF257" i="4" s="1"/>
  <c r="AF258" i="4" s="1"/>
  <c r="AF259" i="4" s="1"/>
  <c r="AF260" i="4" s="1"/>
  <c r="AF261" i="4" s="1"/>
  <c r="AF262" i="4" s="1"/>
  <c r="AF263" i="4" s="1"/>
  <c r="AF264" i="4" s="1"/>
  <c r="AF265" i="4" s="1"/>
  <c r="AF266" i="4" s="1"/>
  <c r="AF267" i="4" s="1"/>
  <c r="AF268" i="4" s="1"/>
  <c r="AF269" i="4" s="1"/>
  <c r="AF270" i="4" s="1"/>
  <c r="AF271" i="4" s="1"/>
  <c r="AF272" i="4" s="1"/>
  <c r="AF273" i="4" s="1"/>
  <c r="AF274" i="4" s="1"/>
  <c r="AF275" i="4" s="1"/>
  <c r="AF276" i="4" s="1"/>
  <c r="AF277" i="4" s="1"/>
  <c r="AF278" i="4" s="1"/>
  <c r="AF279" i="4" s="1"/>
  <c r="AF280" i="4" s="1"/>
  <c r="AF281" i="4" s="1"/>
  <c r="AF282" i="4" s="1"/>
  <c r="AF283" i="4" s="1"/>
  <c r="AF284" i="4" s="1"/>
  <c r="AF285" i="4" s="1"/>
  <c r="AF286" i="4" s="1"/>
  <c r="AF287" i="4" s="1"/>
  <c r="AF288" i="4" s="1"/>
  <c r="AF289" i="4" s="1"/>
  <c r="AF290" i="4" s="1"/>
  <c r="AF291" i="4" s="1"/>
  <c r="AF292" i="4" s="1"/>
  <c r="AF293" i="4" s="1"/>
  <c r="AF294" i="4" s="1"/>
  <c r="AF295" i="4" s="1"/>
  <c r="AF296" i="4" s="1"/>
  <c r="AF297" i="4" s="1"/>
  <c r="AF298" i="4" s="1"/>
  <c r="AF299" i="4" s="1"/>
  <c r="AF300" i="4" s="1"/>
  <c r="AF301" i="4" s="1"/>
  <c r="AF302" i="4" s="1"/>
  <c r="AF303" i="4" s="1"/>
  <c r="AF304" i="4" s="1"/>
  <c r="AF305" i="4" s="1"/>
  <c r="AF306" i="4" s="1"/>
  <c r="AF307" i="4" s="1"/>
  <c r="AF308" i="4" s="1"/>
  <c r="AF309" i="4" s="1"/>
  <c r="AF310" i="4" s="1"/>
  <c r="AF311" i="4" s="1"/>
  <c r="AF312" i="4" s="1"/>
  <c r="AF313" i="4" s="1"/>
  <c r="AF314" i="4" s="1"/>
  <c r="AF315" i="4" s="1"/>
  <c r="AF316" i="4" s="1"/>
  <c r="AF317" i="4" s="1"/>
  <c r="AF318" i="4" s="1"/>
  <c r="AF319" i="4" s="1"/>
  <c r="AF320" i="4" s="1"/>
  <c r="AF321" i="4" s="1"/>
  <c r="AF322" i="4" s="1"/>
  <c r="AF323" i="4" s="1"/>
  <c r="AF324" i="4" s="1"/>
  <c r="AF325" i="4" s="1"/>
  <c r="AF326" i="4" s="1"/>
  <c r="AF327" i="4" s="1"/>
  <c r="AF328" i="4" s="1"/>
  <c r="AF329" i="4" s="1"/>
  <c r="AF330" i="4" s="1"/>
  <c r="AF331" i="4" s="1"/>
  <c r="AF332" i="4" s="1"/>
  <c r="AF333" i="4" s="1"/>
  <c r="AF334" i="4" s="1"/>
  <c r="AF335" i="4" s="1"/>
  <c r="AF336" i="4" s="1"/>
  <c r="AF337" i="4" s="1"/>
  <c r="AF338" i="4" s="1"/>
  <c r="AF339" i="4" s="1"/>
  <c r="AF340" i="4" s="1"/>
  <c r="AF341" i="4" s="1"/>
  <c r="AF342" i="4" s="1"/>
  <c r="AF343" i="4" s="1"/>
  <c r="AF344" i="4" s="1"/>
  <c r="AF345" i="4" s="1"/>
  <c r="AF346" i="4" s="1"/>
  <c r="AF347" i="4" s="1"/>
  <c r="AF348" i="4" s="1"/>
  <c r="AF349" i="4" s="1"/>
  <c r="AF350" i="4" s="1"/>
  <c r="AF351" i="4" s="1"/>
  <c r="AF352" i="4" s="1"/>
  <c r="AF353" i="4" s="1"/>
  <c r="AF354" i="4" s="1"/>
  <c r="AF355" i="4" s="1"/>
  <c r="AF356" i="4" s="1"/>
  <c r="AF357" i="4" s="1"/>
  <c r="AF358" i="4" s="1"/>
  <c r="AF359" i="4" s="1"/>
  <c r="AF360" i="4" s="1"/>
  <c r="AF361" i="4" s="1"/>
  <c r="AF362" i="4" s="1"/>
  <c r="AF363" i="4" s="1"/>
  <c r="AF364" i="4" s="1"/>
  <c r="AF365" i="4" s="1"/>
  <c r="AF366" i="4" s="1"/>
  <c r="AF367" i="4" s="1"/>
  <c r="AF368" i="4" s="1"/>
  <c r="AF369" i="4" s="1"/>
  <c r="AF370" i="4" s="1"/>
  <c r="AF371" i="4" s="1"/>
  <c r="AF372" i="4" s="1"/>
  <c r="AF373" i="4" s="1"/>
  <c r="AF374" i="4" s="1"/>
  <c r="AF375" i="4" s="1"/>
  <c r="AF376" i="4" s="1"/>
  <c r="AF377" i="4" s="1"/>
  <c r="AF378" i="4" s="1"/>
  <c r="AF379" i="4" s="1"/>
  <c r="AF380" i="4" s="1"/>
  <c r="AF381" i="4" s="1"/>
  <c r="AF382" i="4" s="1"/>
  <c r="AJ17" i="4"/>
  <c r="AI12" i="4"/>
  <c r="AH12" i="4"/>
  <c r="AG12" i="4"/>
  <c r="AI11" i="4"/>
  <c r="AH11" i="4"/>
  <c r="AG11" i="4"/>
  <c r="AI10" i="4"/>
  <c r="AH10" i="4"/>
  <c r="AG10" i="4"/>
  <c r="AI9" i="4"/>
  <c r="AH9" i="4"/>
  <c r="AG9" i="4"/>
  <c r="AI6" i="4"/>
  <c r="AH6" i="4"/>
  <c r="AG6" i="4"/>
  <c r="AP13" i="4" l="1"/>
  <c r="AQ199" i="4"/>
  <c r="AJ13" i="4"/>
  <c r="AV30" i="1"/>
  <c r="AU18" i="1"/>
  <c r="AU19" i="1"/>
  <c r="AU21" i="1"/>
  <c r="AU22" i="1"/>
  <c r="AV31" i="1"/>
  <c r="AU20" i="1"/>
  <c r="BD29" i="1"/>
  <c r="AQ8" i="1"/>
  <c r="AR8" i="1"/>
  <c r="AT8" i="1"/>
  <c r="AZ8" i="1"/>
  <c r="BC14" i="1"/>
  <c r="BC15" i="1"/>
  <c r="BC16" i="1"/>
  <c r="BC6" i="1"/>
  <c r="BC11" i="1"/>
  <c r="AX37" i="1"/>
  <c r="BC19" i="1"/>
  <c r="BC7" i="1"/>
  <c r="BC12" i="1"/>
  <c r="BB8" i="1"/>
  <c r="BC5" i="1"/>
  <c r="BC10" i="1"/>
  <c r="BC22" i="1"/>
  <c r="BC21" i="1"/>
  <c r="BC18" i="1"/>
  <c r="AY8" i="1"/>
  <c r="BC20" i="1"/>
  <c r="AU14" i="1"/>
  <c r="AU7" i="1"/>
  <c r="AU15" i="1"/>
  <c r="AU11" i="1"/>
  <c r="AU6" i="1"/>
  <c r="AU5" i="1"/>
  <c r="AU12" i="1"/>
  <c r="AU16" i="1"/>
  <c r="AU10" i="1"/>
  <c r="AP12" i="4"/>
  <c r="AJ11" i="4"/>
  <c r="AQ20" i="4"/>
  <c r="AP9" i="4"/>
  <c r="AP8" i="4" s="1"/>
  <c r="AP11" i="4"/>
  <c r="AP6" i="4"/>
  <c r="AQ17" i="4"/>
  <c r="AQ171" i="4"/>
  <c r="AQ231" i="4"/>
  <c r="AQ261" i="4"/>
  <c r="AP10" i="4"/>
  <c r="AQ76" i="4"/>
  <c r="AQ107" i="4"/>
  <c r="AK56" i="4"/>
  <c r="AJ12" i="4"/>
  <c r="AK20" i="4"/>
  <c r="AJ9" i="4"/>
  <c r="AJ8" i="4" s="1"/>
  <c r="AK261" i="4"/>
  <c r="AK109" i="4"/>
  <c r="AJ6" i="4"/>
  <c r="AK76" i="4"/>
  <c r="AJ10" i="4"/>
  <c r="AK17" i="4"/>
  <c r="AK137" i="4"/>
  <c r="AK168" i="4"/>
  <c r="AK324" i="4"/>
  <c r="AK352" i="4"/>
  <c r="AD382" i="4"/>
  <c r="AE382" i="4" s="1"/>
  <c r="AD381" i="4"/>
  <c r="AE381" i="4" s="1"/>
  <c r="AD380" i="4"/>
  <c r="AE380" i="4" s="1"/>
  <c r="AD379" i="4"/>
  <c r="AE379" i="4" s="1"/>
  <c r="AD378" i="4"/>
  <c r="AE378" i="4" s="1"/>
  <c r="AD377" i="4"/>
  <c r="AE377" i="4" s="1"/>
  <c r="AD376" i="4"/>
  <c r="AE376" i="4" s="1"/>
  <c r="AD375" i="4"/>
  <c r="AE375" i="4" s="1"/>
  <c r="AD374" i="4"/>
  <c r="AE374" i="4" s="1"/>
  <c r="AD373" i="4"/>
  <c r="AE373" i="4" s="1"/>
  <c r="AD372" i="4"/>
  <c r="AE372" i="4" s="1"/>
  <c r="AD371" i="4"/>
  <c r="AE371" i="4" s="1"/>
  <c r="AD370" i="4"/>
  <c r="AE370" i="4" s="1"/>
  <c r="AD369" i="4"/>
  <c r="AE369" i="4" s="1"/>
  <c r="AD368" i="4"/>
  <c r="AE368" i="4" s="1"/>
  <c r="AD367" i="4"/>
  <c r="AE367" i="4" s="1"/>
  <c r="AD366" i="4"/>
  <c r="AE366" i="4" s="1"/>
  <c r="AD365" i="4"/>
  <c r="AE365" i="4" s="1"/>
  <c r="AD364" i="4"/>
  <c r="AE364" i="4" s="1"/>
  <c r="AD363" i="4"/>
  <c r="AE363" i="4" s="1"/>
  <c r="AD362" i="4"/>
  <c r="AE362" i="4" s="1"/>
  <c r="AD361" i="4"/>
  <c r="AE361" i="4" s="1"/>
  <c r="AD360" i="4"/>
  <c r="AE360" i="4" s="1"/>
  <c r="AD359" i="4"/>
  <c r="AE359" i="4" s="1"/>
  <c r="AD358" i="4"/>
  <c r="AE358" i="4" s="1"/>
  <c r="AD357" i="4"/>
  <c r="AE357" i="4" s="1"/>
  <c r="AD356" i="4"/>
  <c r="AE356" i="4" s="1"/>
  <c r="AD355" i="4"/>
  <c r="AE355" i="4" s="1"/>
  <c r="AD354" i="4"/>
  <c r="AE354" i="4" s="1"/>
  <c r="AD353" i="4"/>
  <c r="AE353" i="4" s="1"/>
  <c r="AD352" i="4"/>
  <c r="AE352" i="4" s="1"/>
  <c r="AD351" i="4"/>
  <c r="AE351" i="4" s="1"/>
  <c r="AD350" i="4"/>
  <c r="AE350" i="4" s="1"/>
  <c r="AD349" i="4"/>
  <c r="AE349" i="4" s="1"/>
  <c r="AD348" i="4"/>
  <c r="AE348" i="4" s="1"/>
  <c r="AD347" i="4"/>
  <c r="AE347" i="4" s="1"/>
  <c r="AD346" i="4"/>
  <c r="AE346" i="4" s="1"/>
  <c r="AD345" i="4"/>
  <c r="AE345" i="4" s="1"/>
  <c r="AD344" i="4"/>
  <c r="AE344" i="4" s="1"/>
  <c r="AD343" i="4"/>
  <c r="AE343" i="4" s="1"/>
  <c r="AD342" i="4"/>
  <c r="AE342" i="4" s="1"/>
  <c r="AD341" i="4"/>
  <c r="AE341" i="4" s="1"/>
  <c r="AD340" i="4"/>
  <c r="AE340" i="4" s="1"/>
  <c r="AD339" i="4"/>
  <c r="AE339" i="4" s="1"/>
  <c r="AD338" i="4"/>
  <c r="AE338" i="4" s="1"/>
  <c r="AD337" i="4"/>
  <c r="AE337" i="4" s="1"/>
  <c r="AD336" i="4"/>
  <c r="AE336" i="4" s="1"/>
  <c r="AD335" i="4"/>
  <c r="AE335" i="4" s="1"/>
  <c r="AD334" i="4"/>
  <c r="AE334" i="4" s="1"/>
  <c r="AD333" i="4"/>
  <c r="AE333" i="4" s="1"/>
  <c r="AD332" i="4"/>
  <c r="AE332" i="4" s="1"/>
  <c r="AD331" i="4"/>
  <c r="AE331" i="4" s="1"/>
  <c r="AD330" i="4"/>
  <c r="AE330" i="4" s="1"/>
  <c r="AD329" i="4"/>
  <c r="AE329" i="4" s="1"/>
  <c r="AD328" i="4"/>
  <c r="AE328" i="4" s="1"/>
  <c r="AD327" i="4"/>
  <c r="AE327" i="4" s="1"/>
  <c r="AD326" i="4"/>
  <c r="AE326" i="4" s="1"/>
  <c r="AD325" i="4"/>
  <c r="AE325" i="4" s="1"/>
  <c r="AD324" i="4"/>
  <c r="AE324" i="4" s="1"/>
  <c r="AD323" i="4"/>
  <c r="AE323" i="4" s="1"/>
  <c r="AD322" i="4"/>
  <c r="AD321" i="4"/>
  <c r="AE321" i="4" s="1"/>
  <c r="AD320" i="4"/>
  <c r="AE320" i="4" s="1"/>
  <c r="AD319" i="4"/>
  <c r="AE319" i="4" s="1"/>
  <c r="AD318" i="4"/>
  <c r="AE318" i="4" s="1"/>
  <c r="AD317" i="4"/>
  <c r="AE317" i="4" s="1"/>
  <c r="AD316" i="4"/>
  <c r="AE316" i="4" s="1"/>
  <c r="AD315" i="4"/>
  <c r="AE315" i="4" s="1"/>
  <c r="AD314" i="4"/>
  <c r="AE314" i="4" s="1"/>
  <c r="AD313" i="4"/>
  <c r="AE313" i="4" s="1"/>
  <c r="AD312" i="4"/>
  <c r="AE312" i="4" s="1"/>
  <c r="AD311" i="4"/>
  <c r="AE311" i="4" s="1"/>
  <c r="AD310" i="4"/>
  <c r="AE310" i="4" s="1"/>
  <c r="AD309" i="4"/>
  <c r="AE309" i="4" s="1"/>
  <c r="AD308" i="4"/>
  <c r="AE308" i="4" s="1"/>
  <c r="AD307" i="4"/>
  <c r="AE307" i="4" s="1"/>
  <c r="AD306" i="4"/>
  <c r="AE306" i="4" s="1"/>
  <c r="AD305" i="4"/>
  <c r="AE305" i="4" s="1"/>
  <c r="AD304" i="4"/>
  <c r="AE304" i="4" s="1"/>
  <c r="AD303" i="4"/>
  <c r="AE303" i="4" s="1"/>
  <c r="AD302" i="4"/>
  <c r="AE302" i="4" s="1"/>
  <c r="AD301" i="4"/>
  <c r="AE301" i="4" s="1"/>
  <c r="AD300" i="4"/>
  <c r="AE300" i="4" s="1"/>
  <c r="AD299" i="4"/>
  <c r="AE299" i="4" s="1"/>
  <c r="AD298" i="4"/>
  <c r="AE298" i="4" s="1"/>
  <c r="AD297" i="4"/>
  <c r="AE297" i="4" s="1"/>
  <c r="AD296" i="4"/>
  <c r="AE296" i="4" s="1"/>
  <c r="AD295" i="4"/>
  <c r="AE295" i="4" s="1"/>
  <c r="AD294" i="4"/>
  <c r="AE294" i="4" s="1"/>
  <c r="AD293" i="4"/>
  <c r="AE293" i="4" s="1"/>
  <c r="AD292" i="4"/>
  <c r="AE292" i="4" s="1"/>
  <c r="AD291" i="4"/>
  <c r="AE291" i="4" s="1"/>
  <c r="AD290" i="4"/>
  <c r="AE290" i="4" s="1"/>
  <c r="AD289" i="4"/>
  <c r="AE289" i="4" s="1"/>
  <c r="AD288" i="4"/>
  <c r="AE288" i="4" s="1"/>
  <c r="AD287" i="4"/>
  <c r="AE287" i="4" s="1"/>
  <c r="AD286" i="4"/>
  <c r="AE286" i="4" s="1"/>
  <c r="AD285" i="4"/>
  <c r="AE285" i="4" s="1"/>
  <c r="AD284" i="4"/>
  <c r="AE284" i="4" s="1"/>
  <c r="AD283" i="4"/>
  <c r="AE283" i="4" s="1"/>
  <c r="AD282" i="4"/>
  <c r="AE282" i="4" s="1"/>
  <c r="AD281" i="4"/>
  <c r="AE281" i="4" s="1"/>
  <c r="AD280" i="4"/>
  <c r="AE280" i="4" s="1"/>
  <c r="AD279" i="4"/>
  <c r="AE279" i="4" s="1"/>
  <c r="AD278" i="4"/>
  <c r="AE278" i="4" s="1"/>
  <c r="AD277" i="4"/>
  <c r="AE277" i="4" s="1"/>
  <c r="AD276" i="4"/>
  <c r="AE276" i="4" s="1"/>
  <c r="AD275" i="4"/>
  <c r="AE275" i="4" s="1"/>
  <c r="AD274" i="4"/>
  <c r="AE274" i="4" s="1"/>
  <c r="AD273" i="4"/>
  <c r="AE273" i="4" s="1"/>
  <c r="AD272" i="4"/>
  <c r="AE272" i="4" s="1"/>
  <c r="AD271" i="4"/>
  <c r="AE271" i="4" s="1"/>
  <c r="AD270" i="4"/>
  <c r="AE270" i="4" s="1"/>
  <c r="AD269" i="4"/>
  <c r="AE269" i="4" s="1"/>
  <c r="AD268" i="4"/>
  <c r="AE268" i="4" s="1"/>
  <c r="AD267" i="4"/>
  <c r="AE267" i="4" s="1"/>
  <c r="AD266" i="4"/>
  <c r="AE266" i="4" s="1"/>
  <c r="AD265" i="4"/>
  <c r="AE265" i="4" s="1"/>
  <c r="AD264" i="4"/>
  <c r="AE264" i="4" s="1"/>
  <c r="AD263" i="4"/>
  <c r="AE263" i="4" s="1"/>
  <c r="AD262" i="4"/>
  <c r="AE262" i="4" s="1"/>
  <c r="AD261" i="4"/>
  <c r="AE261" i="4" s="1"/>
  <c r="AD260" i="4"/>
  <c r="AE260" i="4" s="1"/>
  <c r="AD259" i="4"/>
  <c r="AE259" i="4" s="1"/>
  <c r="AD258" i="4"/>
  <c r="AE258" i="4" s="1"/>
  <c r="AD257" i="4"/>
  <c r="AE257" i="4" s="1"/>
  <c r="AD256" i="4"/>
  <c r="AE256" i="4" s="1"/>
  <c r="AD255" i="4"/>
  <c r="AE255" i="4" s="1"/>
  <c r="AD254" i="4"/>
  <c r="AE254" i="4" s="1"/>
  <c r="AD253" i="4"/>
  <c r="AE253" i="4" s="1"/>
  <c r="AD252" i="4"/>
  <c r="AE252" i="4" s="1"/>
  <c r="AD251" i="4"/>
  <c r="AE251" i="4" s="1"/>
  <c r="AD250" i="4"/>
  <c r="AE250" i="4" s="1"/>
  <c r="AD249" i="4"/>
  <c r="AE249" i="4" s="1"/>
  <c r="AD248" i="4"/>
  <c r="AE248" i="4" s="1"/>
  <c r="AD247" i="4"/>
  <c r="AE247" i="4" s="1"/>
  <c r="AD246" i="4"/>
  <c r="AE246" i="4" s="1"/>
  <c r="AD245" i="4"/>
  <c r="AE245" i="4" s="1"/>
  <c r="AD244" i="4"/>
  <c r="AE244" i="4" s="1"/>
  <c r="AD243" i="4"/>
  <c r="AE243" i="4" s="1"/>
  <c r="AD242" i="4"/>
  <c r="AE242" i="4" s="1"/>
  <c r="AD241" i="4"/>
  <c r="AE241" i="4" s="1"/>
  <c r="AD240" i="4"/>
  <c r="AE240" i="4" s="1"/>
  <c r="AD239" i="4"/>
  <c r="AE239" i="4" s="1"/>
  <c r="AD238" i="4"/>
  <c r="AE238" i="4" s="1"/>
  <c r="AD237" i="4"/>
  <c r="AE237" i="4" s="1"/>
  <c r="AD236" i="4"/>
  <c r="AE236" i="4" s="1"/>
  <c r="AD235" i="4"/>
  <c r="AE235" i="4" s="1"/>
  <c r="AD234" i="4"/>
  <c r="AE234" i="4" s="1"/>
  <c r="AD233" i="4"/>
  <c r="AE233" i="4" s="1"/>
  <c r="AD232" i="4"/>
  <c r="AE232" i="4" s="1"/>
  <c r="AD231" i="4"/>
  <c r="AE231" i="4" s="1"/>
  <c r="AD230" i="4"/>
  <c r="AD229" i="4"/>
  <c r="AE229" i="4" s="1"/>
  <c r="AD228" i="4"/>
  <c r="AE228" i="4" s="1"/>
  <c r="AD227" i="4"/>
  <c r="AE227" i="4" s="1"/>
  <c r="AD226" i="4"/>
  <c r="AE226" i="4" s="1"/>
  <c r="AD225" i="4"/>
  <c r="AE225" i="4" s="1"/>
  <c r="AD224" i="4"/>
  <c r="AE224" i="4" s="1"/>
  <c r="AD223" i="4"/>
  <c r="AE223" i="4" s="1"/>
  <c r="AD222" i="4"/>
  <c r="AE222" i="4" s="1"/>
  <c r="AD221" i="4"/>
  <c r="AE221" i="4" s="1"/>
  <c r="AD220" i="4"/>
  <c r="AE220" i="4" s="1"/>
  <c r="AD219" i="4"/>
  <c r="AE219" i="4" s="1"/>
  <c r="AD218" i="4"/>
  <c r="AE218" i="4" s="1"/>
  <c r="AD217" i="4"/>
  <c r="AE217" i="4" s="1"/>
  <c r="AD216" i="4"/>
  <c r="AE216" i="4" s="1"/>
  <c r="AD215" i="4"/>
  <c r="AE215" i="4" s="1"/>
  <c r="AD214" i="4"/>
  <c r="AE214" i="4" s="1"/>
  <c r="AD213" i="4"/>
  <c r="AE213" i="4" s="1"/>
  <c r="AD212" i="4"/>
  <c r="AE212" i="4" s="1"/>
  <c r="AD211" i="4"/>
  <c r="AE211" i="4" s="1"/>
  <c r="AD210" i="4"/>
  <c r="AE210" i="4" s="1"/>
  <c r="AD209" i="4"/>
  <c r="AE209" i="4" s="1"/>
  <c r="AD208" i="4"/>
  <c r="AE208" i="4" s="1"/>
  <c r="AD207" i="4"/>
  <c r="AE207" i="4" s="1"/>
  <c r="AD206" i="4"/>
  <c r="AE206" i="4" s="1"/>
  <c r="AD205" i="4"/>
  <c r="AE205" i="4" s="1"/>
  <c r="AD204" i="4"/>
  <c r="AE204" i="4" s="1"/>
  <c r="AD203" i="4"/>
  <c r="AE203" i="4" s="1"/>
  <c r="AD202" i="4"/>
  <c r="AE202" i="4" s="1"/>
  <c r="AD201" i="4"/>
  <c r="AE201" i="4" s="1"/>
  <c r="AD200" i="4"/>
  <c r="AE200" i="4" s="1"/>
  <c r="AD199" i="4"/>
  <c r="AE199" i="4" s="1"/>
  <c r="AD198" i="4"/>
  <c r="AE198" i="4" s="1"/>
  <c r="AD197" i="4"/>
  <c r="AE197" i="4" s="1"/>
  <c r="AD196" i="4"/>
  <c r="AE196" i="4" s="1"/>
  <c r="AD195" i="4"/>
  <c r="AE195" i="4" s="1"/>
  <c r="AD194" i="4"/>
  <c r="AE194" i="4" s="1"/>
  <c r="AD193" i="4"/>
  <c r="AE193" i="4" s="1"/>
  <c r="AD192" i="4"/>
  <c r="AE192" i="4" s="1"/>
  <c r="AD191" i="4"/>
  <c r="AE191" i="4" s="1"/>
  <c r="AD190" i="4"/>
  <c r="AE190" i="4" s="1"/>
  <c r="AD189" i="4"/>
  <c r="AE189" i="4" s="1"/>
  <c r="AD188" i="4"/>
  <c r="AE188" i="4" s="1"/>
  <c r="AD187" i="4"/>
  <c r="AE187" i="4" s="1"/>
  <c r="AD186" i="4"/>
  <c r="AE186" i="4" s="1"/>
  <c r="AD185" i="4"/>
  <c r="AE185" i="4" s="1"/>
  <c r="AD184" i="4"/>
  <c r="AE184" i="4" s="1"/>
  <c r="AD183" i="4"/>
  <c r="AE183" i="4" s="1"/>
  <c r="AD182" i="4"/>
  <c r="AE182" i="4" s="1"/>
  <c r="AD181" i="4"/>
  <c r="AE181" i="4" s="1"/>
  <c r="AD180" i="4"/>
  <c r="AE180" i="4" s="1"/>
  <c r="AD179" i="4"/>
  <c r="AE179" i="4" s="1"/>
  <c r="AD178" i="4"/>
  <c r="AE178" i="4" s="1"/>
  <c r="AD177" i="4"/>
  <c r="AE177" i="4" s="1"/>
  <c r="AD176" i="4"/>
  <c r="AE176" i="4" s="1"/>
  <c r="AD175" i="4"/>
  <c r="AE175" i="4" s="1"/>
  <c r="AD174" i="4"/>
  <c r="AE174" i="4" s="1"/>
  <c r="AD173" i="4"/>
  <c r="AE173" i="4" s="1"/>
  <c r="AD172" i="4"/>
  <c r="AE172" i="4" s="1"/>
  <c r="AD171" i="4"/>
  <c r="AE171" i="4" s="1"/>
  <c r="AD170" i="4"/>
  <c r="AE170" i="4" s="1"/>
  <c r="AD169" i="4"/>
  <c r="AE169" i="4" s="1"/>
  <c r="AD168" i="4"/>
  <c r="AD167" i="4"/>
  <c r="AE167" i="4" s="1"/>
  <c r="AD166" i="4"/>
  <c r="AE166" i="4" s="1"/>
  <c r="AD165" i="4"/>
  <c r="AE165" i="4" s="1"/>
  <c r="AD164" i="4"/>
  <c r="AE164" i="4" s="1"/>
  <c r="AD163" i="4"/>
  <c r="AE163" i="4" s="1"/>
  <c r="AD162" i="4"/>
  <c r="AE162" i="4" s="1"/>
  <c r="AD161" i="4"/>
  <c r="AE161" i="4" s="1"/>
  <c r="AD160" i="4"/>
  <c r="AE160" i="4" s="1"/>
  <c r="AD159" i="4"/>
  <c r="AE159" i="4" s="1"/>
  <c r="AD158" i="4"/>
  <c r="AE158" i="4" s="1"/>
  <c r="AD157" i="4"/>
  <c r="AE157" i="4" s="1"/>
  <c r="AD156" i="4"/>
  <c r="AE156" i="4" s="1"/>
  <c r="AD155" i="4"/>
  <c r="AE155" i="4" s="1"/>
  <c r="AD154" i="4"/>
  <c r="AE154" i="4" s="1"/>
  <c r="AD153" i="4"/>
  <c r="AE153" i="4" s="1"/>
  <c r="AD152" i="4"/>
  <c r="AE152" i="4" s="1"/>
  <c r="AD151" i="4"/>
  <c r="AE151" i="4" s="1"/>
  <c r="AD150" i="4"/>
  <c r="AE150" i="4" s="1"/>
  <c r="AD149" i="4"/>
  <c r="AE149" i="4" s="1"/>
  <c r="AD148" i="4"/>
  <c r="AE148" i="4" s="1"/>
  <c r="AD147" i="4"/>
  <c r="AE147" i="4" s="1"/>
  <c r="AD146" i="4"/>
  <c r="AE146" i="4" s="1"/>
  <c r="AD145" i="4"/>
  <c r="AE145" i="4" s="1"/>
  <c r="AD144" i="4"/>
  <c r="AE144" i="4" s="1"/>
  <c r="AD143" i="4"/>
  <c r="AE143" i="4" s="1"/>
  <c r="AD142" i="4"/>
  <c r="AE142" i="4" s="1"/>
  <c r="AD141" i="4"/>
  <c r="AE141" i="4" s="1"/>
  <c r="AD140" i="4"/>
  <c r="AE140" i="4" s="1"/>
  <c r="AD139" i="4"/>
  <c r="AE139" i="4" s="1"/>
  <c r="AD138" i="4"/>
  <c r="AE138" i="4" s="1"/>
  <c r="AD137" i="4"/>
  <c r="AD136" i="4"/>
  <c r="AE136" i="4" s="1"/>
  <c r="AD135" i="4"/>
  <c r="AE135" i="4" s="1"/>
  <c r="AD134" i="4"/>
  <c r="AE134" i="4" s="1"/>
  <c r="AD133" i="4"/>
  <c r="AE133" i="4" s="1"/>
  <c r="AD132" i="4"/>
  <c r="AE132" i="4" s="1"/>
  <c r="AD131" i="4"/>
  <c r="AE131" i="4" s="1"/>
  <c r="AD130" i="4"/>
  <c r="AE130" i="4" s="1"/>
  <c r="AD129" i="4"/>
  <c r="AE129" i="4" s="1"/>
  <c r="AD128" i="4"/>
  <c r="AE128" i="4" s="1"/>
  <c r="AD127" i="4"/>
  <c r="AE127" i="4" s="1"/>
  <c r="AD126" i="4"/>
  <c r="AE126" i="4" s="1"/>
  <c r="AD125" i="4"/>
  <c r="AE125" i="4" s="1"/>
  <c r="AD124" i="4"/>
  <c r="AE124" i="4" s="1"/>
  <c r="AD123" i="4"/>
  <c r="AE123" i="4" s="1"/>
  <c r="AD122" i="4"/>
  <c r="AE122" i="4" s="1"/>
  <c r="AD121" i="4"/>
  <c r="AE121" i="4" s="1"/>
  <c r="AD120" i="4"/>
  <c r="AE120" i="4" s="1"/>
  <c r="AD119" i="4"/>
  <c r="AE119" i="4" s="1"/>
  <c r="AD118" i="4"/>
  <c r="AE118" i="4" s="1"/>
  <c r="AD117" i="4"/>
  <c r="AE117" i="4" s="1"/>
  <c r="AD116" i="4"/>
  <c r="AE116" i="4" s="1"/>
  <c r="AD115" i="4"/>
  <c r="AE115" i="4" s="1"/>
  <c r="AD114" i="4"/>
  <c r="AE114" i="4" s="1"/>
  <c r="AD113" i="4"/>
  <c r="AE113" i="4" s="1"/>
  <c r="AD112" i="4"/>
  <c r="AE112" i="4" s="1"/>
  <c r="AD111" i="4"/>
  <c r="AE111" i="4" s="1"/>
  <c r="AD110" i="4"/>
  <c r="AE110" i="4" s="1"/>
  <c r="AD109" i="4"/>
  <c r="AE109" i="4" s="1"/>
  <c r="AD108" i="4"/>
  <c r="AE108" i="4" s="1"/>
  <c r="AD107" i="4"/>
  <c r="AD106" i="4"/>
  <c r="AE106" i="4" s="1"/>
  <c r="AD105" i="4"/>
  <c r="AE105" i="4" s="1"/>
  <c r="AD104" i="4"/>
  <c r="AE104" i="4" s="1"/>
  <c r="AD103" i="4"/>
  <c r="AE103" i="4" s="1"/>
  <c r="AD102" i="4"/>
  <c r="AE102" i="4" s="1"/>
  <c r="AD101" i="4"/>
  <c r="AE101" i="4" s="1"/>
  <c r="AD100" i="4"/>
  <c r="AE100" i="4" s="1"/>
  <c r="AD99" i="4"/>
  <c r="AE99" i="4" s="1"/>
  <c r="AD98" i="4"/>
  <c r="AE98" i="4" s="1"/>
  <c r="AD97" i="4"/>
  <c r="AE97" i="4" s="1"/>
  <c r="AD96" i="4"/>
  <c r="AE96" i="4" s="1"/>
  <c r="AD95" i="4"/>
  <c r="AE95" i="4" s="1"/>
  <c r="AD94" i="4"/>
  <c r="AE94" i="4" s="1"/>
  <c r="AD93" i="4"/>
  <c r="AE93" i="4" s="1"/>
  <c r="AD92" i="4"/>
  <c r="AE92" i="4" s="1"/>
  <c r="AD91" i="4"/>
  <c r="AE91" i="4" s="1"/>
  <c r="AD90" i="4"/>
  <c r="AE90" i="4" s="1"/>
  <c r="AD89" i="4"/>
  <c r="AE89" i="4" s="1"/>
  <c r="AD88" i="4"/>
  <c r="AE88" i="4" s="1"/>
  <c r="AD87" i="4"/>
  <c r="AE87" i="4" s="1"/>
  <c r="AD86" i="4"/>
  <c r="AE86" i="4" s="1"/>
  <c r="AD85" i="4"/>
  <c r="AE85" i="4" s="1"/>
  <c r="AD84" i="4"/>
  <c r="AE84" i="4" s="1"/>
  <c r="AD83" i="4"/>
  <c r="AE83" i="4" s="1"/>
  <c r="AD82" i="4"/>
  <c r="AE82" i="4" s="1"/>
  <c r="AD81" i="4"/>
  <c r="AE81" i="4" s="1"/>
  <c r="AD80" i="4"/>
  <c r="AE80" i="4" s="1"/>
  <c r="AD79" i="4"/>
  <c r="AE79" i="4" s="1"/>
  <c r="AD78" i="4"/>
  <c r="AE78" i="4" s="1"/>
  <c r="AD77" i="4"/>
  <c r="AE77" i="4" s="1"/>
  <c r="AD76" i="4"/>
  <c r="AD75" i="4"/>
  <c r="AE75" i="4" s="1"/>
  <c r="AD74" i="4"/>
  <c r="AE74" i="4" s="1"/>
  <c r="AD73" i="4"/>
  <c r="AE73" i="4" s="1"/>
  <c r="AD72" i="4"/>
  <c r="AE72" i="4" s="1"/>
  <c r="AD71" i="4"/>
  <c r="AE71" i="4" s="1"/>
  <c r="AD70" i="4"/>
  <c r="AE70" i="4" s="1"/>
  <c r="AD69" i="4"/>
  <c r="AE69" i="4" s="1"/>
  <c r="AD68" i="4"/>
  <c r="AE68" i="4" s="1"/>
  <c r="AD67" i="4"/>
  <c r="AE67" i="4" s="1"/>
  <c r="AD66" i="4"/>
  <c r="AE66" i="4" s="1"/>
  <c r="AD65" i="4"/>
  <c r="AE65" i="4" s="1"/>
  <c r="AD64" i="4"/>
  <c r="AE64" i="4" s="1"/>
  <c r="AD63" i="4"/>
  <c r="AE63" i="4" s="1"/>
  <c r="AD62" i="4"/>
  <c r="AE62" i="4" s="1"/>
  <c r="AD61" i="4"/>
  <c r="AE61" i="4" s="1"/>
  <c r="AD60" i="4"/>
  <c r="AE60" i="4" s="1"/>
  <c r="AD59" i="4"/>
  <c r="AE59" i="4" s="1"/>
  <c r="AD58" i="4"/>
  <c r="AE58" i="4" s="1"/>
  <c r="AD57" i="4"/>
  <c r="AE57" i="4" s="1"/>
  <c r="AD56" i="4"/>
  <c r="AE56" i="4" s="1"/>
  <c r="AD55" i="4"/>
  <c r="AE55" i="4" s="1"/>
  <c r="AD54" i="4"/>
  <c r="AE54" i="4" s="1"/>
  <c r="AD53" i="4"/>
  <c r="AE53" i="4" s="1"/>
  <c r="AD52" i="4"/>
  <c r="AE52" i="4" s="1"/>
  <c r="AD51" i="4"/>
  <c r="AD50" i="4"/>
  <c r="AE50" i="4" s="1"/>
  <c r="AD49" i="4"/>
  <c r="AE49" i="4" s="1"/>
  <c r="AD48" i="4"/>
  <c r="AE48" i="4" s="1"/>
  <c r="AD47" i="4"/>
  <c r="AE47" i="4" s="1"/>
  <c r="AD46" i="4"/>
  <c r="AE46" i="4" s="1"/>
  <c r="AD45" i="4"/>
  <c r="AE45" i="4" s="1"/>
  <c r="AD44" i="4"/>
  <c r="AE44" i="4" s="1"/>
  <c r="AD43" i="4"/>
  <c r="AE43" i="4" s="1"/>
  <c r="AD42" i="4"/>
  <c r="AE42" i="4" s="1"/>
  <c r="AD41" i="4"/>
  <c r="AE41" i="4" s="1"/>
  <c r="AD40" i="4"/>
  <c r="AE40" i="4" s="1"/>
  <c r="AD39" i="4"/>
  <c r="AE39" i="4" s="1"/>
  <c r="AD38" i="4"/>
  <c r="AE38" i="4" s="1"/>
  <c r="AD37" i="4"/>
  <c r="AE37" i="4" s="1"/>
  <c r="AD36" i="4"/>
  <c r="AE36" i="4" s="1"/>
  <c r="AD35" i="4"/>
  <c r="AE35" i="4" s="1"/>
  <c r="AD34" i="4"/>
  <c r="AE34" i="4" s="1"/>
  <c r="AD33" i="4"/>
  <c r="AE33" i="4" s="1"/>
  <c r="AD32" i="4"/>
  <c r="AE32" i="4" s="1"/>
  <c r="AD31" i="4"/>
  <c r="AE31" i="4" s="1"/>
  <c r="AD30" i="4"/>
  <c r="AE30" i="4" s="1"/>
  <c r="AD29" i="4"/>
  <c r="AE29" i="4" s="1"/>
  <c r="AD28" i="4"/>
  <c r="AE28" i="4" s="1"/>
  <c r="AD27" i="4"/>
  <c r="AE27" i="4" s="1"/>
  <c r="AD26" i="4"/>
  <c r="AE26" i="4" s="1"/>
  <c r="AD25" i="4"/>
  <c r="AE25" i="4" s="1"/>
  <c r="AD24" i="4"/>
  <c r="AE24" i="4" s="1"/>
  <c r="AD23" i="4"/>
  <c r="AE23" i="4" s="1"/>
  <c r="AD22" i="4"/>
  <c r="AE22" i="4" s="1"/>
  <c r="AD21" i="4"/>
  <c r="AE21" i="4" s="1"/>
  <c r="AD20" i="4"/>
  <c r="AE20" i="4" s="1"/>
  <c r="AD19" i="4"/>
  <c r="AD18" i="4"/>
  <c r="AE18" i="4" s="1"/>
  <c r="Z18" i="4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Z279" i="4" s="1"/>
  <c r="Z280" i="4" s="1"/>
  <c r="Z281" i="4" s="1"/>
  <c r="Z282" i="4" s="1"/>
  <c r="Z283" i="4" s="1"/>
  <c r="Z284" i="4" s="1"/>
  <c r="Z285" i="4" s="1"/>
  <c r="Z286" i="4" s="1"/>
  <c r="Z287" i="4" s="1"/>
  <c r="Z288" i="4" s="1"/>
  <c r="Z289" i="4" s="1"/>
  <c r="Z290" i="4" s="1"/>
  <c r="Z291" i="4" s="1"/>
  <c r="Z292" i="4" s="1"/>
  <c r="Z293" i="4" s="1"/>
  <c r="Z294" i="4" s="1"/>
  <c r="Z295" i="4" s="1"/>
  <c r="Z296" i="4" s="1"/>
  <c r="Z297" i="4" s="1"/>
  <c r="Z298" i="4" s="1"/>
  <c r="Z299" i="4" s="1"/>
  <c r="Z300" i="4" s="1"/>
  <c r="Z301" i="4" s="1"/>
  <c r="Z302" i="4" s="1"/>
  <c r="Z303" i="4" s="1"/>
  <c r="Z304" i="4" s="1"/>
  <c r="Z305" i="4" s="1"/>
  <c r="Z306" i="4" s="1"/>
  <c r="Z307" i="4" s="1"/>
  <c r="Z308" i="4" s="1"/>
  <c r="Z309" i="4" s="1"/>
  <c r="Z310" i="4" s="1"/>
  <c r="Z311" i="4" s="1"/>
  <c r="Z312" i="4" s="1"/>
  <c r="Z313" i="4" s="1"/>
  <c r="Z314" i="4" s="1"/>
  <c r="Z315" i="4" s="1"/>
  <c r="Z316" i="4" s="1"/>
  <c r="Z317" i="4" s="1"/>
  <c r="Z318" i="4" s="1"/>
  <c r="Z319" i="4" s="1"/>
  <c r="Z320" i="4" s="1"/>
  <c r="Z321" i="4" s="1"/>
  <c r="Z322" i="4" s="1"/>
  <c r="Z323" i="4" s="1"/>
  <c r="Z324" i="4" s="1"/>
  <c r="Z325" i="4" s="1"/>
  <c r="Z326" i="4" s="1"/>
  <c r="Z327" i="4" s="1"/>
  <c r="Z328" i="4" s="1"/>
  <c r="Z329" i="4" s="1"/>
  <c r="Z330" i="4" s="1"/>
  <c r="Z331" i="4" s="1"/>
  <c r="Z332" i="4" s="1"/>
  <c r="Z333" i="4" s="1"/>
  <c r="Z334" i="4" s="1"/>
  <c r="Z335" i="4" s="1"/>
  <c r="Z336" i="4" s="1"/>
  <c r="Z337" i="4" s="1"/>
  <c r="Z338" i="4" s="1"/>
  <c r="Z339" i="4" s="1"/>
  <c r="Z340" i="4" s="1"/>
  <c r="Z341" i="4" s="1"/>
  <c r="Z342" i="4" s="1"/>
  <c r="Z343" i="4" s="1"/>
  <c r="Z344" i="4" s="1"/>
  <c r="Z345" i="4" s="1"/>
  <c r="Z346" i="4" s="1"/>
  <c r="Z347" i="4" s="1"/>
  <c r="Z348" i="4" s="1"/>
  <c r="Z349" i="4" s="1"/>
  <c r="Z350" i="4" s="1"/>
  <c r="Z351" i="4" s="1"/>
  <c r="Z352" i="4" s="1"/>
  <c r="Z353" i="4" s="1"/>
  <c r="Z354" i="4" s="1"/>
  <c r="Z355" i="4" s="1"/>
  <c r="Z356" i="4" s="1"/>
  <c r="Z357" i="4" s="1"/>
  <c r="Z358" i="4" s="1"/>
  <c r="Z359" i="4" s="1"/>
  <c r="Z360" i="4" s="1"/>
  <c r="Z361" i="4" s="1"/>
  <c r="Z362" i="4" s="1"/>
  <c r="Z363" i="4" s="1"/>
  <c r="Z364" i="4" s="1"/>
  <c r="Z365" i="4" s="1"/>
  <c r="Z366" i="4" s="1"/>
  <c r="Z367" i="4" s="1"/>
  <c r="Z368" i="4" s="1"/>
  <c r="Z369" i="4" s="1"/>
  <c r="Z370" i="4" s="1"/>
  <c r="Z371" i="4" s="1"/>
  <c r="Z372" i="4" s="1"/>
  <c r="Z373" i="4" s="1"/>
  <c r="Z374" i="4" s="1"/>
  <c r="Z375" i="4" s="1"/>
  <c r="Z376" i="4" s="1"/>
  <c r="Z377" i="4" s="1"/>
  <c r="Z378" i="4" s="1"/>
  <c r="Z379" i="4" s="1"/>
  <c r="Z380" i="4" s="1"/>
  <c r="Z381" i="4" s="1"/>
  <c r="AD17" i="4"/>
  <c r="AC12" i="4"/>
  <c r="AB12" i="4"/>
  <c r="AA12" i="4"/>
  <c r="AC11" i="4"/>
  <c r="AB11" i="4"/>
  <c r="AA11" i="4"/>
  <c r="AC10" i="4"/>
  <c r="AB10" i="4"/>
  <c r="AA10" i="4"/>
  <c r="AC9" i="4"/>
  <c r="AB9" i="4"/>
  <c r="AA9" i="4"/>
  <c r="AC6" i="4"/>
  <c r="AB6" i="4"/>
  <c r="AA6" i="4"/>
  <c r="AX38" i="1" l="1"/>
  <c r="BC8" i="1"/>
  <c r="AU8" i="1"/>
  <c r="AQ16" i="4"/>
  <c r="AK16" i="4"/>
  <c r="AE322" i="4"/>
  <c r="AD13" i="4"/>
  <c r="AE107" i="4"/>
  <c r="AD6" i="4"/>
  <c r="AE230" i="4"/>
  <c r="AE168" i="4"/>
  <c r="AD9" i="4"/>
  <c r="AD8" i="4" s="1"/>
  <c r="AD11" i="4"/>
  <c r="AE17" i="4"/>
  <c r="AE51" i="4"/>
  <c r="AE19" i="4"/>
  <c r="AD10" i="4"/>
  <c r="AD12" i="4"/>
  <c r="AE76" i="4"/>
  <c r="AE137" i="4"/>
  <c r="AX39" i="1" l="1"/>
  <c r="AE16" i="4"/>
  <c r="AM395" i="1"/>
  <c r="AM394" i="1"/>
  <c r="AN394" i="1" s="1"/>
  <c r="AM393" i="1"/>
  <c r="AN393" i="1" s="1"/>
  <c r="AM392" i="1"/>
  <c r="AN392" i="1" s="1"/>
  <c r="AM391" i="1"/>
  <c r="AN391" i="1" s="1"/>
  <c r="AM390" i="1"/>
  <c r="AN390" i="1" s="1"/>
  <c r="AM389" i="1"/>
  <c r="AN389" i="1" s="1"/>
  <c r="AM388" i="1"/>
  <c r="AN388" i="1" s="1"/>
  <c r="AM387" i="1"/>
  <c r="AN387" i="1" s="1"/>
  <c r="AM386" i="1"/>
  <c r="AN386" i="1" s="1"/>
  <c r="AM385" i="1"/>
  <c r="AN385" i="1" s="1"/>
  <c r="AM384" i="1"/>
  <c r="AN384" i="1" s="1"/>
  <c r="AM383" i="1"/>
  <c r="AN383" i="1" s="1"/>
  <c r="AM382" i="1"/>
  <c r="AN382" i="1" s="1"/>
  <c r="AM381" i="1"/>
  <c r="AN381" i="1" s="1"/>
  <c r="AM380" i="1"/>
  <c r="AN380" i="1" s="1"/>
  <c r="AM379" i="1"/>
  <c r="AN379" i="1" s="1"/>
  <c r="AM378" i="1"/>
  <c r="AN378" i="1" s="1"/>
  <c r="AM377" i="1"/>
  <c r="AN377" i="1" s="1"/>
  <c r="AM376" i="1"/>
  <c r="AN376" i="1" s="1"/>
  <c r="AM375" i="1"/>
  <c r="AN375" i="1" s="1"/>
  <c r="AM374" i="1"/>
  <c r="AN374" i="1" s="1"/>
  <c r="AM373" i="1"/>
  <c r="AN373" i="1" s="1"/>
  <c r="AM372" i="1"/>
  <c r="AN372" i="1" s="1"/>
  <c r="AM371" i="1"/>
  <c r="AN371" i="1" s="1"/>
  <c r="AM370" i="1"/>
  <c r="AN370" i="1" s="1"/>
  <c r="AM369" i="1"/>
  <c r="AN369" i="1" s="1"/>
  <c r="AM368" i="1"/>
  <c r="AN368" i="1" s="1"/>
  <c r="AM367" i="1"/>
  <c r="AN367" i="1" s="1"/>
  <c r="AM366" i="1"/>
  <c r="AN366" i="1" s="1"/>
  <c r="AM365" i="1"/>
  <c r="AN365" i="1" s="1"/>
  <c r="AM364" i="1"/>
  <c r="AN364" i="1" s="1"/>
  <c r="AM363" i="1"/>
  <c r="AN363" i="1" s="1"/>
  <c r="AM362" i="1"/>
  <c r="AN362" i="1" s="1"/>
  <c r="AM361" i="1"/>
  <c r="AN361" i="1" s="1"/>
  <c r="AM360" i="1"/>
  <c r="AN360" i="1" s="1"/>
  <c r="AM359" i="1"/>
  <c r="AN359" i="1" s="1"/>
  <c r="AM358" i="1"/>
  <c r="AN358" i="1" s="1"/>
  <c r="AM357" i="1"/>
  <c r="AN357" i="1" s="1"/>
  <c r="AM356" i="1"/>
  <c r="AN356" i="1" s="1"/>
  <c r="AM355" i="1"/>
  <c r="AN355" i="1" s="1"/>
  <c r="AM354" i="1"/>
  <c r="AN354" i="1" s="1"/>
  <c r="AM353" i="1"/>
  <c r="AN353" i="1" s="1"/>
  <c r="AM352" i="1"/>
  <c r="AN352" i="1" s="1"/>
  <c r="AM351" i="1"/>
  <c r="AN351" i="1" s="1"/>
  <c r="AM350" i="1"/>
  <c r="AN350" i="1" s="1"/>
  <c r="AM349" i="1"/>
  <c r="AN349" i="1" s="1"/>
  <c r="AM348" i="1"/>
  <c r="AN348" i="1" s="1"/>
  <c r="AM347" i="1"/>
  <c r="AN347" i="1" s="1"/>
  <c r="AM346" i="1"/>
  <c r="AN346" i="1" s="1"/>
  <c r="AM345" i="1"/>
  <c r="AN345" i="1" s="1"/>
  <c r="AM344" i="1"/>
  <c r="AN344" i="1" s="1"/>
  <c r="AM343" i="1"/>
  <c r="AN343" i="1" s="1"/>
  <c r="AM342" i="1"/>
  <c r="AN342" i="1" s="1"/>
  <c r="AM341" i="1"/>
  <c r="AN341" i="1" s="1"/>
  <c r="AM340" i="1"/>
  <c r="AN340" i="1" s="1"/>
  <c r="AM339" i="1"/>
  <c r="AN339" i="1" s="1"/>
  <c r="AM338" i="1"/>
  <c r="AN338" i="1" s="1"/>
  <c r="AM337" i="1"/>
  <c r="AN337" i="1" s="1"/>
  <c r="AM336" i="1"/>
  <c r="AN336" i="1" s="1"/>
  <c r="AM335" i="1"/>
  <c r="AN335" i="1" s="1"/>
  <c r="AM334" i="1"/>
  <c r="AN334" i="1" s="1"/>
  <c r="AM333" i="1"/>
  <c r="AN333" i="1" s="1"/>
  <c r="AM332" i="1"/>
  <c r="AN332" i="1" s="1"/>
  <c r="AM331" i="1"/>
  <c r="AN331" i="1" s="1"/>
  <c r="AM330" i="1"/>
  <c r="AN330" i="1" s="1"/>
  <c r="AM329" i="1"/>
  <c r="AN329" i="1" s="1"/>
  <c r="AM328" i="1"/>
  <c r="AN328" i="1" s="1"/>
  <c r="AM327" i="1"/>
  <c r="AN327" i="1" s="1"/>
  <c r="AM326" i="1"/>
  <c r="AN326" i="1" s="1"/>
  <c r="AM325" i="1"/>
  <c r="AN325" i="1" s="1"/>
  <c r="AM324" i="1"/>
  <c r="AN324" i="1" s="1"/>
  <c r="AM323" i="1"/>
  <c r="AN323" i="1" s="1"/>
  <c r="AM322" i="1"/>
  <c r="AN322" i="1" s="1"/>
  <c r="AM321" i="1"/>
  <c r="AN321" i="1" s="1"/>
  <c r="AM320" i="1"/>
  <c r="AN320" i="1" s="1"/>
  <c r="AM319" i="1"/>
  <c r="AN319" i="1" s="1"/>
  <c r="AM318" i="1"/>
  <c r="AN318" i="1" s="1"/>
  <c r="AM317" i="1"/>
  <c r="AN317" i="1" s="1"/>
  <c r="AM316" i="1"/>
  <c r="AN316" i="1" s="1"/>
  <c r="AM315" i="1"/>
  <c r="AN315" i="1" s="1"/>
  <c r="AM314" i="1"/>
  <c r="AN314" i="1" s="1"/>
  <c r="AM313" i="1"/>
  <c r="AN313" i="1" s="1"/>
  <c r="AM312" i="1"/>
  <c r="AN312" i="1" s="1"/>
  <c r="AM311" i="1"/>
  <c r="AN311" i="1" s="1"/>
  <c r="AM310" i="1"/>
  <c r="AN310" i="1" s="1"/>
  <c r="AM309" i="1"/>
  <c r="AN309" i="1" s="1"/>
  <c r="AM308" i="1"/>
  <c r="AN308" i="1" s="1"/>
  <c r="AM307" i="1"/>
  <c r="AN307" i="1" s="1"/>
  <c r="AM306" i="1"/>
  <c r="AN306" i="1" s="1"/>
  <c r="AM305" i="1"/>
  <c r="AN305" i="1" s="1"/>
  <c r="AM304" i="1"/>
  <c r="AN304" i="1" s="1"/>
  <c r="AM303" i="1"/>
  <c r="AN303" i="1" s="1"/>
  <c r="AM302" i="1"/>
  <c r="AN302" i="1" s="1"/>
  <c r="AM301" i="1"/>
  <c r="AN301" i="1" s="1"/>
  <c r="AM300" i="1"/>
  <c r="AN300" i="1" s="1"/>
  <c r="AM299" i="1"/>
  <c r="AN299" i="1" s="1"/>
  <c r="AM298" i="1"/>
  <c r="AN298" i="1" s="1"/>
  <c r="AM297" i="1"/>
  <c r="AN297" i="1" s="1"/>
  <c r="AM296" i="1"/>
  <c r="AN296" i="1" s="1"/>
  <c r="AM295" i="1"/>
  <c r="AN295" i="1" s="1"/>
  <c r="AM294" i="1"/>
  <c r="AN294" i="1" s="1"/>
  <c r="AM293" i="1"/>
  <c r="AN293" i="1" s="1"/>
  <c r="AM292" i="1"/>
  <c r="AN292" i="1" s="1"/>
  <c r="AM291" i="1"/>
  <c r="AN291" i="1" s="1"/>
  <c r="AM290" i="1"/>
  <c r="AN290" i="1" s="1"/>
  <c r="AM289" i="1"/>
  <c r="AN289" i="1" s="1"/>
  <c r="AM288" i="1"/>
  <c r="AN288" i="1" s="1"/>
  <c r="AM287" i="1"/>
  <c r="AN287" i="1" s="1"/>
  <c r="AM286" i="1"/>
  <c r="AN286" i="1" s="1"/>
  <c r="AM285" i="1"/>
  <c r="AN285" i="1" s="1"/>
  <c r="AM284" i="1"/>
  <c r="AN284" i="1" s="1"/>
  <c r="AM283" i="1"/>
  <c r="AN283" i="1" s="1"/>
  <c r="AM282" i="1"/>
  <c r="AN282" i="1" s="1"/>
  <c r="AM281" i="1"/>
  <c r="AN281" i="1" s="1"/>
  <c r="AM280" i="1"/>
  <c r="AN280" i="1" s="1"/>
  <c r="AM279" i="1"/>
  <c r="AN279" i="1" s="1"/>
  <c r="AM278" i="1"/>
  <c r="AN278" i="1" s="1"/>
  <c r="AM277" i="1"/>
  <c r="AN277" i="1" s="1"/>
  <c r="AM276" i="1"/>
  <c r="AN276" i="1" s="1"/>
  <c r="AM275" i="1"/>
  <c r="AN275" i="1" s="1"/>
  <c r="AM274" i="1"/>
  <c r="AN274" i="1" s="1"/>
  <c r="AM273" i="1"/>
  <c r="AN273" i="1" s="1"/>
  <c r="AM272" i="1"/>
  <c r="AN272" i="1" s="1"/>
  <c r="AM271" i="1"/>
  <c r="AN271" i="1" s="1"/>
  <c r="AM270" i="1"/>
  <c r="AN270" i="1" s="1"/>
  <c r="AM269" i="1"/>
  <c r="AN269" i="1" s="1"/>
  <c r="AM268" i="1"/>
  <c r="AN268" i="1" s="1"/>
  <c r="AM267" i="1"/>
  <c r="AN267" i="1" s="1"/>
  <c r="AM266" i="1"/>
  <c r="AN266" i="1" s="1"/>
  <c r="AM265" i="1"/>
  <c r="AN265" i="1" s="1"/>
  <c r="AM264" i="1"/>
  <c r="AN264" i="1" s="1"/>
  <c r="AM263" i="1"/>
  <c r="AN263" i="1" s="1"/>
  <c r="AM262" i="1"/>
  <c r="AN262" i="1" s="1"/>
  <c r="AM261" i="1"/>
  <c r="AN261" i="1" s="1"/>
  <c r="AM260" i="1"/>
  <c r="AN260" i="1" s="1"/>
  <c r="AM259" i="1"/>
  <c r="AN259" i="1" s="1"/>
  <c r="AM258" i="1"/>
  <c r="AN258" i="1" s="1"/>
  <c r="AM257" i="1"/>
  <c r="AN257" i="1" s="1"/>
  <c r="AM256" i="1"/>
  <c r="AN256" i="1" s="1"/>
  <c r="AM255" i="1"/>
  <c r="AN255" i="1" s="1"/>
  <c r="AM254" i="1"/>
  <c r="AN254" i="1" s="1"/>
  <c r="AM253" i="1"/>
  <c r="AN253" i="1" s="1"/>
  <c r="AM252" i="1"/>
  <c r="AN252" i="1" s="1"/>
  <c r="AM251" i="1"/>
  <c r="AN251" i="1" s="1"/>
  <c r="AM250" i="1"/>
  <c r="AN250" i="1" s="1"/>
  <c r="AM249" i="1"/>
  <c r="AN249" i="1" s="1"/>
  <c r="AM248" i="1"/>
  <c r="AN248" i="1" s="1"/>
  <c r="AM247" i="1"/>
  <c r="AN247" i="1" s="1"/>
  <c r="AM246" i="1"/>
  <c r="AN246" i="1" s="1"/>
  <c r="AM245" i="1"/>
  <c r="AN245" i="1" s="1"/>
  <c r="AM244" i="1"/>
  <c r="AN244" i="1" s="1"/>
  <c r="AM243" i="1"/>
  <c r="AN243" i="1" s="1"/>
  <c r="AM242" i="1"/>
  <c r="AN242" i="1" s="1"/>
  <c r="AM241" i="1"/>
  <c r="AN241" i="1" s="1"/>
  <c r="AM240" i="1"/>
  <c r="AN240" i="1" s="1"/>
  <c r="AM239" i="1"/>
  <c r="AN239" i="1" s="1"/>
  <c r="AM238" i="1"/>
  <c r="AN238" i="1" s="1"/>
  <c r="AM237" i="1"/>
  <c r="AN237" i="1" s="1"/>
  <c r="AM236" i="1"/>
  <c r="AN236" i="1" s="1"/>
  <c r="AM235" i="1"/>
  <c r="AN235" i="1" s="1"/>
  <c r="AM234" i="1"/>
  <c r="AN234" i="1" s="1"/>
  <c r="AM233" i="1"/>
  <c r="AN233" i="1" s="1"/>
  <c r="AM232" i="1"/>
  <c r="AN232" i="1" s="1"/>
  <c r="AM231" i="1"/>
  <c r="AN231" i="1" s="1"/>
  <c r="AM230" i="1"/>
  <c r="AN230" i="1" s="1"/>
  <c r="AM229" i="1"/>
  <c r="AN229" i="1" s="1"/>
  <c r="AM228" i="1"/>
  <c r="AN228" i="1" s="1"/>
  <c r="AM227" i="1"/>
  <c r="AN227" i="1" s="1"/>
  <c r="AM226" i="1"/>
  <c r="AN226" i="1" s="1"/>
  <c r="AM225" i="1"/>
  <c r="AN225" i="1" s="1"/>
  <c r="AM224" i="1"/>
  <c r="AN224" i="1" s="1"/>
  <c r="AM223" i="1"/>
  <c r="AN223" i="1" s="1"/>
  <c r="AM222" i="1"/>
  <c r="AN222" i="1" s="1"/>
  <c r="AM221" i="1"/>
  <c r="AN221" i="1" s="1"/>
  <c r="AM220" i="1"/>
  <c r="AN220" i="1" s="1"/>
  <c r="AM219" i="1"/>
  <c r="AN219" i="1" s="1"/>
  <c r="AM218" i="1"/>
  <c r="AN218" i="1" s="1"/>
  <c r="AM217" i="1"/>
  <c r="AN217" i="1" s="1"/>
  <c r="AM216" i="1"/>
  <c r="AN216" i="1" s="1"/>
  <c r="AM215" i="1"/>
  <c r="AN215" i="1" s="1"/>
  <c r="AM214" i="1"/>
  <c r="AN214" i="1" s="1"/>
  <c r="AM213" i="1"/>
  <c r="AN213" i="1" s="1"/>
  <c r="AM212" i="1"/>
  <c r="AN212" i="1" s="1"/>
  <c r="AM211" i="1"/>
  <c r="AN211" i="1" s="1"/>
  <c r="AM210" i="1"/>
  <c r="AN210" i="1" s="1"/>
  <c r="AM209" i="1"/>
  <c r="AN209" i="1" s="1"/>
  <c r="AM208" i="1"/>
  <c r="AN208" i="1" s="1"/>
  <c r="AM207" i="1"/>
  <c r="AN207" i="1" s="1"/>
  <c r="AM206" i="1"/>
  <c r="AN206" i="1" s="1"/>
  <c r="AM205" i="1"/>
  <c r="AN205" i="1" s="1"/>
  <c r="AM204" i="1"/>
  <c r="AN204" i="1" s="1"/>
  <c r="AM203" i="1"/>
  <c r="AN203" i="1" s="1"/>
  <c r="AM202" i="1"/>
  <c r="AN202" i="1" s="1"/>
  <c r="AM201" i="1"/>
  <c r="AN201" i="1" s="1"/>
  <c r="AM200" i="1"/>
  <c r="AN200" i="1" s="1"/>
  <c r="AM199" i="1"/>
  <c r="AN199" i="1" s="1"/>
  <c r="AM198" i="1"/>
  <c r="AN198" i="1" s="1"/>
  <c r="AM197" i="1"/>
  <c r="AN197" i="1" s="1"/>
  <c r="AM196" i="1"/>
  <c r="AN196" i="1" s="1"/>
  <c r="AM195" i="1"/>
  <c r="AN195" i="1" s="1"/>
  <c r="AM194" i="1"/>
  <c r="AN194" i="1" s="1"/>
  <c r="AM193" i="1"/>
  <c r="AN193" i="1" s="1"/>
  <c r="AM192" i="1"/>
  <c r="AN192" i="1" s="1"/>
  <c r="AM191" i="1"/>
  <c r="AN191" i="1" s="1"/>
  <c r="AM190" i="1"/>
  <c r="AN190" i="1" s="1"/>
  <c r="AM189" i="1"/>
  <c r="AN189" i="1" s="1"/>
  <c r="AM188" i="1"/>
  <c r="AN188" i="1" s="1"/>
  <c r="AM187" i="1"/>
  <c r="AN187" i="1" s="1"/>
  <c r="AM186" i="1"/>
  <c r="AN186" i="1" s="1"/>
  <c r="AM185" i="1"/>
  <c r="AN185" i="1" s="1"/>
  <c r="AM184" i="1"/>
  <c r="AN184" i="1" s="1"/>
  <c r="AM183" i="1"/>
  <c r="AN183" i="1" s="1"/>
  <c r="AM182" i="1"/>
  <c r="AN182" i="1" s="1"/>
  <c r="AM181" i="1"/>
  <c r="AN181" i="1" s="1"/>
  <c r="AM180" i="1"/>
  <c r="AN180" i="1" s="1"/>
  <c r="AM179" i="1"/>
  <c r="AN179" i="1" s="1"/>
  <c r="AM178" i="1"/>
  <c r="AN178" i="1" s="1"/>
  <c r="AM177" i="1"/>
  <c r="AN177" i="1" s="1"/>
  <c r="AM176" i="1"/>
  <c r="AN176" i="1" s="1"/>
  <c r="AM175" i="1"/>
  <c r="AN175" i="1" s="1"/>
  <c r="AM174" i="1"/>
  <c r="AN174" i="1" s="1"/>
  <c r="AM173" i="1"/>
  <c r="AN173" i="1" s="1"/>
  <c r="AM172" i="1"/>
  <c r="AN172" i="1" s="1"/>
  <c r="AM171" i="1"/>
  <c r="AN171" i="1" s="1"/>
  <c r="AM170" i="1"/>
  <c r="AN170" i="1" s="1"/>
  <c r="AM169" i="1"/>
  <c r="AN169" i="1" s="1"/>
  <c r="AM168" i="1"/>
  <c r="AN168" i="1" s="1"/>
  <c r="AM167" i="1"/>
  <c r="AN167" i="1" s="1"/>
  <c r="AM166" i="1"/>
  <c r="AN166" i="1" s="1"/>
  <c r="AM165" i="1"/>
  <c r="AN165" i="1" s="1"/>
  <c r="AM164" i="1"/>
  <c r="AN164" i="1" s="1"/>
  <c r="AM163" i="1"/>
  <c r="AN163" i="1" s="1"/>
  <c r="AM162" i="1"/>
  <c r="AN162" i="1" s="1"/>
  <c r="AM161" i="1"/>
  <c r="AN161" i="1" s="1"/>
  <c r="AM160" i="1"/>
  <c r="AN160" i="1" s="1"/>
  <c r="AM159" i="1"/>
  <c r="AN159" i="1" s="1"/>
  <c r="AM158" i="1"/>
  <c r="AN158" i="1" s="1"/>
  <c r="AM157" i="1"/>
  <c r="AN157" i="1" s="1"/>
  <c r="AM156" i="1"/>
  <c r="AN156" i="1" s="1"/>
  <c r="AM155" i="1"/>
  <c r="AN155" i="1" s="1"/>
  <c r="AM154" i="1"/>
  <c r="AN154" i="1" s="1"/>
  <c r="AM153" i="1"/>
  <c r="AN153" i="1" s="1"/>
  <c r="AM152" i="1"/>
  <c r="AN152" i="1" s="1"/>
  <c r="AM151" i="1"/>
  <c r="AN151" i="1" s="1"/>
  <c r="AM150" i="1"/>
  <c r="AN150" i="1" s="1"/>
  <c r="AM149" i="1"/>
  <c r="AN149" i="1" s="1"/>
  <c r="AM148" i="1"/>
  <c r="AN148" i="1" s="1"/>
  <c r="AM147" i="1"/>
  <c r="AN147" i="1" s="1"/>
  <c r="AM146" i="1"/>
  <c r="AN146" i="1" s="1"/>
  <c r="AM145" i="1"/>
  <c r="AN145" i="1" s="1"/>
  <c r="AM144" i="1"/>
  <c r="AN144" i="1" s="1"/>
  <c r="AM143" i="1"/>
  <c r="AN143" i="1" s="1"/>
  <c r="AM142" i="1"/>
  <c r="AN142" i="1" s="1"/>
  <c r="AM141" i="1"/>
  <c r="AN141" i="1" s="1"/>
  <c r="AM140" i="1"/>
  <c r="AN140" i="1" s="1"/>
  <c r="AM139" i="1"/>
  <c r="AN139" i="1" s="1"/>
  <c r="AM138" i="1"/>
  <c r="AN138" i="1" s="1"/>
  <c r="AM137" i="1"/>
  <c r="AN137" i="1" s="1"/>
  <c r="AM136" i="1"/>
  <c r="AN136" i="1" s="1"/>
  <c r="AM135" i="1"/>
  <c r="AN135" i="1" s="1"/>
  <c r="AM134" i="1"/>
  <c r="AN134" i="1" s="1"/>
  <c r="AM133" i="1"/>
  <c r="AN133" i="1" s="1"/>
  <c r="AM132" i="1"/>
  <c r="AN132" i="1" s="1"/>
  <c r="AM131" i="1"/>
  <c r="AN131" i="1" s="1"/>
  <c r="AM130" i="1"/>
  <c r="AN130" i="1" s="1"/>
  <c r="AM129" i="1"/>
  <c r="AN129" i="1" s="1"/>
  <c r="AM128" i="1"/>
  <c r="AN128" i="1" s="1"/>
  <c r="AM127" i="1"/>
  <c r="AN127" i="1" s="1"/>
  <c r="AM126" i="1"/>
  <c r="AN126" i="1" s="1"/>
  <c r="AM125" i="1"/>
  <c r="AN125" i="1" s="1"/>
  <c r="AM124" i="1"/>
  <c r="AN124" i="1" s="1"/>
  <c r="AM123" i="1"/>
  <c r="AN123" i="1" s="1"/>
  <c r="AM122" i="1"/>
  <c r="AN122" i="1" s="1"/>
  <c r="AM121" i="1"/>
  <c r="AN121" i="1" s="1"/>
  <c r="AM120" i="1"/>
  <c r="AN120" i="1" s="1"/>
  <c r="AM119" i="1"/>
  <c r="AN119" i="1" s="1"/>
  <c r="AM118" i="1"/>
  <c r="AN118" i="1" s="1"/>
  <c r="AM117" i="1"/>
  <c r="AN117" i="1" s="1"/>
  <c r="AM116" i="1"/>
  <c r="AN116" i="1" s="1"/>
  <c r="AM115" i="1"/>
  <c r="AN115" i="1" s="1"/>
  <c r="AM114" i="1"/>
  <c r="AN114" i="1" s="1"/>
  <c r="AM113" i="1"/>
  <c r="AN113" i="1" s="1"/>
  <c r="AM112" i="1"/>
  <c r="AN112" i="1" s="1"/>
  <c r="AM111" i="1"/>
  <c r="AN111" i="1" s="1"/>
  <c r="AM110" i="1"/>
  <c r="AN110" i="1" s="1"/>
  <c r="AM109" i="1"/>
  <c r="AN109" i="1" s="1"/>
  <c r="AM108" i="1"/>
  <c r="AN108" i="1" s="1"/>
  <c r="AM107" i="1"/>
  <c r="AN107" i="1" s="1"/>
  <c r="AM106" i="1"/>
  <c r="AN106" i="1" s="1"/>
  <c r="AM105" i="1"/>
  <c r="AN105" i="1" s="1"/>
  <c r="AM104" i="1"/>
  <c r="AN104" i="1" s="1"/>
  <c r="AM103" i="1"/>
  <c r="AN103" i="1" s="1"/>
  <c r="AM102" i="1"/>
  <c r="AN102" i="1" s="1"/>
  <c r="AM101" i="1"/>
  <c r="AN101" i="1" s="1"/>
  <c r="AM100" i="1"/>
  <c r="AN100" i="1" s="1"/>
  <c r="AM99" i="1"/>
  <c r="AN99" i="1" s="1"/>
  <c r="AM98" i="1"/>
  <c r="AN98" i="1" s="1"/>
  <c r="AM97" i="1"/>
  <c r="AN97" i="1" s="1"/>
  <c r="AM96" i="1"/>
  <c r="AN96" i="1" s="1"/>
  <c r="AM95" i="1"/>
  <c r="AN95" i="1" s="1"/>
  <c r="AM94" i="1"/>
  <c r="AN94" i="1" s="1"/>
  <c r="AM93" i="1"/>
  <c r="AN93" i="1" s="1"/>
  <c r="AM92" i="1"/>
  <c r="AN92" i="1" s="1"/>
  <c r="AM91" i="1"/>
  <c r="AN91" i="1" s="1"/>
  <c r="AM90" i="1"/>
  <c r="AN90" i="1" s="1"/>
  <c r="AM89" i="1"/>
  <c r="AN89" i="1" s="1"/>
  <c r="AM88" i="1"/>
  <c r="AN88" i="1" s="1"/>
  <c r="AM87" i="1"/>
  <c r="AN87" i="1" s="1"/>
  <c r="AM86" i="1"/>
  <c r="AN86" i="1" s="1"/>
  <c r="AM85" i="1"/>
  <c r="AN85" i="1" s="1"/>
  <c r="AM84" i="1"/>
  <c r="AN84" i="1" s="1"/>
  <c r="AM83" i="1"/>
  <c r="AN83" i="1" s="1"/>
  <c r="AM82" i="1"/>
  <c r="AN82" i="1" s="1"/>
  <c r="AM81" i="1"/>
  <c r="AN81" i="1" s="1"/>
  <c r="AM80" i="1"/>
  <c r="AN80" i="1" s="1"/>
  <c r="AM79" i="1"/>
  <c r="AN79" i="1" s="1"/>
  <c r="AM78" i="1"/>
  <c r="AN78" i="1" s="1"/>
  <c r="AM77" i="1"/>
  <c r="AN77" i="1" s="1"/>
  <c r="AM76" i="1"/>
  <c r="AN76" i="1" s="1"/>
  <c r="AM75" i="1"/>
  <c r="AN75" i="1" s="1"/>
  <c r="AM74" i="1"/>
  <c r="AN74" i="1" s="1"/>
  <c r="AM73" i="1"/>
  <c r="AN73" i="1" s="1"/>
  <c r="AM72" i="1"/>
  <c r="AN72" i="1" s="1"/>
  <c r="AM71" i="1"/>
  <c r="AN71" i="1" s="1"/>
  <c r="AM70" i="1"/>
  <c r="AN70" i="1" s="1"/>
  <c r="AM69" i="1"/>
  <c r="AN69" i="1" s="1"/>
  <c r="AM68" i="1"/>
  <c r="AN68" i="1" s="1"/>
  <c r="AM67" i="1"/>
  <c r="AN67" i="1" s="1"/>
  <c r="AM66" i="1"/>
  <c r="AN66" i="1" s="1"/>
  <c r="AM65" i="1"/>
  <c r="AN65" i="1" s="1"/>
  <c r="AM64" i="1"/>
  <c r="AN64" i="1" s="1"/>
  <c r="AM63" i="1"/>
  <c r="AN63" i="1" s="1"/>
  <c r="AM62" i="1"/>
  <c r="AN62" i="1" s="1"/>
  <c r="AM61" i="1"/>
  <c r="AN61" i="1" s="1"/>
  <c r="AM60" i="1"/>
  <c r="AN60" i="1" s="1"/>
  <c r="AM59" i="1"/>
  <c r="AN59" i="1" s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N51" i="1" s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H31" i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M30" i="1"/>
  <c r="AN30" i="1" s="1"/>
  <c r="AL22" i="1"/>
  <c r="AJ22" i="1"/>
  <c r="AI22" i="1"/>
  <c r="AL21" i="1"/>
  <c r="AJ21" i="1"/>
  <c r="AI21" i="1"/>
  <c r="AL20" i="1"/>
  <c r="AJ20" i="1"/>
  <c r="AI20" i="1"/>
  <c r="AL19" i="1"/>
  <c r="AJ19" i="1"/>
  <c r="AI19" i="1"/>
  <c r="AI18" i="1"/>
  <c r="AL16" i="1"/>
  <c r="AJ16" i="1"/>
  <c r="AI16" i="1"/>
  <c r="AL15" i="1"/>
  <c r="AJ15" i="1"/>
  <c r="AI15" i="1"/>
  <c r="AL14" i="1"/>
  <c r="AJ14" i="1"/>
  <c r="AI14" i="1"/>
  <c r="AL12" i="1"/>
  <c r="AJ12" i="1"/>
  <c r="AI12" i="1"/>
  <c r="AL11" i="1"/>
  <c r="AJ11" i="1"/>
  <c r="AI11" i="1"/>
  <c r="AL10" i="1"/>
  <c r="AJ10" i="1"/>
  <c r="AI10" i="1"/>
  <c r="AL7" i="1"/>
  <c r="AJ7" i="1"/>
  <c r="AI7" i="1"/>
  <c r="AL6" i="1"/>
  <c r="AJ6" i="1"/>
  <c r="AI6" i="1"/>
  <c r="AL5" i="1"/>
  <c r="AJ5" i="1"/>
  <c r="AI5" i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92" i="1"/>
  <c r="AF292" i="1" s="1"/>
  <c r="AE293" i="1"/>
  <c r="AF293" i="1" s="1"/>
  <c r="AE294" i="1"/>
  <c r="AF294" i="1" s="1"/>
  <c r="AE295" i="1"/>
  <c r="AF295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2" i="1"/>
  <c r="AF322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1" i="1"/>
  <c r="AF351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5" i="1"/>
  <c r="AF375" i="1" s="1"/>
  <c r="AE376" i="1"/>
  <c r="AF376" i="1" s="1"/>
  <c r="AE377" i="1"/>
  <c r="AF377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E30" i="1"/>
  <c r="AF30" i="1" s="1"/>
  <c r="W18" i="4"/>
  <c r="X18" i="4" s="1"/>
  <c r="W19" i="4"/>
  <c r="X19" i="4" s="1"/>
  <c r="W20" i="4"/>
  <c r="X20" i="4" s="1"/>
  <c r="W21" i="4"/>
  <c r="W22" i="4"/>
  <c r="W23" i="4"/>
  <c r="X23" i="4" s="1"/>
  <c r="W24" i="4"/>
  <c r="X24" i="4" s="1"/>
  <c r="W25" i="4"/>
  <c r="X25" i="4" s="1"/>
  <c r="W26" i="4"/>
  <c r="X26" i="4" s="1"/>
  <c r="W27" i="4"/>
  <c r="X27" i="4" s="1"/>
  <c r="W28" i="4"/>
  <c r="W29" i="4"/>
  <c r="X29" i="4" s="1"/>
  <c r="W30" i="4"/>
  <c r="W31" i="4"/>
  <c r="X31" i="4" s="1"/>
  <c r="W32" i="4"/>
  <c r="X32" i="4" s="1"/>
  <c r="W33" i="4"/>
  <c r="X33" i="4" s="1"/>
  <c r="W34" i="4"/>
  <c r="X34" i="4" s="1"/>
  <c r="W35" i="4"/>
  <c r="X35" i="4" s="1"/>
  <c r="W36" i="4"/>
  <c r="X36" i="4" s="1"/>
  <c r="W37" i="4"/>
  <c r="X37" i="4" s="1"/>
  <c r="W38" i="4"/>
  <c r="X38" i="4" s="1"/>
  <c r="W39" i="4"/>
  <c r="X39" i="4" s="1"/>
  <c r="W40" i="4"/>
  <c r="X40" i="4" s="1"/>
  <c r="W41" i="4"/>
  <c r="X41" i="4" s="1"/>
  <c r="W42" i="4"/>
  <c r="X42" i="4" s="1"/>
  <c r="W43" i="4"/>
  <c r="W44" i="4"/>
  <c r="X44" i="4" s="1"/>
  <c r="W45" i="4"/>
  <c r="X45" i="4" s="1"/>
  <c r="W46" i="4"/>
  <c r="X46" i="4" s="1"/>
  <c r="W47" i="4"/>
  <c r="X47" i="4" s="1"/>
  <c r="W48" i="4"/>
  <c r="W49" i="4"/>
  <c r="X49" i="4" s="1"/>
  <c r="W50" i="4"/>
  <c r="X50" i="4" s="1"/>
  <c r="W51" i="4"/>
  <c r="X51" i="4" s="1"/>
  <c r="W52" i="4"/>
  <c r="X52" i="4" s="1"/>
  <c r="W53" i="4"/>
  <c r="X53" i="4" s="1"/>
  <c r="W54" i="4"/>
  <c r="W55" i="4"/>
  <c r="X55" i="4" s="1"/>
  <c r="W56" i="4"/>
  <c r="X56" i="4" s="1"/>
  <c r="W57" i="4"/>
  <c r="X57" i="4" s="1"/>
  <c r="W58" i="4"/>
  <c r="X58" i="4" s="1"/>
  <c r="W59" i="4"/>
  <c r="X59" i="4" s="1"/>
  <c r="W60" i="4"/>
  <c r="X60" i="4" s="1"/>
  <c r="W61" i="4"/>
  <c r="X61" i="4" s="1"/>
  <c r="W62" i="4"/>
  <c r="X62" i="4" s="1"/>
  <c r="W63" i="4"/>
  <c r="X63" i="4" s="1"/>
  <c r="W64" i="4"/>
  <c r="X64" i="4" s="1"/>
  <c r="W65" i="4"/>
  <c r="X65" i="4" s="1"/>
  <c r="W66" i="4"/>
  <c r="X66" i="4" s="1"/>
  <c r="W67" i="4"/>
  <c r="X67" i="4" s="1"/>
  <c r="W68" i="4"/>
  <c r="X68" i="4" s="1"/>
  <c r="W69" i="4"/>
  <c r="W70" i="4"/>
  <c r="X70" i="4" s="1"/>
  <c r="W71" i="4"/>
  <c r="X71" i="4" s="1"/>
  <c r="W72" i="4"/>
  <c r="X72" i="4" s="1"/>
  <c r="W73" i="4"/>
  <c r="X73" i="4" s="1"/>
  <c r="W74" i="4"/>
  <c r="X74" i="4" s="1"/>
  <c r="W75" i="4"/>
  <c r="W76" i="4"/>
  <c r="W77" i="4"/>
  <c r="X77" i="4" s="1"/>
  <c r="W78" i="4"/>
  <c r="W79" i="4"/>
  <c r="X79" i="4" s="1"/>
  <c r="W80" i="4"/>
  <c r="X80" i="4" s="1"/>
  <c r="W81" i="4"/>
  <c r="W82" i="4"/>
  <c r="X82" i="4" s="1"/>
  <c r="W83" i="4"/>
  <c r="X83" i="4" s="1"/>
  <c r="W84" i="4"/>
  <c r="X84" i="4" s="1"/>
  <c r="W85" i="4"/>
  <c r="X85" i="4" s="1"/>
  <c r="W86" i="4"/>
  <c r="X86" i="4" s="1"/>
  <c r="W87" i="4"/>
  <c r="X87" i="4" s="1"/>
  <c r="W88" i="4"/>
  <c r="X88" i="4" s="1"/>
  <c r="W89" i="4"/>
  <c r="X89" i="4" s="1"/>
  <c r="W90" i="4"/>
  <c r="X90" i="4" s="1"/>
  <c r="W91" i="4"/>
  <c r="W92" i="4"/>
  <c r="X92" i="4" s="1"/>
  <c r="W93" i="4"/>
  <c r="X93" i="4" s="1"/>
  <c r="W94" i="4"/>
  <c r="X94" i="4" s="1"/>
  <c r="W95" i="4"/>
  <c r="X95" i="4" s="1"/>
  <c r="W96" i="4"/>
  <c r="X96" i="4" s="1"/>
  <c r="W97" i="4"/>
  <c r="X97" i="4" s="1"/>
  <c r="W98" i="4"/>
  <c r="X98" i="4" s="1"/>
  <c r="W99" i="4"/>
  <c r="X99" i="4" s="1"/>
  <c r="W100" i="4"/>
  <c r="X100" i="4" s="1"/>
  <c r="W101" i="4"/>
  <c r="X101" i="4" s="1"/>
  <c r="W102" i="4"/>
  <c r="X102" i="4" s="1"/>
  <c r="W103" i="4"/>
  <c r="X103" i="4" s="1"/>
  <c r="W104" i="4"/>
  <c r="W105" i="4"/>
  <c r="X105" i="4" s="1"/>
  <c r="W106" i="4"/>
  <c r="X106" i="4" s="1"/>
  <c r="W107" i="4"/>
  <c r="W108" i="4"/>
  <c r="X108" i="4" s="1"/>
  <c r="W109" i="4"/>
  <c r="X109" i="4" s="1"/>
  <c r="W110" i="4"/>
  <c r="W111" i="4"/>
  <c r="X111" i="4" s="1"/>
  <c r="W112" i="4"/>
  <c r="X112" i="4" s="1"/>
  <c r="W113" i="4"/>
  <c r="X113" i="4" s="1"/>
  <c r="W114" i="4"/>
  <c r="X114" i="4" s="1"/>
  <c r="W115" i="4"/>
  <c r="X115" i="4" s="1"/>
  <c r="W116" i="4"/>
  <c r="X116" i="4" s="1"/>
  <c r="W117" i="4"/>
  <c r="X117" i="4" s="1"/>
  <c r="W118" i="4"/>
  <c r="X118" i="4" s="1"/>
  <c r="W119" i="4"/>
  <c r="X119" i="4" s="1"/>
  <c r="W120" i="4"/>
  <c r="X120" i="4" s="1"/>
  <c r="W121" i="4"/>
  <c r="X121" i="4" s="1"/>
  <c r="W122" i="4"/>
  <c r="X122" i="4" s="1"/>
  <c r="W123" i="4"/>
  <c r="X123" i="4" s="1"/>
  <c r="W124" i="4"/>
  <c r="X124" i="4" s="1"/>
  <c r="W125" i="4"/>
  <c r="X125" i="4" s="1"/>
  <c r="W126" i="4"/>
  <c r="W127" i="4"/>
  <c r="X127" i="4" s="1"/>
  <c r="W128" i="4"/>
  <c r="X128" i="4" s="1"/>
  <c r="W129" i="4"/>
  <c r="X129" i="4" s="1"/>
  <c r="W130" i="4"/>
  <c r="X130" i="4" s="1"/>
  <c r="W131" i="4"/>
  <c r="W132" i="4"/>
  <c r="X132" i="4" s="1"/>
  <c r="W133" i="4"/>
  <c r="X133" i="4" s="1"/>
  <c r="W134" i="4"/>
  <c r="W135" i="4"/>
  <c r="X135" i="4" s="1"/>
  <c r="W136" i="4"/>
  <c r="X136" i="4" s="1"/>
  <c r="W137" i="4"/>
  <c r="X137" i="4" s="1"/>
  <c r="W138" i="4"/>
  <c r="X138" i="4" s="1"/>
  <c r="W139" i="4"/>
  <c r="X139" i="4" s="1"/>
  <c r="W140" i="4"/>
  <c r="X140" i="4" s="1"/>
  <c r="W141" i="4"/>
  <c r="X141" i="4" s="1"/>
  <c r="W142" i="4"/>
  <c r="X142" i="4" s="1"/>
  <c r="W143" i="4"/>
  <c r="X143" i="4" s="1"/>
  <c r="W144" i="4"/>
  <c r="X144" i="4" s="1"/>
  <c r="W145" i="4"/>
  <c r="X145" i="4" s="1"/>
  <c r="W146" i="4"/>
  <c r="X146" i="4" s="1"/>
  <c r="W147" i="4"/>
  <c r="X147" i="4" s="1"/>
  <c r="W148" i="4"/>
  <c r="X148" i="4" s="1"/>
  <c r="W149" i="4"/>
  <c r="X149" i="4" s="1"/>
  <c r="W150" i="4"/>
  <c r="X150" i="4" s="1"/>
  <c r="W151" i="4"/>
  <c r="X151" i="4" s="1"/>
  <c r="W152" i="4"/>
  <c r="X152" i="4" s="1"/>
  <c r="W153" i="4"/>
  <c r="X153" i="4" s="1"/>
  <c r="W154" i="4"/>
  <c r="X154" i="4" s="1"/>
  <c r="W155" i="4"/>
  <c r="X155" i="4" s="1"/>
  <c r="W156" i="4"/>
  <c r="X156" i="4" s="1"/>
  <c r="W157" i="4"/>
  <c r="X157" i="4" s="1"/>
  <c r="W158" i="4"/>
  <c r="X158" i="4" s="1"/>
  <c r="W159" i="4"/>
  <c r="X159" i="4" s="1"/>
  <c r="W160" i="4"/>
  <c r="X160" i="4" s="1"/>
  <c r="W161" i="4"/>
  <c r="X161" i="4" s="1"/>
  <c r="W162" i="4"/>
  <c r="X162" i="4" s="1"/>
  <c r="W163" i="4"/>
  <c r="X163" i="4" s="1"/>
  <c r="W164" i="4"/>
  <c r="X164" i="4" s="1"/>
  <c r="W165" i="4"/>
  <c r="X165" i="4" s="1"/>
  <c r="W166" i="4"/>
  <c r="X166" i="4" s="1"/>
  <c r="W167" i="4"/>
  <c r="X167" i="4" s="1"/>
  <c r="W168" i="4"/>
  <c r="X168" i="4" s="1"/>
  <c r="W169" i="4"/>
  <c r="X169" i="4" s="1"/>
  <c r="W170" i="4"/>
  <c r="X170" i="4" s="1"/>
  <c r="W171" i="4"/>
  <c r="X171" i="4" s="1"/>
  <c r="W172" i="4"/>
  <c r="W173" i="4"/>
  <c r="X173" i="4" s="1"/>
  <c r="W174" i="4"/>
  <c r="W175" i="4"/>
  <c r="W176" i="4"/>
  <c r="X176" i="4" s="1"/>
  <c r="W177" i="4"/>
  <c r="X177" i="4" s="1"/>
  <c r="W178" i="4"/>
  <c r="X178" i="4" s="1"/>
  <c r="W179" i="4"/>
  <c r="X179" i="4" s="1"/>
  <c r="W180" i="4"/>
  <c r="X180" i="4" s="1"/>
  <c r="W181" i="4"/>
  <c r="X181" i="4" s="1"/>
  <c r="W182" i="4"/>
  <c r="W183" i="4"/>
  <c r="X183" i="4" s="1"/>
  <c r="W184" i="4"/>
  <c r="X184" i="4" s="1"/>
  <c r="W185" i="4"/>
  <c r="X185" i="4" s="1"/>
  <c r="W186" i="4"/>
  <c r="X186" i="4" s="1"/>
  <c r="W187" i="4"/>
  <c r="X187" i="4" s="1"/>
  <c r="W188" i="4"/>
  <c r="W189" i="4"/>
  <c r="X189" i="4" s="1"/>
  <c r="W190" i="4"/>
  <c r="X190" i="4" s="1"/>
  <c r="W191" i="4"/>
  <c r="X191" i="4" s="1"/>
  <c r="W192" i="4"/>
  <c r="X192" i="4" s="1"/>
  <c r="W193" i="4"/>
  <c r="X193" i="4" s="1"/>
  <c r="W194" i="4"/>
  <c r="X194" i="4" s="1"/>
  <c r="W195" i="4"/>
  <c r="X195" i="4" s="1"/>
  <c r="W196" i="4"/>
  <c r="X196" i="4" s="1"/>
  <c r="W197" i="4"/>
  <c r="X197" i="4" s="1"/>
  <c r="W198" i="4"/>
  <c r="X198" i="4" s="1"/>
  <c r="W199" i="4"/>
  <c r="X199" i="4" s="1"/>
  <c r="W200" i="4"/>
  <c r="X200" i="4" s="1"/>
  <c r="W201" i="4"/>
  <c r="X201" i="4" s="1"/>
  <c r="W202" i="4"/>
  <c r="X202" i="4" s="1"/>
  <c r="W203" i="4"/>
  <c r="X203" i="4" s="1"/>
  <c r="W204" i="4"/>
  <c r="X204" i="4" s="1"/>
  <c r="W205" i="4"/>
  <c r="X205" i="4" s="1"/>
  <c r="W206" i="4"/>
  <c r="X206" i="4" s="1"/>
  <c r="W207" i="4"/>
  <c r="X207" i="4" s="1"/>
  <c r="W208" i="4"/>
  <c r="W209" i="4"/>
  <c r="X209" i="4" s="1"/>
  <c r="W210" i="4"/>
  <c r="X210" i="4" s="1"/>
  <c r="W211" i="4"/>
  <c r="X211" i="4" s="1"/>
  <c r="W212" i="4"/>
  <c r="W213" i="4"/>
  <c r="X213" i="4" s="1"/>
  <c r="W214" i="4"/>
  <c r="X214" i="4" s="1"/>
  <c r="W215" i="4"/>
  <c r="X215" i="4" s="1"/>
  <c r="W216" i="4"/>
  <c r="X216" i="4" s="1"/>
  <c r="W217" i="4"/>
  <c r="X217" i="4" s="1"/>
  <c r="W218" i="4"/>
  <c r="X218" i="4" s="1"/>
  <c r="W219" i="4"/>
  <c r="W220" i="4"/>
  <c r="X220" i="4" s="1"/>
  <c r="W221" i="4"/>
  <c r="X221" i="4" s="1"/>
  <c r="W222" i="4"/>
  <c r="W223" i="4"/>
  <c r="X223" i="4" s="1"/>
  <c r="W224" i="4"/>
  <c r="X224" i="4" s="1"/>
  <c r="W225" i="4"/>
  <c r="X225" i="4" s="1"/>
  <c r="W226" i="4"/>
  <c r="X226" i="4" s="1"/>
  <c r="W227" i="4"/>
  <c r="X227" i="4" s="1"/>
  <c r="W228" i="4"/>
  <c r="X228" i="4" s="1"/>
  <c r="W229" i="4"/>
  <c r="X229" i="4" s="1"/>
  <c r="W230" i="4"/>
  <c r="W231" i="4"/>
  <c r="X231" i="4" s="1"/>
  <c r="W232" i="4"/>
  <c r="X232" i="4" s="1"/>
  <c r="W233" i="4"/>
  <c r="W234" i="4"/>
  <c r="X234" i="4" s="1"/>
  <c r="W235" i="4"/>
  <c r="X235" i="4" s="1"/>
  <c r="W236" i="4"/>
  <c r="X236" i="4" s="1"/>
  <c r="W237" i="4"/>
  <c r="X237" i="4" s="1"/>
  <c r="W238" i="4"/>
  <c r="X238" i="4" s="1"/>
  <c r="W239" i="4"/>
  <c r="X239" i="4" s="1"/>
  <c r="W240" i="4"/>
  <c r="X240" i="4" s="1"/>
  <c r="W241" i="4"/>
  <c r="X241" i="4" s="1"/>
  <c r="W242" i="4"/>
  <c r="X242" i="4" s="1"/>
  <c r="W243" i="4"/>
  <c r="X243" i="4" s="1"/>
  <c r="W244" i="4"/>
  <c r="W245" i="4"/>
  <c r="X245" i="4" s="1"/>
  <c r="W246" i="4"/>
  <c r="X246" i="4" s="1"/>
  <c r="W247" i="4"/>
  <c r="X247" i="4" s="1"/>
  <c r="W248" i="4"/>
  <c r="X248" i="4" s="1"/>
  <c r="W249" i="4"/>
  <c r="X249" i="4" s="1"/>
  <c r="W250" i="4"/>
  <c r="X250" i="4" s="1"/>
  <c r="W251" i="4"/>
  <c r="X251" i="4" s="1"/>
  <c r="W252" i="4"/>
  <c r="X252" i="4" s="1"/>
  <c r="W253" i="4"/>
  <c r="X253" i="4" s="1"/>
  <c r="W254" i="4"/>
  <c r="X254" i="4" s="1"/>
  <c r="W255" i="4"/>
  <c r="X255" i="4" s="1"/>
  <c r="W256" i="4"/>
  <c r="X256" i="4" s="1"/>
  <c r="W257" i="4"/>
  <c r="X257" i="4" s="1"/>
  <c r="W258" i="4"/>
  <c r="X258" i="4" s="1"/>
  <c r="W259" i="4"/>
  <c r="X259" i="4" s="1"/>
  <c r="W260" i="4"/>
  <c r="X260" i="4" s="1"/>
  <c r="W261" i="4"/>
  <c r="X261" i="4" s="1"/>
  <c r="W262" i="4"/>
  <c r="X262" i="4" s="1"/>
  <c r="W263" i="4"/>
  <c r="X263" i="4" s="1"/>
  <c r="W264" i="4"/>
  <c r="X264" i="4" s="1"/>
  <c r="W265" i="4"/>
  <c r="X265" i="4" s="1"/>
  <c r="W266" i="4"/>
  <c r="X266" i="4" s="1"/>
  <c r="W267" i="4"/>
  <c r="X267" i="4" s="1"/>
  <c r="W268" i="4"/>
  <c r="X268" i="4" s="1"/>
  <c r="W269" i="4"/>
  <c r="X269" i="4" s="1"/>
  <c r="W270" i="4"/>
  <c r="W271" i="4"/>
  <c r="X271" i="4" s="1"/>
  <c r="W272" i="4"/>
  <c r="X272" i="4" s="1"/>
  <c r="W273" i="4"/>
  <c r="X273" i="4" s="1"/>
  <c r="W274" i="4"/>
  <c r="X274" i="4" s="1"/>
  <c r="W275" i="4"/>
  <c r="X275" i="4" s="1"/>
  <c r="W276" i="4"/>
  <c r="X276" i="4" s="1"/>
  <c r="W277" i="4"/>
  <c r="X277" i="4" s="1"/>
  <c r="W278" i="4"/>
  <c r="X278" i="4" s="1"/>
  <c r="W279" i="4"/>
  <c r="X279" i="4" s="1"/>
  <c r="W280" i="4"/>
  <c r="X280" i="4" s="1"/>
  <c r="W281" i="4"/>
  <c r="X281" i="4" s="1"/>
  <c r="W282" i="4"/>
  <c r="X282" i="4" s="1"/>
  <c r="W283" i="4"/>
  <c r="X283" i="4" s="1"/>
  <c r="W284" i="4"/>
  <c r="W285" i="4"/>
  <c r="X285" i="4" s="1"/>
  <c r="W286" i="4"/>
  <c r="X286" i="4" s="1"/>
  <c r="W287" i="4"/>
  <c r="X287" i="4" s="1"/>
  <c r="W288" i="4"/>
  <c r="X288" i="4" s="1"/>
  <c r="W289" i="4"/>
  <c r="X289" i="4" s="1"/>
  <c r="W290" i="4"/>
  <c r="X290" i="4" s="1"/>
  <c r="W291" i="4"/>
  <c r="X291" i="4" s="1"/>
  <c r="W292" i="4"/>
  <c r="X292" i="4" s="1"/>
  <c r="W293" i="4"/>
  <c r="X293" i="4" s="1"/>
  <c r="W294" i="4"/>
  <c r="W295" i="4"/>
  <c r="X295" i="4" s="1"/>
  <c r="W296" i="4"/>
  <c r="X296" i="4" s="1"/>
  <c r="W297" i="4"/>
  <c r="X297" i="4" s="1"/>
  <c r="W298" i="4"/>
  <c r="X298" i="4" s="1"/>
  <c r="W299" i="4"/>
  <c r="X299" i="4" s="1"/>
  <c r="W300" i="4"/>
  <c r="X300" i="4" s="1"/>
  <c r="W301" i="4"/>
  <c r="X301" i="4" s="1"/>
  <c r="W302" i="4"/>
  <c r="W303" i="4"/>
  <c r="X303" i="4" s="1"/>
  <c r="W304" i="4"/>
  <c r="X304" i="4" s="1"/>
  <c r="W305" i="4"/>
  <c r="X305" i="4" s="1"/>
  <c r="W306" i="4"/>
  <c r="X306" i="4" s="1"/>
  <c r="W307" i="4"/>
  <c r="X307" i="4" s="1"/>
  <c r="W308" i="4"/>
  <c r="W309" i="4"/>
  <c r="X309" i="4" s="1"/>
  <c r="W310" i="4"/>
  <c r="X310" i="4" s="1"/>
  <c r="W311" i="4"/>
  <c r="X311" i="4" s="1"/>
  <c r="W312" i="4"/>
  <c r="X312" i="4" s="1"/>
  <c r="W313" i="4"/>
  <c r="X313" i="4" s="1"/>
  <c r="W314" i="4"/>
  <c r="X314" i="4" s="1"/>
  <c r="W315" i="4"/>
  <c r="X315" i="4" s="1"/>
  <c r="W316" i="4"/>
  <c r="X316" i="4" s="1"/>
  <c r="W317" i="4"/>
  <c r="X317" i="4" s="1"/>
  <c r="W318" i="4"/>
  <c r="X318" i="4" s="1"/>
  <c r="W319" i="4"/>
  <c r="X319" i="4" s="1"/>
  <c r="W320" i="4"/>
  <c r="X320" i="4" s="1"/>
  <c r="W321" i="4"/>
  <c r="X321" i="4" s="1"/>
  <c r="W322" i="4"/>
  <c r="X322" i="4" s="1"/>
  <c r="W323" i="4"/>
  <c r="X323" i="4" s="1"/>
  <c r="W324" i="4"/>
  <c r="X324" i="4" s="1"/>
  <c r="W325" i="4"/>
  <c r="X325" i="4" s="1"/>
  <c r="W326" i="4"/>
  <c r="X326" i="4" s="1"/>
  <c r="W327" i="4"/>
  <c r="X327" i="4" s="1"/>
  <c r="W328" i="4"/>
  <c r="X328" i="4" s="1"/>
  <c r="W329" i="4"/>
  <c r="X329" i="4" s="1"/>
  <c r="W330" i="4"/>
  <c r="X330" i="4" s="1"/>
  <c r="W331" i="4"/>
  <c r="X331" i="4" s="1"/>
  <c r="W332" i="4"/>
  <c r="X332" i="4" s="1"/>
  <c r="W333" i="4"/>
  <c r="W334" i="4"/>
  <c r="X334" i="4" s="1"/>
  <c r="W335" i="4"/>
  <c r="X335" i="4" s="1"/>
  <c r="W336" i="4"/>
  <c r="X336" i="4" s="1"/>
  <c r="W337" i="4"/>
  <c r="X337" i="4" s="1"/>
  <c r="W338" i="4"/>
  <c r="X338" i="4" s="1"/>
  <c r="W339" i="4"/>
  <c r="X339" i="4" s="1"/>
  <c r="W340" i="4"/>
  <c r="X340" i="4" s="1"/>
  <c r="W341" i="4"/>
  <c r="X341" i="4" s="1"/>
  <c r="W342" i="4"/>
  <c r="W343" i="4"/>
  <c r="X343" i="4" s="1"/>
  <c r="W344" i="4"/>
  <c r="X344" i="4" s="1"/>
  <c r="W345" i="4"/>
  <c r="X345" i="4" s="1"/>
  <c r="W346" i="4"/>
  <c r="X346" i="4" s="1"/>
  <c r="W347" i="4"/>
  <c r="X347" i="4" s="1"/>
  <c r="W348" i="4"/>
  <c r="X348" i="4" s="1"/>
  <c r="W349" i="4"/>
  <c r="X349" i="4" s="1"/>
  <c r="W350" i="4"/>
  <c r="X350" i="4" s="1"/>
  <c r="W351" i="4"/>
  <c r="X351" i="4" s="1"/>
  <c r="W352" i="4"/>
  <c r="X352" i="4" s="1"/>
  <c r="W353" i="4"/>
  <c r="X353" i="4" s="1"/>
  <c r="W354" i="4"/>
  <c r="X354" i="4" s="1"/>
  <c r="W355" i="4"/>
  <c r="X355" i="4" s="1"/>
  <c r="W356" i="4"/>
  <c r="X356" i="4" s="1"/>
  <c r="W357" i="4"/>
  <c r="X357" i="4" s="1"/>
  <c r="W358" i="4"/>
  <c r="X358" i="4" s="1"/>
  <c r="W359" i="4"/>
  <c r="X359" i="4" s="1"/>
  <c r="W360" i="4"/>
  <c r="X360" i="4" s="1"/>
  <c r="W361" i="4"/>
  <c r="X361" i="4" s="1"/>
  <c r="W362" i="4"/>
  <c r="X362" i="4" s="1"/>
  <c r="W363" i="4"/>
  <c r="X363" i="4" s="1"/>
  <c r="W364" i="4"/>
  <c r="X364" i="4" s="1"/>
  <c r="W365" i="4"/>
  <c r="X365" i="4" s="1"/>
  <c r="W366" i="4"/>
  <c r="X366" i="4" s="1"/>
  <c r="W367" i="4"/>
  <c r="X367" i="4" s="1"/>
  <c r="W368" i="4"/>
  <c r="X368" i="4" s="1"/>
  <c r="W369" i="4"/>
  <c r="X369" i="4" s="1"/>
  <c r="W370" i="4"/>
  <c r="X370" i="4" s="1"/>
  <c r="W371" i="4"/>
  <c r="X371" i="4" s="1"/>
  <c r="W372" i="4"/>
  <c r="X372" i="4" s="1"/>
  <c r="W373" i="4"/>
  <c r="X373" i="4" s="1"/>
  <c r="W374" i="4"/>
  <c r="X374" i="4" s="1"/>
  <c r="W375" i="4"/>
  <c r="X375" i="4" s="1"/>
  <c r="W376" i="4"/>
  <c r="X376" i="4" s="1"/>
  <c r="W377" i="4"/>
  <c r="X377" i="4" s="1"/>
  <c r="W378" i="4"/>
  <c r="X378" i="4" s="1"/>
  <c r="W379" i="4"/>
  <c r="X379" i="4" s="1"/>
  <c r="W380" i="4"/>
  <c r="W381" i="4"/>
  <c r="X381" i="4" s="1"/>
  <c r="W382" i="4"/>
  <c r="W17" i="4"/>
  <c r="X17" i="4" s="1"/>
  <c r="X380" i="4"/>
  <c r="X342" i="4"/>
  <c r="X333" i="4"/>
  <c r="X308" i="4"/>
  <c r="X302" i="4"/>
  <c r="X294" i="4"/>
  <c r="X284" i="4"/>
  <c r="X270" i="4"/>
  <c r="X244" i="4"/>
  <c r="X230" i="4"/>
  <c r="X222" i="4"/>
  <c r="X219" i="4"/>
  <c r="X212" i="4"/>
  <c r="X208" i="4"/>
  <c r="X188" i="4"/>
  <c r="X182" i="4"/>
  <c r="X175" i="4"/>
  <c r="X174" i="4"/>
  <c r="X172" i="4"/>
  <c r="X134" i="4"/>
  <c r="X131" i="4"/>
  <c r="X126" i="4"/>
  <c r="X110" i="4"/>
  <c r="X104" i="4"/>
  <c r="X91" i="4"/>
  <c r="X78" i="4"/>
  <c r="X75" i="4"/>
  <c r="X69" i="4"/>
  <c r="X54" i="4"/>
  <c r="X43" i="4"/>
  <c r="X30" i="4"/>
  <c r="X28" i="4"/>
  <c r="X22" i="4"/>
  <c r="S18" i="4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S256" i="4" s="1"/>
  <c r="S257" i="4" s="1"/>
  <c r="S258" i="4" s="1"/>
  <c r="S259" i="4" s="1"/>
  <c r="S260" i="4" s="1"/>
  <c r="S261" i="4" s="1"/>
  <c r="S262" i="4" s="1"/>
  <c r="S263" i="4" s="1"/>
  <c r="S264" i="4" s="1"/>
  <c r="S265" i="4" s="1"/>
  <c r="S266" i="4" s="1"/>
  <c r="S267" i="4" s="1"/>
  <c r="S268" i="4" s="1"/>
  <c r="S269" i="4" s="1"/>
  <c r="S270" i="4" s="1"/>
  <c r="S271" i="4" s="1"/>
  <c r="S272" i="4" s="1"/>
  <c r="S273" i="4" s="1"/>
  <c r="S274" i="4" s="1"/>
  <c r="S275" i="4" s="1"/>
  <c r="S276" i="4" s="1"/>
  <c r="S277" i="4" s="1"/>
  <c r="S278" i="4" s="1"/>
  <c r="S279" i="4" s="1"/>
  <c r="S280" i="4" s="1"/>
  <c r="S281" i="4" s="1"/>
  <c r="S282" i="4" s="1"/>
  <c r="S283" i="4" s="1"/>
  <c r="S284" i="4" s="1"/>
  <c r="S285" i="4" s="1"/>
  <c r="S286" i="4" s="1"/>
  <c r="S287" i="4" s="1"/>
  <c r="S288" i="4" s="1"/>
  <c r="S289" i="4" s="1"/>
  <c r="S290" i="4" s="1"/>
  <c r="S291" i="4" s="1"/>
  <c r="S292" i="4" s="1"/>
  <c r="S293" i="4" s="1"/>
  <c r="S294" i="4" s="1"/>
  <c r="S295" i="4" s="1"/>
  <c r="S296" i="4" s="1"/>
  <c r="S297" i="4" s="1"/>
  <c r="S298" i="4" s="1"/>
  <c r="S299" i="4" s="1"/>
  <c r="S300" i="4" s="1"/>
  <c r="S301" i="4" s="1"/>
  <c r="S302" i="4" s="1"/>
  <c r="S303" i="4" s="1"/>
  <c r="S304" i="4" s="1"/>
  <c r="S305" i="4" s="1"/>
  <c r="S306" i="4" s="1"/>
  <c r="S307" i="4" s="1"/>
  <c r="S308" i="4" s="1"/>
  <c r="S309" i="4" s="1"/>
  <c r="S310" i="4" s="1"/>
  <c r="S311" i="4" s="1"/>
  <c r="S312" i="4" s="1"/>
  <c r="S313" i="4" s="1"/>
  <c r="S314" i="4" s="1"/>
  <c r="S315" i="4" s="1"/>
  <c r="S316" i="4" s="1"/>
  <c r="S317" i="4" s="1"/>
  <c r="S318" i="4" s="1"/>
  <c r="S319" i="4" s="1"/>
  <c r="S320" i="4" s="1"/>
  <c r="S321" i="4" s="1"/>
  <c r="S322" i="4" s="1"/>
  <c r="S323" i="4" s="1"/>
  <c r="S324" i="4" s="1"/>
  <c r="S325" i="4" s="1"/>
  <c r="S326" i="4" s="1"/>
  <c r="S327" i="4" s="1"/>
  <c r="S328" i="4" s="1"/>
  <c r="S329" i="4" s="1"/>
  <c r="S330" i="4" s="1"/>
  <c r="S331" i="4" s="1"/>
  <c r="S332" i="4" s="1"/>
  <c r="S333" i="4" s="1"/>
  <c r="S334" i="4" s="1"/>
  <c r="S335" i="4" s="1"/>
  <c r="S336" i="4" s="1"/>
  <c r="S337" i="4" s="1"/>
  <c r="S338" i="4" s="1"/>
  <c r="S339" i="4" s="1"/>
  <c r="S340" i="4" s="1"/>
  <c r="S341" i="4" s="1"/>
  <c r="S342" i="4" s="1"/>
  <c r="S343" i="4" s="1"/>
  <c r="S344" i="4" s="1"/>
  <c r="S345" i="4" s="1"/>
  <c r="S346" i="4" s="1"/>
  <c r="S347" i="4" s="1"/>
  <c r="S348" i="4" s="1"/>
  <c r="S349" i="4" s="1"/>
  <c r="S350" i="4" s="1"/>
  <c r="S351" i="4" s="1"/>
  <c r="S352" i="4" s="1"/>
  <c r="S353" i="4" s="1"/>
  <c r="S354" i="4" s="1"/>
  <c r="S355" i="4" s="1"/>
  <c r="S356" i="4" s="1"/>
  <c r="S357" i="4" s="1"/>
  <c r="S358" i="4" s="1"/>
  <c r="S359" i="4" s="1"/>
  <c r="S360" i="4" s="1"/>
  <c r="S361" i="4" s="1"/>
  <c r="S362" i="4" s="1"/>
  <c r="S363" i="4" s="1"/>
  <c r="S364" i="4" s="1"/>
  <c r="S365" i="4" s="1"/>
  <c r="S366" i="4" s="1"/>
  <c r="S367" i="4" s="1"/>
  <c r="S368" i="4" s="1"/>
  <c r="S369" i="4" s="1"/>
  <c r="S370" i="4" s="1"/>
  <c r="S371" i="4" s="1"/>
  <c r="S372" i="4" s="1"/>
  <c r="S373" i="4" s="1"/>
  <c r="S374" i="4" s="1"/>
  <c r="S375" i="4" s="1"/>
  <c r="S376" i="4" s="1"/>
  <c r="S377" i="4" s="1"/>
  <c r="S378" i="4" s="1"/>
  <c r="S379" i="4" s="1"/>
  <c r="S380" i="4" s="1"/>
  <c r="S381" i="4" s="1"/>
  <c r="V12" i="4"/>
  <c r="U12" i="4"/>
  <c r="T12" i="4"/>
  <c r="V11" i="4"/>
  <c r="U11" i="4"/>
  <c r="T11" i="4"/>
  <c r="V10" i="4"/>
  <c r="U10" i="4"/>
  <c r="T10" i="4"/>
  <c r="V9" i="4"/>
  <c r="U9" i="4"/>
  <c r="T9" i="4"/>
  <c r="V6" i="4"/>
  <c r="U6" i="4"/>
  <c r="T6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AM18" i="1" l="1"/>
  <c r="AX40" i="1"/>
  <c r="AM16" i="1"/>
  <c r="AJ8" i="1"/>
  <c r="AN29" i="1"/>
  <c r="AM21" i="1"/>
  <c r="AI8" i="1"/>
  <c r="AL8" i="1"/>
  <c r="AM14" i="1"/>
  <c r="AM11" i="1"/>
  <c r="AM5" i="1"/>
  <c r="AM7" i="1"/>
  <c r="AM10" i="1"/>
  <c r="AM12" i="1"/>
  <c r="AM15" i="1"/>
  <c r="AM20" i="1"/>
  <c r="AM22" i="1"/>
  <c r="AM6" i="1"/>
  <c r="AM19" i="1"/>
  <c r="X81" i="4"/>
  <c r="X233" i="4"/>
  <c r="W6" i="4"/>
  <c r="W11" i="4"/>
  <c r="W13" i="4"/>
  <c r="W10" i="4"/>
  <c r="W12" i="4"/>
  <c r="X21" i="4"/>
  <c r="X107" i="4"/>
  <c r="X48" i="4"/>
  <c r="W9" i="4"/>
  <c r="W8" i="4" s="1"/>
  <c r="X76" i="4"/>
  <c r="AX41" i="1" l="1"/>
  <c r="AM8" i="1"/>
  <c r="X16" i="4"/>
  <c r="AX42" i="1" l="1"/>
  <c r="AX43" i="1" l="1"/>
  <c r="AX44" i="1" l="1"/>
  <c r="AE16" i="1"/>
  <c r="AE11" i="1"/>
  <c r="AE5" i="1"/>
  <c r="AE14" i="1"/>
  <c r="AE21" i="1"/>
  <c r="Z31" i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AD22" i="1"/>
  <c r="AB22" i="1"/>
  <c r="AA22" i="1"/>
  <c r="AD21" i="1"/>
  <c r="AB21" i="1"/>
  <c r="AA21" i="1"/>
  <c r="AD20" i="1"/>
  <c r="AB20" i="1"/>
  <c r="AA20" i="1"/>
  <c r="AD19" i="1"/>
  <c r="AB19" i="1"/>
  <c r="AA19" i="1"/>
  <c r="AD18" i="1"/>
  <c r="AB18" i="1"/>
  <c r="AA18" i="1"/>
  <c r="AD16" i="1"/>
  <c r="AB16" i="1"/>
  <c r="AA16" i="1"/>
  <c r="AD15" i="1"/>
  <c r="AB15" i="1"/>
  <c r="AA15" i="1"/>
  <c r="AD14" i="1"/>
  <c r="AB14" i="1"/>
  <c r="AA14" i="1"/>
  <c r="AD12" i="1"/>
  <c r="AB12" i="1"/>
  <c r="AA12" i="1"/>
  <c r="AD11" i="1"/>
  <c r="AB11" i="1"/>
  <c r="AA11" i="1"/>
  <c r="AD10" i="1"/>
  <c r="AB10" i="1"/>
  <c r="AA10" i="1"/>
  <c r="AD7" i="1"/>
  <c r="AB7" i="1"/>
  <c r="AA7" i="1"/>
  <c r="AD6" i="1"/>
  <c r="AB6" i="1"/>
  <c r="AA6" i="1"/>
  <c r="AD5" i="1"/>
  <c r="AB5" i="1"/>
  <c r="AA5" i="1"/>
  <c r="AX45" i="1" l="1"/>
  <c r="AF29" i="1"/>
  <c r="AA8" i="1"/>
  <c r="AB8" i="1"/>
  <c r="AD8" i="1"/>
  <c r="AE20" i="1"/>
  <c r="AE15" i="1"/>
  <c r="AE10" i="1"/>
  <c r="AE18" i="1"/>
  <c r="AE7" i="1"/>
  <c r="AE12" i="1"/>
  <c r="AE22" i="1"/>
  <c r="AE6" i="1"/>
  <c r="AE19" i="1"/>
  <c r="AX46" i="1" l="1"/>
  <c r="AE8" i="1"/>
  <c r="AX47" i="1" l="1"/>
  <c r="Q107" i="4"/>
  <c r="AX48" i="1" l="1"/>
  <c r="Q108" i="4"/>
  <c r="AX49" i="1" l="1"/>
  <c r="Q109" i="4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AX50" i="1" l="1"/>
  <c r="Q110" i="4"/>
  <c r="AX51" i="1" l="1"/>
  <c r="Q111" i="4"/>
  <c r="G17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8" i="4"/>
  <c r="R111" i="4"/>
  <c r="R110" i="4"/>
  <c r="R109" i="4"/>
  <c r="R108" i="4"/>
  <c r="R107" i="4"/>
  <c r="Q106" i="4"/>
  <c r="R106" i="4" s="1"/>
  <c r="Q105" i="4"/>
  <c r="R105" i="4" s="1"/>
  <c r="Q104" i="4"/>
  <c r="R104" i="4" s="1"/>
  <c r="Q103" i="4"/>
  <c r="R103" i="4" s="1"/>
  <c r="Q102" i="4"/>
  <c r="R102" i="4" s="1"/>
  <c r="Q101" i="4"/>
  <c r="R101" i="4" s="1"/>
  <c r="Q100" i="4"/>
  <c r="R100" i="4" s="1"/>
  <c r="Q99" i="4"/>
  <c r="R99" i="4" s="1"/>
  <c r="Q98" i="4"/>
  <c r="R98" i="4" s="1"/>
  <c r="Q97" i="4"/>
  <c r="R97" i="4" s="1"/>
  <c r="Q96" i="4"/>
  <c r="R96" i="4" s="1"/>
  <c r="Q95" i="4"/>
  <c r="R95" i="4" s="1"/>
  <c r="Q94" i="4"/>
  <c r="R94" i="4" s="1"/>
  <c r="Q93" i="4"/>
  <c r="R93" i="4" s="1"/>
  <c r="Q92" i="4"/>
  <c r="R92" i="4" s="1"/>
  <c r="Q91" i="4"/>
  <c r="R91" i="4" s="1"/>
  <c r="Q90" i="4"/>
  <c r="R90" i="4" s="1"/>
  <c r="Q89" i="4"/>
  <c r="R89" i="4" s="1"/>
  <c r="Q88" i="4"/>
  <c r="R88" i="4" s="1"/>
  <c r="Q87" i="4"/>
  <c r="R87" i="4" s="1"/>
  <c r="Q86" i="4"/>
  <c r="R86" i="4" s="1"/>
  <c r="Q85" i="4"/>
  <c r="R85" i="4" s="1"/>
  <c r="Q84" i="4"/>
  <c r="R84" i="4" s="1"/>
  <c r="Q83" i="4"/>
  <c r="R83" i="4" s="1"/>
  <c r="Q82" i="4"/>
  <c r="R82" i="4" s="1"/>
  <c r="Q81" i="4"/>
  <c r="R81" i="4" s="1"/>
  <c r="Q80" i="4"/>
  <c r="R80" i="4" s="1"/>
  <c r="Q79" i="4"/>
  <c r="R79" i="4" s="1"/>
  <c r="Q78" i="4"/>
  <c r="R78" i="4" s="1"/>
  <c r="Q77" i="4"/>
  <c r="Q76" i="4"/>
  <c r="Q75" i="4"/>
  <c r="R75" i="4" s="1"/>
  <c r="Q74" i="4"/>
  <c r="R74" i="4" s="1"/>
  <c r="Q73" i="4"/>
  <c r="R73" i="4" s="1"/>
  <c r="Q72" i="4"/>
  <c r="R72" i="4" s="1"/>
  <c r="Q71" i="4"/>
  <c r="R71" i="4" s="1"/>
  <c r="Q70" i="4"/>
  <c r="R70" i="4" s="1"/>
  <c r="Q69" i="4"/>
  <c r="R69" i="4" s="1"/>
  <c r="Q68" i="4"/>
  <c r="R68" i="4" s="1"/>
  <c r="Q67" i="4"/>
  <c r="R67" i="4" s="1"/>
  <c r="Q66" i="4"/>
  <c r="R66" i="4" s="1"/>
  <c r="Q65" i="4"/>
  <c r="R65" i="4" s="1"/>
  <c r="Q64" i="4"/>
  <c r="R64" i="4" s="1"/>
  <c r="Q63" i="4"/>
  <c r="R63" i="4" s="1"/>
  <c r="Q62" i="4"/>
  <c r="R62" i="4" s="1"/>
  <c r="Q61" i="4"/>
  <c r="R61" i="4" s="1"/>
  <c r="Q60" i="4"/>
  <c r="R60" i="4" s="1"/>
  <c r="Q59" i="4"/>
  <c r="R59" i="4" s="1"/>
  <c r="Q58" i="4"/>
  <c r="R58" i="4" s="1"/>
  <c r="Q57" i="4"/>
  <c r="R57" i="4" s="1"/>
  <c r="Q56" i="4"/>
  <c r="R56" i="4" s="1"/>
  <c r="Q55" i="4"/>
  <c r="R55" i="4" s="1"/>
  <c r="Q54" i="4"/>
  <c r="R54" i="4" s="1"/>
  <c r="Q53" i="4"/>
  <c r="R53" i="4" s="1"/>
  <c r="Q52" i="4"/>
  <c r="R52" i="4" s="1"/>
  <c r="Q51" i="4"/>
  <c r="R51" i="4" s="1"/>
  <c r="Q50" i="4"/>
  <c r="R50" i="4" s="1"/>
  <c r="Q49" i="4"/>
  <c r="R49" i="4" s="1"/>
  <c r="Q48" i="4"/>
  <c r="Q47" i="4"/>
  <c r="R47" i="4" s="1"/>
  <c r="Q46" i="4"/>
  <c r="R46" i="4" s="1"/>
  <c r="Q45" i="4"/>
  <c r="R45" i="4" s="1"/>
  <c r="Q44" i="4"/>
  <c r="R44" i="4" s="1"/>
  <c r="Q43" i="4"/>
  <c r="R43" i="4" s="1"/>
  <c r="Q42" i="4"/>
  <c r="R42" i="4" s="1"/>
  <c r="Q41" i="4"/>
  <c r="R41" i="4" s="1"/>
  <c r="Q40" i="4"/>
  <c r="R40" i="4" s="1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Q29" i="4"/>
  <c r="R29" i="4" s="1"/>
  <c r="Q28" i="4"/>
  <c r="R28" i="4" s="1"/>
  <c r="Q27" i="4"/>
  <c r="R27" i="4" s="1"/>
  <c r="Q26" i="4"/>
  <c r="R26" i="4" s="1"/>
  <c r="Q25" i="4"/>
  <c r="R25" i="4" s="1"/>
  <c r="Q24" i="4"/>
  <c r="R24" i="4" s="1"/>
  <c r="Q23" i="4"/>
  <c r="Q22" i="4"/>
  <c r="R22" i="4" s="1"/>
  <c r="Q21" i="4"/>
  <c r="R21" i="4" s="1"/>
  <c r="Q20" i="4"/>
  <c r="R20" i="4" s="1"/>
  <c r="Q19" i="4"/>
  <c r="R19" i="4" s="1"/>
  <c r="Q18" i="4"/>
  <c r="R18" i="4" s="1"/>
  <c r="M18" i="4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Q17" i="4"/>
  <c r="R17" i="4" s="1"/>
  <c r="P12" i="4"/>
  <c r="O12" i="4"/>
  <c r="P11" i="4"/>
  <c r="O11" i="4"/>
  <c r="P10" i="4"/>
  <c r="O10" i="4"/>
  <c r="P9" i="4"/>
  <c r="O9" i="4"/>
  <c r="P6" i="4"/>
  <c r="O6" i="4"/>
  <c r="AX52" i="1" l="1"/>
  <c r="R199" i="4"/>
  <c r="R76" i="4"/>
  <c r="R48" i="4"/>
  <c r="Q112" i="4"/>
  <c r="R112" i="4" s="1"/>
  <c r="R77" i="4"/>
  <c r="R23" i="4"/>
  <c r="AX53" i="1" l="1"/>
  <c r="Q113" i="4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W30" i="1"/>
  <c r="X30" i="1" s="1"/>
  <c r="O30" i="1"/>
  <c r="P30" i="1" s="1"/>
  <c r="AX54" i="1" l="1"/>
  <c r="Q114" i="4"/>
  <c r="R114" i="4" s="1"/>
  <c r="R113" i="4"/>
  <c r="AX55" i="1" l="1"/>
  <c r="Q115" i="4"/>
  <c r="R31" i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W22" i="1"/>
  <c r="V22" i="1"/>
  <c r="T22" i="1"/>
  <c r="S22" i="1"/>
  <c r="W21" i="1"/>
  <c r="V21" i="1"/>
  <c r="T21" i="1"/>
  <c r="S21" i="1"/>
  <c r="W20" i="1"/>
  <c r="V20" i="1"/>
  <c r="T20" i="1"/>
  <c r="S20" i="1"/>
  <c r="W19" i="1"/>
  <c r="V19" i="1"/>
  <c r="T19" i="1"/>
  <c r="S19" i="1"/>
  <c r="W18" i="1"/>
  <c r="V18" i="1"/>
  <c r="T18" i="1"/>
  <c r="S18" i="1"/>
  <c r="W16" i="1"/>
  <c r="V16" i="1"/>
  <c r="T16" i="1"/>
  <c r="S16" i="1"/>
  <c r="W15" i="1"/>
  <c r="V15" i="1"/>
  <c r="T15" i="1"/>
  <c r="S15" i="1"/>
  <c r="W14" i="1"/>
  <c r="V14" i="1"/>
  <c r="T14" i="1"/>
  <c r="S14" i="1"/>
  <c r="W12" i="1"/>
  <c r="V12" i="1"/>
  <c r="T12" i="1"/>
  <c r="S12" i="1"/>
  <c r="W11" i="1"/>
  <c r="V11" i="1"/>
  <c r="T11" i="1"/>
  <c r="S11" i="1"/>
  <c r="W10" i="1"/>
  <c r="V10" i="1"/>
  <c r="T10" i="1"/>
  <c r="S10" i="1"/>
  <c r="W7" i="1"/>
  <c r="V7" i="1"/>
  <c r="T7" i="1"/>
  <c r="S7" i="1"/>
  <c r="W6" i="1"/>
  <c r="V6" i="1"/>
  <c r="T6" i="1"/>
  <c r="S6" i="1"/>
  <c r="W5" i="1"/>
  <c r="V5" i="1"/>
  <c r="T5" i="1"/>
  <c r="S5" i="1"/>
  <c r="AX56" i="1" l="1"/>
  <c r="R115" i="4"/>
  <c r="Q116" i="4"/>
  <c r="R116" i="4" s="1"/>
  <c r="W8" i="1"/>
  <c r="X29" i="1"/>
  <c r="T8" i="1"/>
  <c r="V8" i="1"/>
  <c r="S8" i="1"/>
  <c r="AX57" i="1" l="1"/>
  <c r="Q117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AX58" i="1" l="1"/>
  <c r="Q118" i="4"/>
  <c r="R118" i="4" s="1"/>
  <c r="R117" i="4"/>
  <c r="K169" i="4"/>
  <c r="K170" i="4"/>
  <c r="L170" i="4" s="1"/>
  <c r="K171" i="4"/>
  <c r="L171" i="4" s="1"/>
  <c r="K172" i="4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E351" i="4"/>
  <c r="F351" i="4" s="1"/>
  <c r="E352" i="4"/>
  <c r="F352" i="4" s="1"/>
  <c r="E353" i="4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E378" i="4"/>
  <c r="F378" i="4" s="1"/>
  <c r="E379" i="4"/>
  <c r="F379" i="4" s="1"/>
  <c r="E380" i="4"/>
  <c r="F380" i="4" s="1"/>
  <c r="E381" i="4"/>
  <c r="F381" i="4" s="1"/>
  <c r="K382" i="4"/>
  <c r="L382" i="4" s="1"/>
  <c r="G18" i="4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K381" i="4"/>
  <c r="L381" i="4" s="1"/>
  <c r="K380" i="4"/>
  <c r="L380" i="4" s="1"/>
  <c r="K379" i="4"/>
  <c r="L379" i="4" s="1"/>
  <c r="K378" i="4"/>
  <c r="L378" i="4" s="1"/>
  <c r="K377" i="4"/>
  <c r="L377" i="4" s="1"/>
  <c r="K376" i="4"/>
  <c r="L376" i="4" s="1"/>
  <c r="K375" i="4"/>
  <c r="L375" i="4" s="1"/>
  <c r="K374" i="4"/>
  <c r="L374" i="4" s="1"/>
  <c r="K373" i="4"/>
  <c r="L373" i="4" s="1"/>
  <c r="K372" i="4"/>
  <c r="L372" i="4" s="1"/>
  <c r="K371" i="4"/>
  <c r="L371" i="4" s="1"/>
  <c r="K370" i="4"/>
  <c r="L370" i="4" s="1"/>
  <c r="K369" i="4"/>
  <c r="L369" i="4" s="1"/>
  <c r="K368" i="4"/>
  <c r="L368" i="4" s="1"/>
  <c r="K367" i="4"/>
  <c r="L367" i="4" s="1"/>
  <c r="K366" i="4"/>
  <c r="L366" i="4" s="1"/>
  <c r="K365" i="4"/>
  <c r="L365" i="4" s="1"/>
  <c r="K364" i="4"/>
  <c r="L364" i="4" s="1"/>
  <c r="K363" i="4"/>
  <c r="L363" i="4" s="1"/>
  <c r="K362" i="4"/>
  <c r="L362" i="4" s="1"/>
  <c r="K361" i="4"/>
  <c r="L361" i="4" s="1"/>
  <c r="K360" i="4"/>
  <c r="L360" i="4" s="1"/>
  <c r="K359" i="4"/>
  <c r="L359" i="4" s="1"/>
  <c r="K358" i="4"/>
  <c r="L358" i="4" s="1"/>
  <c r="K357" i="4"/>
  <c r="L357" i="4" s="1"/>
  <c r="K356" i="4"/>
  <c r="L356" i="4" s="1"/>
  <c r="K355" i="4"/>
  <c r="L355" i="4" s="1"/>
  <c r="K354" i="4"/>
  <c r="L354" i="4" s="1"/>
  <c r="K353" i="4"/>
  <c r="L353" i="4" s="1"/>
  <c r="K352" i="4"/>
  <c r="L352" i="4" s="1"/>
  <c r="K351" i="4"/>
  <c r="L351" i="4" s="1"/>
  <c r="K350" i="4"/>
  <c r="L350" i="4" s="1"/>
  <c r="K349" i="4"/>
  <c r="L349" i="4" s="1"/>
  <c r="K348" i="4"/>
  <c r="L348" i="4" s="1"/>
  <c r="K347" i="4"/>
  <c r="L347" i="4" s="1"/>
  <c r="K346" i="4"/>
  <c r="L346" i="4" s="1"/>
  <c r="K345" i="4"/>
  <c r="L345" i="4" s="1"/>
  <c r="K344" i="4"/>
  <c r="L344" i="4" s="1"/>
  <c r="K343" i="4"/>
  <c r="L343" i="4" s="1"/>
  <c r="K342" i="4"/>
  <c r="L342" i="4" s="1"/>
  <c r="K341" i="4"/>
  <c r="L341" i="4" s="1"/>
  <c r="K340" i="4"/>
  <c r="L340" i="4" s="1"/>
  <c r="K339" i="4"/>
  <c r="L339" i="4" s="1"/>
  <c r="K338" i="4"/>
  <c r="L338" i="4" s="1"/>
  <c r="K337" i="4"/>
  <c r="L337" i="4" s="1"/>
  <c r="K336" i="4"/>
  <c r="L336" i="4" s="1"/>
  <c r="K335" i="4"/>
  <c r="L335" i="4" s="1"/>
  <c r="K334" i="4"/>
  <c r="L334" i="4" s="1"/>
  <c r="K333" i="4"/>
  <c r="L333" i="4" s="1"/>
  <c r="K332" i="4"/>
  <c r="L332" i="4" s="1"/>
  <c r="K331" i="4"/>
  <c r="L331" i="4" s="1"/>
  <c r="K330" i="4"/>
  <c r="L330" i="4" s="1"/>
  <c r="K329" i="4"/>
  <c r="L329" i="4" s="1"/>
  <c r="K328" i="4"/>
  <c r="L328" i="4" s="1"/>
  <c r="K327" i="4"/>
  <c r="L327" i="4" s="1"/>
  <c r="K326" i="4"/>
  <c r="L326" i="4" s="1"/>
  <c r="K325" i="4"/>
  <c r="L325" i="4" s="1"/>
  <c r="K324" i="4"/>
  <c r="L324" i="4" s="1"/>
  <c r="K323" i="4"/>
  <c r="L323" i="4" s="1"/>
  <c r="K322" i="4"/>
  <c r="L322" i="4" s="1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K290" i="4"/>
  <c r="L290" i="4" s="1"/>
  <c r="K289" i="4"/>
  <c r="L289" i="4" s="1"/>
  <c r="K288" i="4"/>
  <c r="L288" i="4" s="1"/>
  <c r="K287" i="4"/>
  <c r="L287" i="4" s="1"/>
  <c r="K286" i="4"/>
  <c r="L286" i="4" s="1"/>
  <c r="K285" i="4"/>
  <c r="L285" i="4" s="1"/>
  <c r="K284" i="4"/>
  <c r="L284" i="4" s="1"/>
  <c r="K283" i="4"/>
  <c r="L283" i="4" s="1"/>
  <c r="K282" i="4"/>
  <c r="L282" i="4" s="1"/>
  <c r="K281" i="4"/>
  <c r="L281" i="4" s="1"/>
  <c r="K280" i="4"/>
  <c r="L280" i="4" s="1"/>
  <c r="K279" i="4"/>
  <c r="L279" i="4" s="1"/>
  <c r="K278" i="4"/>
  <c r="L278" i="4" s="1"/>
  <c r="K277" i="4"/>
  <c r="L277" i="4" s="1"/>
  <c r="K276" i="4"/>
  <c r="L276" i="4" s="1"/>
  <c r="K275" i="4"/>
  <c r="L275" i="4" s="1"/>
  <c r="K274" i="4"/>
  <c r="L274" i="4" s="1"/>
  <c r="K273" i="4"/>
  <c r="L273" i="4" s="1"/>
  <c r="K272" i="4"/>
  <c r="L272" i="4" s="1"/>
  <c r="K271" i="4"/>
  <c r="L271" i="4" s="1"/>
  <c r="K270" i="4"/>
  <c r="L270" i="4" s="1"/>
  <c r="K269" i="4"/>
  <c r="L269" i="4" s="1"/>
  <c r="K268" i="4"/>
  <c r="L268" i="4" s="1"/>
  <c r="K267" i="4"/>
  <c r="L267" i="4" s="1"/>
  <c r="K266" i="4"/>
  <c r="L266" i="4" s="1"/>
  <c r="K265" i="4"/>
  <c r="L265" i="4" s="1"/>
  <c r="K264" i="4"/>
  <c r="L264" i="4" s="1"/>
  <c r="K263" i="4"/>
  <c r="L263" i="4" s="1"/>
  <c r="K262" i="4"/>
  <c r="L262" i="4" s="1"/>
  <c r="K261" i="4"/>
  <c r="K260" i="4"/>
  <c r="L260" i="4" s="1"/>
  <c r="K259" i="4"/>
  <c r="L259" i="4" s="1"/>
  <c r="K258" i="4"/>
  <c r="L258" i="4" s="1"/>
  <c r="K257" i="4"/>
  <c r="L257" i="4" s="1"/>
  <c r="K256" i="4"/>
  <c r="L256" i="4" s="1"/>
  <c r="K255" i="4"/>
  <c r="L255" i="4" s="1"/>
  <c r="K254" i="4"/>
  <c r="L254" i="4" s="1"/>
  <c r="K253" i="4"/>
  <c r="L253" i="4" s="1"/>
  <c r="K252" i="4"/>
  <c r="L252" i="4" s="1"/>
  <c r="K251" i="4"/>
  <c r="L251" i="4" s="1"/>
  <c r="K250" i="4"/>
  <c r="L250" i="4" s="1"/>
  <c r="K249" i="4"/>
  <c r="L249" i="4" s="1"/>
  <c r="K248" i="4"/>
  <c r="L248" i="4" s="1"/>
  <c r="K247" i="4"/>
  <c r="L247" i="4" s="1"/>
  <c r="K246" i="4"/>
  <c r="L246" i="4" s="1"/>
  <c r="K245" i="4"/>
  <c r="L245" i="4" s="1"/>
  <c r="K244" i="4"/>
  <c r="L244" i="4" s="1"/>
  <c r="K243" i="4"/>
  <c r="L243" i="4" s="1"/>
  <c r="K242" i="4"/>
  <c r="L242" i="4" s="1"/>
  <c r="K241" i="4"/>
  <c r="L241" i="4" s="1"/>
  <c r="K240" i="4"/>
  <c r="L240" i="4" s="1"/>
  <c r="K239" i="4"/>
  <c r="L239" i="4" s="1"/>
  <c r="K238" i="4"/>
  <c r="L238" i="4" s="1"/>
  <c r="K237" i="4"/>
  <c r="L237" i="4" s="1"/>
  <c r="K236" i="4"/>
  <c r="L236" i="4" s="1"/>
  <c r="K235" i="4"/>
  <c r="L235" i="4" s="1"/>
  <c r="K234" i="4"/>
  <c r="L234" i="4" s="1"/>
  <c r="K233" i="4"/>
  <c r="L233" i="4" s="1"/>
  <c r="K232" i="4"/>
  <c r="L232" i="4" s="1"/>
  <c r="K231" i="4"/>
  <c r="L231" i="4" s="1"/>
  <c r="K230" i="4"/>
  <c r="K229" i="4"/>
  <c r="L229" i="4" s="1"/>
  <c r="K228" i="4"/>
  <c r="L228" i="4" s="1"/>
  <c r="K227" i="4"/>
  <c r="L227" i="4" s="1"/>
  <c r="K226" i="4"/>
  <c r="L226" i="4" s="1"/>
  <c r="K225" i="4"/>
  <c r="L225" i="4" s="1"/>
  <c r="K224" i="4"/>
  <c r="L224" i="4" s="1"/>
  <c r="K223" i="4"/>
  <c r="L223" i="4" s="1"/>
  <c r="K222" i="4"/>
  <c r="L222" i="4" s="1"/>
  <c r="K221" i="4"/>
  <c r="L221" i="4" s="1"/>
  <c r="K220" i="4"/>
  <c r="L220" i="4" s="1"/>
  <c r="K219" i="4"/>
  <c r="L219" i="4" s="1"/>
  <c r="K218" i="4"/>
  <c r="L218" i="4" s="1"/>
  <c r="K217" i="4"/>
  <c r="L217" i="4" s="1"/>
  <c r="K216" i="4"/>
  <c r="L216" i="4" s="1"/>
  <c r="K215" i="4"/>
  <c r="L215" i="4" s="1"/>
  <c r="K214" i="4"/>
  <c r="L214" i="4" s="1"/>
  <c r="K213" i="4"/>
  <c r="L213" i="4" s="1"/>
  <c r="K212" i="4"/>
  <c r="L212" i="4" s="1"/>
  <c r="K211" i="4"/>
  <c r="L211" i="4" s="1"/>
  <c r="K210" i="4"/>
  <c r="L210" i="4" s="1"/>
  <c r="K209" i="4"/>
  <c r="L209" i="4" s="1"/>
  <c r="K208" i="4"/>
  <c r="L208" i="4" s="1"/>
  <c r="K207" i="4"/>
  <c r="L207" i="4" s="1"/>
  <c r="K206" i="4"/>
  <c r="L206" i="4" s="1"/>
  <c r="K205" i="4"/>
  <c r="L205" i="4" s="1"/>
  <c r="K204" i="4"/>
  <c r="L204" i="4" s="1"/>
  <c r="K203" i="4"/>
  <c r="L203" i="4" s="1"/>
  <c r="K202" i="4"/>
  <c r="L202" i="4" s="1"/>
  <c r="K201" i="4"/>
  <c r="K200" i="4"/>
  <c r="L200" i="4" s="1"/>
  <c r="K199" i="4"/>
  <c r="L199" i="4" s="1"/>
  <c r="L190" i="4"/>
  <c r="K168" i="4"/>
  <c r="L168" i="4" s="1"/>
  <c r="K167" i="4"/>
  <c r="L167" i="4" s="1"/>
  <c r="K166" i="4"/>
  <c r="L166" i="4" s="1"/>
  <c r="K165" i="4"/>
  <c r="L165" i="4" s="1"/>
  <c r="K164" i="4"/>
  <c r="L164" i="4" s="1"/>
  <c r="K163" i="4"/>
  <c r="L163" i="4" s="1"/>
  <c r="K162" i="4"/>
  <c r="L162" i="4" s="1"/>
  <c r="K161" i="4"/>
  <c r="L161" i="4" s="1"/>
  <c r="K160" i="4"/>
  <c r="L160" i="4" s="1"/>
  <c r="K159" i="4"/>
  <c r="L159" i="4" s="1"/>
  <c r="K158" i="4"/>
  <c r="L158" i="4" s="1"/>
  <c r="K157" i="4"/>
  <c r="L157" i="4" s="1"/>
  <c r="K156" i="4"/>
  <c r="L156" i="4" s="1"/>
  <c r="K155" i="4"/>
  <c r="L155" i="4" s="1"/>
  <c r="K154" i="4"/>
  <c r="L154" i="4" s="1"/>
  <c r="K153" i="4"/>
  <c r="L153" i="4" s="1"/>
  <c r="K152" i="4"/>
  <c r="L152" i="4" s="1"/>
  <c r="K151" i="4"/>
  <c r="L151" i="4" s="1"/>
  <c r="K150" i="4"/>
  <c r="L150" i="4" s="1"/>
  <c r="K149" i="4"/>
  <c r="L149" i="4" s="1"/>
  <c r="K148" i="4"/>
  <c r="L148" i="4" s="1"/>
  <c r="K147" i="4"/>
  <c r="L147" i="4" s="1"/>
  <c r="K146" i="4"/>
  <c r="L146" i="4" s="1"/>
  <c r="K145" i="4"/>
  <c r="L145" i="4" s="1"/>
  <c r="K144" i="4"/>
  <c r="L144" i="4" s="1"/>
  <c r="K143" i="4"/>
  <c r="L143" i="4" s="1"/>
  <c r="K142" i="4"/>
  <c r="L142" i="4" s="1"/>
  <c r="K141" i="4"/>
  <c r="L141" i="4" s="1"/>
  <c r="K140" i="4"/>
  <c r="K139" i="4"/>
  <c r="L139" i="4" s="1"/>
  <c r="K138" i="4"/>
  <c r="L138" i="4" s="1"/>
  <c r="K137" i="4"/>
  <c r="L137" i="4" s="1"/>
  <c r="K136" i="4"/>
  <c r="L136" i="4"/>
  <c r="K135" i="4"/>
  <c r="L135" i="4" s="1"/>
  <c r="K134" i="4"/>
  <c r="L134" i="4" s="1"/>
  <c r="K133" i="4"/>
  <c r="L133" i="4" s="1"/>
  <c r="K132" i="4"/>
  <c r="L132" i="4" s="1"/>
  <c r="K131" i="4"/>
  <c r="L131" i="4" s="1"/>
  <c r="K130" i="4"/>
  <c r="L130" i="4" s="1"/>
  <c r="K129" i="4"/>
  <c r="L129" i="4" s="1"/>
  <c r="K128" i="4"/>
  <c r="L128" i="4" s="1"/>
  <c r="K127" i="4"/>
  <c r="L127" i="4" s="1"/>
  <c r="K126" i="4"/>
  <c r="L126" i="4" s="1"/>
  <c r="K125" i="4"/>
  <c r="L125" i="4" s="1"/>
  <c r="K124" i="4"/>
  <c r="L124" i="4" s="1"/>
  <c r="K123" i="4"/>
  <c r="L123" i="4" s="1"/>
  <c r="K122" i="4"/>
  <c r="L122" i="4" s="1"/>
  <c r="K121" i="4"/>
  <c r="L121" i="4" s="1"/>
  <c r="K120" i="4"/>
  <c r="L120" i="4" s="1"/>
  <c r="K119" i="4"/>
  <c r="L119" i="4" s="1"/>
  <c r="K118" i="4"/>
  <c r="L118" i="4" s="1"/>
  <c r="K117" i="4"/>
  <c r="L117" i="4" s="1"/>
  <c r="K116" i="4"/>
  <c r="L116" i="4" s="1"/>
  <c r="K115" i="4"/>
  <c r="L115" i="4" s="1"/>
  <c r="K114" i="4"/>
  <c r="L114" i="4" s="1"/>
  <c r="K113" i="4"/>
  <c r="L113" i="4" s="1"/>
  <c r="K112" i="4"/>
  <c r="L112" i="4" s="1"/>
  <c r="K111" i="4"/>
  <c r="K110" i="4"/>
  <c r="L110" i="4" s="1"/>
  <c r="K109" i="4"/>
  <c r="L109" i="4" s="1"/>
  <c r="K108" i="4"/>
  <c r="L108" i="4" s="1"/>
  <c r="K107" i="4"/>
  <c r="L107" i="4" s="1"/>
  <c r="K106" i="4"/>
  <c r="L106" i="4" s="1"/>
  <c r="K105" i="4"/>
  <c r="L105" i="4" s="1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K80" i="4"/>
  <c r="L80" i="4" s="1"/>
  <c r="K79" i="4"/>
  <c r="L79" i="4" s="1"/>
  <c r="K78" i="4"/>
  <c r="L78" i="4" s="1"/>
  <c r="K77" i="4"/>
  <c r="L77" i="4" s="1"/>
  <c r="K76" i="4"/>
  <c r="L76" i="4" s="1"/>
  <c r="K75" i="4"/>
  <c r="L75" i="4" s="1"/>
  <c r="K74" i="4"/>
  <c r="L74" i="4" s="1"/>
  <c r="K73" i="4"/>
  <c r="L73" i="4" s="1"/>
  <c r="K72" i="4"/>
  <c r="L72" i="4" s="1"/>
  <c r="K71" i="4"/>
  <c r="L71" i="4" s="1"/>
  <c r="K70" i="4"/>
  <c r="L70" i="4" s="1"/>
  <c r="K69" i="4"/>
  <c r="L69" i="4" s="1"/>
  <c r="K68" i="4"/>
  <c r="L68" i="4" s="1"/>
  <c r="K67" i="4"/>
  <c r="L67" i="4" s="1"/>
  <c r="K66" i="4"/>
  <c r="L66" i="4" s="1"/>
  <c r="K65" i="4"/>
  <c r="L65" i="4" s="1"/>
  <c r="K64" i="4"/>
  <c r="L64" i="4" s="1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K56" i="4"/>
  <c r="L56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J12" i="4"/>
  <c r="I12" i="4"/>
  <c r="H12" i="4"/>
  <c r="J11" i="4"/>
  <c r="I11" i="4"/>
  <c r="H11" i="4"/>
  <c r="J10" i="4"/>
  <c r="I10" i="4"/>
  <c r="H10" i="4"/>
  <c r="J9" i="4"/>
  <c r="I9" i="4"/>
  <c r="H9" i="4"/>
  <c r="J6" i="4"/>
  <c r="I6" i="4"/>
  <c r="H6" i="4"/>
  <c r="L169" i="4"/>
  <c r="L291" i="4"/>
  <c r="L321" i="4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O22" i="1"/>
  <c r="O21" i="1"/>
  <c r="N22" i="1"/>
  <c r="K22" i="1"/>
  <c r="N21" i="1"/>
  <c r="K21" i="1"/>
  <c r="N20" i="1"/>
  <c r="K20" i="1"/>
  <c r="N19" i="1"/>
  <c r="K19" i="1"/>
  <c r="N18" i="1"/>
  <c r="K18" i="1"/>
  <c r="O16" i="1"/>
  <c r="N16" i="1"/>
  <c r="L16" i="1"/>
  <c r="K16" i="1"/>
  <c r="O15" i="1"/>
  <c r="N15" i="1"/>
  <c r="L15" i="1"/>
  <c r="K15" i="1"/>
  <c r="O14" i="1"/>
  <c r="N14" i="1"/>
  <c r="L14" i="1"/>
  <c r="K14" i="1"/>
  <c r="O12" i="1"/>
  <c r="N12" i="1"/>
  <c r="L12" i="1"/>
  <c r="K12" i="1"/>
  <c r="O11" i="1"/>
  <c r="N11" i="1"/>
  <c r="L11" i="1"/>
  <c r="K11" i="1"/>
  <c r="O10" i="1"/>
  <c r="N10" i="1"/>
  <c r="L10" i="1"/>
  <c r="K10" i="1"/>
  <c r="O7" i="1"/>
  <c r="N7" i="1"/>
  <c r="L7" i="1"/>
  <c r="K7" i="1"/>
  <c r="O6" i="1"/>
  <c r="N6" i="1"/>
  <c r="L6" i="1"/>
  <c r="K6" i="1"/>
  <c r="O5" i="1"/>
  <c r="N5" i="1"/>
  <c r="L5" i="1"/>
  <c r="K5" i="1"/>
  <c r="L21" i="1"/>
  <c r="L22" i="1"/>
  <c r="L20" i="1"/>
  <c r="L19" i="1"/>
  <c r="L18" i="1"/>
  <c r="O18" i="1"/>
  <c r="O19" i="1"/>
  <c r="O20" i="1"/>
  <c r="E260" i="4"/>
  <c r="F260" i="4" s="1"/>
  <c r="E261" i="4"/>
  <c r="F261" i="4" s="1"/>
  <c r="E262" i="4"/>
  <c r="F262" i="4" s="1"/>
  <c r="E17" i="4"/>
  <c r="F17" i="4" s="1"/>
  <c r="G150" i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120" i="1"/>
  <c r="H120" i="1" s="1"/>
  <c r="G121" i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30" i="1"/>
  <c r="H30" i="1" s="1"/>
  <c r="F22" i="1"/>
  <c r="D22" i="1"/>
  <c r="C22" i="1"/>
  <c r="F21" i="1"/>
  <c r="D21" i="1"/>
  <c r="C21" i="1"/>
  <c r="F20" i="1"/>
  <c r="D20" i="1"/>
  <c r="C20" i="1"/>
  <c r="F19" i="1"/>
  <c r="D19" i="1"/>
  <c r="C19" i="1"/>
  <c r="F18" i="1"/>
  <c r="D18" i="1"/>
  <c r="C18" i="1"/>
  <c r="F16" i="1"/>
  <c r="D16" i="1"/>
  <c r="C16" i="1"/>
  <c r="F15" i="1"/>
  <c r="D15" i="1"/>
  <c r="C15" i="1"/>
  <c r="F14" i="1"/>
  <c r="D14" i="1"/>
  <c r="C14" i="1"/>
  <c r="F12" i="1"/>
  <c r="D12" i="1"/>
  <c r="C12" i="1"/>
  <c r="F11" i="1"/>
  <c r="D11" i="1"/>
  <c r="C11" i="1"/>
  <c r="F10" i="1"/>
  <c r="D10" i="1"/>
  <c r="C10" i="1"/>
  <c r="F7" i="1"/>
  <c r="D7" i="1"/>
  <c r="C7" i="1"/>
  <c r="F6" i="1"/>
  <c r="D6" i="1"/>
  <c r="C6" i="1"/>
  <c r="F5" i="1"/>
  <c r="D5" i="1"/>
  <c r="C5" i="1"/>
  <c r="A18" i="4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F377" i="4"/>
  <c r="F353" i="4"/>
  <c r="E350" i="4"/>
  <c r="F350" i="4" s="1"/>
  <c r="E349" i="4"/>
  <c r="F349" i="4" s="1"/>
  <c r="E348" i="4"/>
  <c r="F348" i="4" s="1"/>
  <c r="E347" i="4"/>
  <c r="F347" i="4" s="1"/>
  <c r="E346" i="4"/>
  <c r="F346" i="4" s="1"/>
  <c r="E345" i="4"/>
  <c r="F345" i="4" s="1"/>
  <c r="E344" i="4"/>
  <c r="F344" i="4" s="1"/>
  <c r="E343" i="4"/>
  <c r="F343" i="4" s="1"/>
  <c r="E342" i="4"/>
  <c r="F342" i="4" s="1"/>
  <c r="E341" i="4"/>
  <c r="F341" i="4" s="1"/>
  <c r="E340" i="4"/>
  <c r="F340" i="4" s="1"/>
  <c r="E339" i="4"/>
  <c r="F339" i="4" s="1"/>
  <c r="E338" i="4"/>
  <c r="F338" i="4" s="1"/>
  <c r="E337" i="4"/>
  <c r="F337" i="4" s="1"/>
  <c r="E336" i="4"/>
  <c r="F336" i="4" s="1"/>
  <c r="E335" i="4"/>
  <c r="F335" i="4" s="1"/>
  <c r="E334" i="4"/>
  <c r="F334" i="4" s="1"/>
  <c r="E333" i="4"/>
  <c r="F333" i="4" s="1"/>
  <c r="E332" i="4"/>
  <c r="F332" i="4" s="1"/>
  <c r="E331" i="4"/>
  <c r="F331" i="4" s="1"/>
  <c r="E330" i="4"/>
  <c r="F330" i="4" s="1"/>
  <c r="E329" i="4"/>
  <c r="F329" i="4" s="1"/>
  <c r="E328" i="4"/>
  <c r="F328" i="4" s="1"/>
  <c r="E327" i="4"/>
  <c r="F327" i="4" s="1"/>
  <c r="E326" i="4"/>
  <c r="F326" i="4" s="1"/>
  <c r="E325" i="4"/>
  <c r="F325" i="4" s="1"/>
  <c r="E324" i="4"/>
  <c r="E323" i="4"/>
  <c r="F323" i="4" s="1"/>
  <c r="E322" i="4"/>
  <c r="F322" i="4" s="1"/>
  <c r="E321" i="4"/>
  <c r="F321" i="4" s="1"/>
  <c r="E320" i="4"/>
  <c r="F320" i="4" s="1"/>
  <c r="E319" i="4"/>
  <c r="F319" i="4" s="1"/>
  <c r="E318" i="4"/>
  <c r="F318" i="4" s="1"/>
  <c r="E317" i="4"/>
  <c r="F317" i="4" s="1"/>
  <c r="E316" i="4"/>
  <c r="F316" i="4" s="1"/>
  <c r="E315" i="4"/>
  <c r="F315" i="4" s="1"/>
  <c r="E314" i="4"/>
  <c r="F314" i="4" s="1"/>
  <c r="E313" i="4"/>
  <c r="F313" i="4" s="1"/>
  <c r="E312" i="4"/>
  <c r="F312" i="4" s="1"/>
  <c r="E311" i="4"/>
  <c r="F311" i="4" s="1"/>
  <c r="E310" i="4"/>
  <c r="F310" i="4" s="1"/>
  <c r="E309" i="4"/>
  <c r="F309" i="4" s="1"/>
  <c r="E308" i="4"/>
  <c r="F308" i="4" s="1"/>
  <c r="E307" i="4"/>
  <c r="F307" i="4" s="1"/>
  <c r="E306" i="4"/>
  <c r="F306" i="4" s="1"/>
  <c r="E305" i="4"/>
  <c r="F305" i="4" s="1"/>
  <c r="E304" i="4"/>
  <c r="F304" i="4" s="1"/>
  <c r="E303" i="4"/>
  <c r="F303" i="4" s="1"/>
  <c r="E302" i="4"/>
  <c r="F302" i="4" s="1"/>
  <c r="E301" i="4"/>
  <c r="F301" i="4" s="1"/>
  <c r="E300" i="4"/>
  <c r="F300" i="4" s="1"/>
  <c r="E299" i="4"/>
  <c r="F299" i="4" s="1"/>
  <c r="E298" i="4"/>
  <c r="F298" i="4" s="1"/>
  <c r="E297" i="4"/>
  <c r="F297" i="4" s="1"/>
  <c r="E296" i="4"/>
  <c r="F296" i="4" s="1"/>
  <c r="E295" i="4"/>
  <c r="F295" i="4" s="1"/>
  <c r="E294" i="4"/>
  <c r="F294" i="4" s="1"/>
  <c r="E293" i="4"/>
  <c r="F293" i="4" s="1"/>
  <c r="E292" i="4"/>
  <c r="E291" i="4"/>
  <c r="F291" i="4" s="1"/>
  <c r="E290" i="4"/>
  <c r="F290" i="4" s="1"/>
  <c r="E289" i="4"/>
  <c r="F289" i="4" s="1"/>
  <c r="E288" i="4"/>
  <c r="F288" i="4" s="1"/>
  <c r="E287" i="4"/>
  <c r="F287" i="4" s="1"/>
  <c r="E286" i="4"/>
  <c r="F286" i="4" s="1"/>
  <c r="E285" i="4"/>
  <c r="F285" i="4" s="1"/>
  <c r="E284" i="4"/>
  <c r="F284" i="4" s="1"/>
  <c r="E283" i="4"/>
  <c r="F283" i="4" s="1"/>
  <c r="E282" i="4"/>
  <c r="F282" i="4" s="1"/>
  <c r="E281" i="4"/>
  <c r="F281" i="4" s="1"/>
  <c r="E280" i="4"/>
  <c r="F280" i="4" s="1"/>
  <c r="E279" i="4"/>
  <c r="F279" i="4" s="1"/>
  <c r="E278" i="4"/>
  <c r="F278" i="4" s="1"/>
  <c r="E277" i="4"/>
  <c r="F277" i="4" s="1"/>
  <c r="E276" i="4"/>
  <c r="F276" i="4" s="1"/>
  <c r="E275" i="4"/>
  <c r="F275" i="4" s="1"/>
  <c r="E274" i="4"/>
  <c r="F274" i="4" s="1"/>
  <c r="E273" i="4"/>
  <c r="F273" i="4" s="1"/>
  <c r="E272" i="4"/>
  <c r="F272" i="4" s="1"/>
  <c r="E271" i="4"/>
  <c r="F271" i="4" s="1"/>
  <c r="E270" i="4"/>
  <c r="F270" i="4" s="1"/>
  <c r="E269" i="4"/>
  <c r="F269" i="4" s="1"/>
  <c r="E268" i="4"/>
  <c r="F268" i="4" s="1"/>
  <c r="E267" i="4"/>
  <c r="F267" i="4" s="1"/>
  <c r="E266" i="4"/>
  <c r="F266" i="4" s="1"/>
  <c r="E265" i="4"/>
  <c r="F265" i="4" s="1"/>
  <c r="E264" i="4"/>
  <c r="E263" i="4"/>
  <c r="F263" i="4" s="1"/>
  <c r="E259" i="4"/>
  <c r="F259" i="4" s="1"/>
  <c r="E258" i="4"/>
  <c r="F258" i="4" s="1"/>
  <c r="E257" i="4"/>
  <c r="F257" i="4" s="1"/>
  <c r="E256" i="4"/>
  <c r="F256" i="4" s="1"/>
  <c r="E255" i="4"/>
  <c r="F255" i="4" s="1"/>
  <c r="E254" i="4"/>
  <c r="F254" i="4" s="1"/>
  <c r="E253" i="4"/>
  <c r="F253" i="4" s="1"/>
  <c r="E252" i="4"/>
  <c r="F252" i="4" s="1"/>
  <c r="E251" i="4"/>
  <c r="F251" i="4" s="1"/>
  <c r="E250" i="4"/>
  <c r="F250" i="4" s="1"/>
  <c r="E249" i="4"/>
  <c r="F249" i="4" s="1"/>
  <c r="E248" i="4"/>
  <c r="F248" i="4" s="1"/>
  <c r="E247" i="4"/>
  <c r="F247" i="4" s="1"/>
  <c r="E246" i="4"/>
  <c r="F246" i="4" s="1"/>
  <c r="E245" i="4"/>
  <c r="F245" i="4" s="1"/>
  <c r="E244" i="4"/>
  <c r="F244" i="4" s="1"/>
  <c r="E243" i="4"/>
  <c r="F243" i="4" s="1"/>
  <c r="E242" i="4"/>
  <c r="F242" i="4" s="1"/>
  <c r="E241" i="4"/>
  <c r="F241" i="4" s="1"/>
  <c r="E240" i="4"/>
  <c r="F240" i="4" s="1"/>
  <c r="E239" i="4"/>
  <c r="F239" i="4" s="1"/>
  <c r="E238" i="4"/>
  <c r="F238" i="4" s="1"/>
  <c r="E237" i="4"/>
  <c r="F237" i="4" s="1"/>
  <c r="E236" i="4"/>
  <c r="F236" i="4" s="1"/>
  <c r="E235" i="4"/>
  <c r="F235" i="4" s="1"/>
  <c r="E234" i="4"/>
  <c r="F234" i="4" s="1"/>
  <c r="E233" i="4"/>
  <c r="F233" i="4" s="1"/>
  <c r="E232" i="4"/>
  <c r="F232" i="4" s="1"/>
  <c r="E231" i="4"/>
  <c r="F231" i="4" s="1"/>
  <c r="E230" i="4"/>
  <c r="F230" i="4" s="1"/>
  <c r="E229" i="4"/>
  <c r="F229" i="4" s="1"/>
  <c r="E228" i="4"/>
  <c r="F228" i="4" s="1"/>
  <c r="E227" i="4"/>
  <c r="F227" i="4" s="1"/>
  <c r="E226" i="4"/>
  <c r="F226" i="4" s="1"/>
  <c r="E225" i="4"/>
  <c r="F225" i="4" s="1"/>
  <c r="E224" i="4"/>
  <c r="F224" i="4" s="1"/>
  <c r="E223" i="4"/>
  <c r="F223" i="4" s="1"/>
  <c r="E222" i="4"/>
  <c r="F222" i="4" s="1"/>
  <c r="E221" i="4"/>
  <c r="F221" i="4" s="1"/>
  <c r="E220" i="4"/>
  <c r="F220" i="4" s="1"/>
  <c r="E219" i="4"/>
  <c r="F219" i="4" s="1"/>
  <c r="E218" i="4"/>
  <c r="F218" i="4" s="1"/>
  <c r="E217" i="4"/>
  <c r="F217" i="4" s="1"/>
  <c r="E216" i="4"/>
  <c r="F216" i="4" s="1"/>
  <c r="E215" i="4"/>
  <c r="F215" i="4" s="1"/>
  <c r="E214" i="4"/>
  <c r="F214" i="4" s="1"/>
  <c r="E213" i="4"/>
  <c r="F213" i="4" s="1"/>
  <c r="E212" i="4"/>
  <c r="F212" i="4" s="1"/>
  <c r="E211" i="4"/>
  <c r="F211" i="4" s="1"/>
  <c r="E210" i="4"/>
  <c r="F210" i="4" s="1"/>
  <c r="E209" i="4"/>
  <c r="F209" i="4" s="1"/>
  <c r="E208" i="4"/>
  <c r="F208" i="4" s="1"/>
  <c r="E207" i="4"/>
  <c r="F207" i="4" s="1"/>
  <c r="E206" i="4"/>
  <c r="F206" i="4" s="1"/>
  <c r="E205" i="4"/>
  <c r="F205" i="4" s="1"/>
  <c r="E204" i="4"/>
  <c r="F204" i="4" s="1"/>
  <c r="E203" i="4"/>
  <c r="F203" i="4" s="1"/>
  <c r="E202" i="4"/>
  <c r="F202" i="4" s="1"/>
  <c r="E201" i="4"/>
  <c r="E200" i="4"/>
  <c r="F200" i="4" s="1"/>
  <c r="E199" i="4"/>
  <c r="F199" i="4" s="1"/>
  <c r="E198" i="4"/>
  <c r="F198" i="4" s="1"/>
  <c r="E197" i="4"/>
  <c r="F197" i="4" s="1"/>
  <c r="E196" i="4"/>
  <c r="F196" i="4" s="1"/>
  <c r="E195" i="4"/>
  <c r="F195" i="4" s="1"/>
  <c r="E194" i="4"/>
  <c r="F194" i="4" s="1"/>
  <c r="E193" i="4"/>
  <c r="F193" i="4" s="1"/>
  <c r="E192" i="4"/>
  <c r="F192" i="4" s="1"/>
  <c r="E191" i="4"/>
  <c r="F191" i="4" s="1"/>
  <c r="E190" i="4"/>
  <c r="F190" i="4" s="1"/>
  <c r="E189" i="4"/>
  <c r="F189" i="4" s="1"/>
  <c r="E188" i="4"/>
  <c r="F188" i="4" s="1"/>
  <c r="E187" i="4"/>
  <c r="F187" i="4" s="1"/>
  <c r="E186" i="4"/>
  <c r="F186" i="4" s="1"/>
  <c r="E185" i="4"/>
  <c r="F185" i="4" s="1"/>
  <c r="E184" i="4"/>
  <c r="F184" i="4" s="1"/>
  <c r="E183" i="4"/>
  <c r="F183" i="4" s="1"/>
  <c r="E182" i="4"/>
  <c r="F182" i="4" s="1"/>
  <c r="E181" i="4"/>
  <c r="F181" i="4" s="1"/>
  <c r="E180" i="4"/>
  <c r="F180" i="4" s="1"/>
  <c r="E179" i="4"/>
  <c r="F179" i="4" s="1"/>
  <c r="E178" i="4"/>
  <c r="F178" i="4" s="1"/>
  <c r="E177" i="4"/>
  <c r="F177" i="4" s="1"/>
  <c r="E176" i="4"/>
  <c r="F176" i="4" s="1"/>
  <c r="E175" i="4"/>
  <c r="F175" i="4" s="1"/>
  <c r="E174" i="4"/>
  <c r="F174" i="4" s="1"/>
  <c r="E173" i="4"/>
  <c r="F173" i="4" s="1"/>
  <c r="E172" i="4"/>
  <c r="F172" i="4" s="1"/>
  <c r="E171" i="4"/>
  <c r="F171" i="4" s="1"/>
  <c r="E170" i="4"/>
  <c r="F170" i="4" s="1"/>
  <c r="E169" i="4"/>
  <c r="E168" i="4"/>
  <c r="F168" i="4" s="1"/>
  <c r="E167" i="4"/>
  <c r="F167" i="4" s="1"/>
  <c r="E166" i="4"/>
  <c r="F166" i="4" s="1"/>
  <c r="E165" i="4"/>
  <c r="F165" i="4" s="1"/>
  <c r="E164" i="4"/>
  <c r="F164" i="4" s="1"/>
  <c r="E163" i="4"/>
  <c r="F163" i="4" s="1"/>
  <c r="E162" i="4"/>
  <c r="F162" i="4" s="1"/>
  <c r="E161" i="4"/>
  <c r="F161" i="4" s="1"/>
  <c r="E160" i="4"/>
  <c r="F160" i="4" s="1"/>
  <c r="E159" i="4"/>
  <c r="F159" i="4" s="1"/>
  <c r="E158" i="4"/>
  <c r="F158" i="4" s="1"/>
  <c r="E157" i="4"/>
  <c r="F157" i="4" s="1"/>
  <c r="E156" i="4"/>
  <c r="F156" i="4" s="1"/>
  <c r="E155" i="4"/>
  <c r="F155" i="4" s="1"/>
  <c r="E154" i="4"/>
  <c r="F154" i="4" s="1"/>
  <c r="E153" i="4"/>
  <c r="F153" i="4" s="1"/>
  <c r="E152" i="4"/>
  <c r="F152" i="4" s="1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E145" i="4"/>
  <c r="F145" i="4" s="1"/>
  <c r="E144" i="4"/>
  <c r="F144" i="4" s="1"/>
  <c r="E143" i="4"/>
  <c r="F143" i="4" s="1"/>
  <c r="E142" i="4"/>
  <c r="F142" i="4" s="1"/>
  <c r="E141" i="4"/>
  <c r="E140" i="4"/>
  <c r="F140" i="4" s="1"/>
  <c r="E139" i="4"/>
  <c r="F139" i="4" s="1"/>
  <c r="E138" i="4"/>
  <c r="F138" i="4" s="1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8" i="4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/>
  <c r="E19" i="4"/>
  <c r="F19" i="4" s="1"/>
  <c r="E18" i="4"/>
  <c r="D12" i="4"/>
  <c r="C12" i="4"/>
  <c r="B12" i="4"/>
  <c r="D11" i="4"/>
  <c r="C11" i="4"/>
  <c r="B11" i="4"/>
  <c r="D10" i="4"/>
  <c r="C10" i="4"/>
  <c r="B10" i="4"/>
  <c r="D9" i="4"/>
  <c r="C9" i="4"/>
  <c r="B9" i="4"/>
  <c r="D6" i="4"/>
  <c r="C6" i="4"/>
  <c r="B6" i="4"/>
  <c r="F48" i="4"/>
  <c r="K13" i="4" l="1"/>
  <c r="AX59" i="1"/>
  <c r="E13" i="4"/>
  <c r="Q119" i="4"/>
  <c r="O8" i="1"/>
  <c r="L8" i="1"/>
  <c r="L81" i="4"/>
  <c r="N8" i="1"/>
  <c r="F8" i="1"/>
  <c r="C8" i="1"/>
  <c r="G5" i="1"/>
  <c r="K8" i="1"/>
  <c r="G6" i="1"/>
  <c r="H121" i="1"/>
  <c r="G10" i="1"/>
  <c r="G14" i="1"/>
  <c r="H182" i="1"/>
  <c r="H150" i="1"/>
  <c r="P29" i="1"/>
  <c r="G15" i="1"/>
  <c r="H212" i="1"/>
  <c r="G11" i="1"/>
  <c r="D8" i="1"/>
  <c r="G7" i="1"/>
  <c r="G12" i="1"/>
  <c r="G16" i="1"/>
  <c r="G20" i="1"/>
  <c r="G22" i="1"/>
  <c r="G21" i="1"/>
  <c r="G18" i="1"/>
  <c r="G19" i="1"/>
  <c r="L172" i="4"/>
  <c r="F169" i="4"/>
  <c r="F141" i="4"/>
  <c r="L261" i="4"/>
  <c r="F79" i="4"/>
  <c r="L49" i="4"/>
  <c r="F18" i="4"/>
  <c r="E6" i="4"/>
  <c r="F108" i="4"/>
  <c r="L17" i="4"/>
  <c r="K6" i="4"/>
  <c r="L111" i="4"/>
  <c r="L140" i="4"/>
  <c r="F264" i="4"/>
  <c r="L201" i="4"/>
  <c r="K9" i="4"/>
  <c r="K8" i="4" s="1"/>
  <c r="K10" i="4"/>
  <c r="K11" i="4"/>
  <c r="L230" i="4"/>
  <c r="K12" i="4"/>
  <c r="F201" i="4"/>
  <c r="E12" i="4"/>
  <c r="E10" i="4"/>
  <c r="E11" i="4"/>
  <c r="F292" i="4"/>
  <c r="F324" i="4"/>
  <c r="E9" i="4"/>
  <c r="E8" i="4" s="1"/>
  <c r="AX60" i="1" l="1"/>
  <c r="R119" i="4"/>
  <c r="Q120" i="4"/>
  <c r="R120" i="4" s="1"/>
  <c r="G8" i="1"/>
  <c r="L16" i="4"/>
  <c r="F16" i="4"/>
  <c r="H29" i="1"/>
  <c r="AX61" i="1" l="1"/>
  <c r="Q121" i="4"/>
  <c r="AX62" i="1" l="1"/>
  <c r="Q122" i="4"/>
  <c r="R122" i="4" s="1"/>
  <c r="R121" i="4"/>
  <c r="AX63" i="1" l="1"/>
  <c r="Q123" i="4"/>
  <c r="R123" i="4" s="1"/>
  <c r="AX64" i="1" l="1"/>
  <c r="Q124" i="4"/>
  <c r="R124" i="4" s="1"/>
  <c r="AX65" i="1" l="1"/>
  <c r="Q125" i="4"/>
  <c r="R125" i="4" s="1"/>
  <c r="AX66" i="1" l="1"/>
  <c r="Q126" i="4"/>
  <c r="R126" i="4" s="1"/>
  <c r="AX67" i="1" l="1"/>
  <c r="Q127" i="4"/>
  <c r="R127" i="4" s="1"/>
  <c r="AX68" i="1" l="1"/>
  <c r="Q128" i="4"/>
  <c r="R128" i="4" s="1"/>
  <c r="AX69" i="1" l="1"/>
  <c r="Q129" i="4"/>
  <c r="R129" i="4" s="1"/>
  <c r="AX70" i="1" l="1"/>
  <c r="Q130" i="4"/>
  <c r="R130" i="4" s="1"/>
  <c r="AX71" i="1" l="1"/>
  <c r="Q131" i="4"/>
  <c r="R131" i="4" s="1"/>
  <c r="AX72" i="1" l="1"/>
  <c r="Q132" i="4"/>
  <c r="R132" i="4" s="1"/>
  <c r="AX73" i="1" l="1"/>
  <c r="Q133" i="4"/>
  <c r="R133" i="4" s="1"/>
  <c r="AX74" i="1" l="1"/>
  <c r="Q134" i="4"/>
  <c r="R134" i="4" s="1"/>
  <c r="AX75" i="1" l="1"/>
  <c r="Q135" i="4"/>
  <c r="N6" i="4"/>
  <c r="AX76" i="1" l="1"/>
  <c r="R135" i="4"/>
  <c r="Q6" i="4"/>
  <c r="Q136" i="4"/>
  <c r="AX77" i="1" l="1"/>
  <c r="R136" i="4"/>
  <c r="Q137" i="4"/>
  <c r="AX78" i="1" l="1"/>
  <c r="Q138" i="4"/>
  <c r="R137" i="4"/>
  <c r="AX79" i="1" l="1"/>
  <c r="R138" i="4"/>
  <c r="Q139" i="4"/>
  <c r="AX80" i="1" l="1"/>
  <c r="R139" i="4"/>
  <c r="Q140" i="4"/>
  <c r="R140" i="4" s="1"/>
  <c r="AX81" i="1" l="1"/>
  <c r="Q141" i="4"/>
  <c r="AX82" i="1" l="1"/>
  <c r="Q142" i="4"/>
  <c r="R142" i="4" s="1"/>
  <c r="R141" i="4"/>
  <c r="AX83" i="1" l="1"/>
  <c r="Q143" i="4"/>
  <c r="AX84" i="1" l="1"/>
  <c r="R143" i="4"/>
  <c r="Q144" i="4"/>
  <c r="R144" i="4" s="1"/>
  <c r="AX85" i="1" l="1"/>
  <c r="Q145" i="4"/>
  <c r="R145" i="4" s="1"/>
  <c r="AX86" i="1" l="1"/>
  <c r="AX87" i="1" s="1"/>
  <c r="Q146" i="4"/>
  <c r="R146" i="4" s="1"/>
  <c r="AX88" i="1" l="1"/>
  <c r="Q147" i="4"/>
  <c r="R147" i="4" s="1"/>
  <c r="AX89" i="1" l="1"/>
  <c r="Q148" i="4"/>
  <c r="R148" i="4" s="1"/>
  <c r="AX90" i="1" l="1"/>
  <c r="Q149" i="4"/>
  <c r="R149" i="4" s="1"/>
  <c r="AX91" i="1" l="1"/>
  <c r="Q150" i="4"/>
  <c r="R150" i="4" s="1"/>
  <c r="AX92" i="1" l="1"/>
  <c r="Q151" i="4"/>
  <c r="R151" i="4" s="1"/>
  <c r="AX93" i="1" l="1"/>
  <c r="Q152" i="4"/>
  <c r="R152" i="4" s="1"/>
  <c r="AX94" i="1" l="1"/>
  <c r="Q153" i="4"/>
  <c r="R153" i="4" s="1"/>
  <c r="AX95" i="1" l="1"/>
  <c r="Q154" i="4"/>
  <c r="R154" i="4" s="1"/>
  <c r="AX96" i="1" l="1"/>
  <c r="Q155" i="4"/>
  <c r="R155" i="4" s="1"/>
  <c r="AX97" i="1" l="1"/>
  <c r="Q156" i="4"/>
  <c r="R156" i="4" s="1"/>
  <c r="AX98" i="1" l="1"/>
  <c r="Q157" i="4"/>
  <c r="R157" i="4" s="1"/>
  <c r="AX99" i="1" l="1"/>
  <c r="Q158" i="4"/>
  <c r="R158" i="4" s="1"/>
  <c r="AX100" i="1" l="1"/>
  <c r="Q159" i="4"/>
  <c r="R159" i="4" s="1"/>
  <c r="AX101" i="1" l="1"/>
  <c r="Q160" i="4"/>
  <c r="R160" i="4" s="1"/>
  <c r="AX102" i="1" l="1"/>
  <c r="Q161" i="4"/>
  <c r="R161" i="4" s="1"/>
  <c r="AX103" i="1" l="1"/>
  <c r="Q162" i="4"/>
  <c r="R162" i="4" s="1"/>
  <c r="AX104" i="1" l="1"/>
  <c r="Q163" i="4"/>
  <c r="R163" i="4" s="1"/>
  <c r="AX105" i="1" l="1"/>
  <c r="Q164" i="4"/>
  <c r="R164" i="4" s="1"/>
  <c r="AX106" i="1" l="1"/>
  <c r="Q165" i="4"/>
  <c r="R165" i="4" s="1"/>
  <c r="AX107" i="1" l="1"/>
  <c r="Q166" i="4"/>
  <c r="R166" i="4" s="1"/>
  <c r="AX108" i="1" l="1"/>
  <c r="Q167" i="4"/>
  <c r="AX109" i="1" l="1"/>
  <c r="R167" i="4"/>
  <c r="Q168" i="4"/>
  <c r="AX110" i="1" l="1"/>
  <c r="R168" i="4"/>
  <c r="Q169" i="4"/>
  <c r="AX111" i="1" l="1"/>
  <c r="Q170" i="4"/>
  <c r="R170" i="4" s="1"/>
  <c r="R169" i="4"/>
  <c r="AX112" i="1" l="1"/>
  <c r="Q171" i="4"/>
  <c r="AX113" i="1" l="1"/>
  <c r="R171" i="4"/>
  <c r="Q172" i="4"/>
  <c r="R172" i="4" s="1"/>
  <c r="AX114" i="1" l="1"/>
  <c r="Q173" i="4"/>
  <c r="R173" i="4" s="1"/>
  <c r="AX115" i="1" l="1"/>
  <c r="Q174" i="4"/>
  <c r="AX116" i="1" l="1"/>
  <c r="R174" i="4"/>
  <c r="Q175" i="4"/>
  <c r="R175" i="4" s="1"/>
  <c r="AX117" i="1" l="1"/>
  <c r="Q176" i="4"/>
  <c r="R176" i="4" s="1"/>
  <c r="AX118" i="1" l="1"/>
  <c r="Q177" i="4"/>
  <c r="R177" i="4" s="1"/>
  <c r="AX119" i="1" l="1"/>
  <c r="Q178" i="4"/>
  <c r="R178" i="4" s="1"/>
  <c r="AX120" i="1" l="1"/>
  <c r="Q179" i="4"/>
  <c r="R179" i="4" s="1"/>
  <c r="AX121" i="1" l="1"/>
  <c r="Q180" i="4"/>
  <c r="R180" i="4" s="1"/>
  <c r="AX122" i="1" l="1"/>
  <c r="Q181" i="4"/>
  <c r="R181" i="4" s="1"/>
  <c r="AX123" i="1" l="1"/>
  <c r="Q182" i="4"/>
  <c r="R182" i="4" s="1"/>
  <c r="AX124" i="1" l="1"/>
  <c r="Q183" i="4"/>
  <c r="R183" i="4" s="1"/>
  <c r="AX125" i="1" l="1"/>
  <c r="Q184" i="4"/>
  <c r="R184" i="4" s="1"/>
  <c r="AX126" i="1" l="1"/>
  <c r="Q185" i="4"/>
  <c r="R185" i="4" s="1"/>
  <c r="AX127" i="1" l="1"/>
  <c r="Q186" i="4"/>
  <c r="R186" i="4" s="1"/>
  <c r="AX128" i="1" l="1"/>
  <c r="Q187" i="4"/>
  <c r="R187" i="4" s="1"/>
  <c r="AX129" i="1" l="1"/>
  <c r="Q188" i="4"/>
  <c r="R188" i="4" s="1"/>
  <c r="AX130" i="1" l="1"/>
  <c r="Q189" i="4"/>
  <c r="R189" i="4" s="1"/>
  <c r="AX131" i="1" l="1"/>
  <c r="Q190" i="4"/>
  <c r="R190" i="4" s="1"/>
  <c r="AX132" i="1" l="1"/>
  <c r="Q191" i="4"/>
  <c r="R191" i="4" s="1"/>
  <c r="AX133" i="1" l="1"/>
  <c r="Q192" i="4"/>
  <c r="R192" i="4" s="1"/>
  <c r="AX134" i="1" l="1"/>
  <c r="Q193" i="4"/>
  <c r="R193" i="4" s="1"/>
  <c r="AX135" i="1" l="1"/>
  <c r="Q194" i="4"/>
  <c r="R194" i="4" s="1"/>
  <c r="AX136" i="1" l="1"/>
  <c r="Q195" i="4"/>
  <c r="R195" i="4" s="1"/>
  <c r="AX137" i="1" l="1"/>
  <c r="Q196" i="4"/>
  <c r="R196" i="4" s="1"/>
  <c r="AX138" i="1" l="1"/>
  <c r="Q197" i="4"/>
  <c r="N10" i="4"/>
  <c r="N9" i="4"/>
  <c r="N11" i="4"/>
  <c r="N12" i="4"/>
  <c r="Q13" i="4" s="1"/>
  <c r="AX139" i="1" l="1"/>
  <c r="R197" i="4"/>
  <c r="R16" i="4" s="1"/>
  <c r="Q11" i="4"/>
  <c r="Q9" i="4"/>
  <c r="Q8" i="4" s="1"/>
  <c r="Q10" i="4"/>
  <c r="Q12" i="4"/>
  <c r="AX140" i="1" l="1"/>
  <c r="AX141" i="1" l="1"/>
  <c r="AX142" i="1" l="1"/>
  <c r="AX143" i="1" l="1"/>
  <c r="AX144" i="1" l="1"/>
  <c r="AX145" i="1" l="1"/>
  <c r="AX146" i="1" l="1"/>
  <c r="AX147" i="1" l="1"/>
  <c r="AX148" i="1" l="1"/>
  <c r="AX149" i="1" l="1"/>
  <c r="AX150" i="1" l="1"/>
  <c r="AX151" i="1" l="1"/>
  <c r="AX152" i="1" l="1"/>
  <c r="AX153" i="1" l="1"/>
  <c r="AX154" i="1" l="1"/>
  <c r="AX155" i="1" l="1"/>
  <c r="AX156" i="1" l="1"/>
  <c r="AX157" i="1" l="1"/>
  <c r="AX158" i="1" l="1"/>
  <c r="AX159" i="1" l="1"/>
  <c r="AX160" i="1" l="1"/>
  <c r="AX161" i="1" l="1"/>
  <c r="AX162" i="1" l="1"/>
  <c r="AX163" i="1" l="1"/>
  <c r="AX164" i="1" l="1"/>
  <c r="AX165" i="1" l="1"/>
  <c r="AX166" i="1" l="1"/>
  <c r="AX167" i="1" l="1"/>
  <c r="AX168" i="1" l="1"/>
  <c r="AX169" i="1" l="1"/>
  <c r="AX170" i="1" l="1"/>
  <c r="AX171" i="1" l="1"/>
  <c r="AX172" i="1" l="1"/>
  <c r="AX173" i="1" l="1"/>
  <c r="AX174" i="1" l="1"/>
  <c r="AX175" i="1" l="1"/>
  <c r="AX176" i="1" l="1"/>
  <c r="AX177" i="1" l="1"/>
  <c r="AX178" i="1" l="1"/>
  <c r="AX179" i="1" l="1"/>
  <c r="AX180" i="1" l="1"/>
  <c r="AX181" i="1" l="1"/>
  <c r="AX182" i="1" l="1"/>
  <c r="AX183" i="1" l="1"/>
  <c r="AX184" i="1" l="1"/>
  <c r="AX185" i="1" l="1"/>
  <c r="AX186" i="1" l="1"/>
  <c r="AX187" i="1" l="1"/>
  <c r="AX188" i="1" l="1"/>
  <c r="AX189" i="1" l="1"/>
  <c r="AX190" i="1" l="1"/>
  <c r="AX191" i="1" l="1"/>
  <c r="AX192" i="1" l="1"/>
  <c r="AX193" i="1" l="1"/>
  <c r="AX194" i="1" l="1"/>
  <c r="AX195" i="1" l="1"/>
  <c r="AX196" i="1" l="1"/>
  <c r="AX197" i="1" l="1"/>
  <c r="AX198" i="1" l="1"/>
  <c r="AX199" i="1" l="1"/>
  <c r="AX200" i="1" l="1"/>
  <c r="AX201" i="1" l="1"/>
  <c r="AX202" i="1" l="1"/>
  <c r="AX203" i="1" l="1"/>
  <c r="AX204" i="1" l="1"/>
  <c r="AX205" i="1" l="1"/>
  <c r="AX206" i="1" l="1"/>
  <c r="AX207" i="1" l="1"/>
  <c r="AX208" i="1" l="1"/>
  <c r="AX209" i="1" l="1"/>
  <c r="AX210" i="1" l="1"/>
  <c r="AX211" i="1" l="1"/>
  <c r="AX212" i="1" l="1"/>
  <c r="AX213" i="1" l="1"/>
  <c r="AX214" i="1" l="1"/>
  <c r="AX215" i="1" l="1"/>
  <c r="AX216" i="1" l="1"/>
  <c r="AX217" i="1" l="1"/>
  <c r="AX218" i="1" l="1"/>
  <c r="AX219" i="1" l="1"/>
  <c r="AX220" i="1" l="1"/>
  <c r="AX221" i="1" l="1"/>
  <c r="AX222" i="1" l="1"/>
  <c r="AX223" i="1" l="1"/>
  <c r="AX224" i="1" l="1"/>
  <c r="AX225" i="1" l="1"/>
  <c r="AX226" i="1" l="1"/>
  <c r="AX227" i="1" l="1"/>
  <c r="AX228" i="1" l="1"/>
  <c r="AX229" i="1" l="1"/>
  <c r="AX230" i="1" l="1"/>
  <c r="AX231" i="1" l="1"/>
  <c r="AX232" i="1" l="1"/>
  <c r="AX233" i="1" l="1"/>
  <c r="AX234" i="1" l="1"/>
  <c r="AX235" i="1" l="1"/>
  <c r="AX236" i="1" l="1"/>
  <c r="AX237" i="1" l="1"/>
  <c r="AX238" i="1" l="1"/>
  <c r="AX239" i="1" l="1"/>
  <c r="AX240" i="1" l="1"/>
  <c r="AX241" i="1" l="1"/>
  <c r="AX242" i="1" l="1"/>
  <c r="AX243" i="1" l="1"/>
  <c r="AX244" i="1" l="1"/>
  <c r="AX245" i="1" l="1"/>
  <c r="AX246" i="1" l="1"/>
  <c r="AX247" i="1" l="1"/>
  <c r="AX248" i="1" l="1"/>
  <c r="AX249" i="1" l="1"/>
  <c r="AX250" i="1" l="1"/>
  <c r="AX251" i="1" l="1"/>
  <c r="AX252" i="1" l="1"/>
  <c r="AX253" i="1" l="1"/>
  <c r="AX254" i="1" l="1"/>
  <c r="AX255" i="1" l="1"/>
  <c r="AX256" i="1" l="1"/>
  <c r="AX257" i="1" l="1"/>
  <c r="AX258" i="1" l="1"/>
  <c r="AX259" i="1" l="1"/>
  <c r="AX260" i="1" l="1"/>
  <c r="AX261" i="1" l="1"/>
  <c r="AX262" i="1" l="1"/>
  <c r="AX263" i="1" l="1"/>
  <c r="AX264" i="1" l="1"/>
  <c r="AX265" i="1" l="1"/>
  <c r="AX266" i="1" l="1"/>
  <c r="AX267" i="1" l="1"/>
  <c r="AX268" i="1" l="1"/>
  <c r="AX269" i="1" l="1"/>
  <c r="AX270" i="1" l="1"/>
  <c r="AX271" i="1" l="1"/>
  <c r="AX272" i="1" l="1"/>
  <c r="AX273" i="1" l="1"/>
  <c r="AX274" i="1" l="1"/>
  <c r="AX275" i="1" l="1"/>
  <c r="AX276" i="1" l="1"/>
  <c r="AX277" i="1" l="1"/>
  <c r="AX278" i="1" l="1"/>
  <c r="AX279" i="1" l="1"/>
  <c r="AX280" i="1" l="1"/>
  <c r="AX281" i="1" l="1"/>
  <c r="AX282" i="1" l="1"/>
  <c r="AX283" i="1" l="1"/>
  <c r="AX284" i="1" l="1"/>
  <c r="AX285" i="1" l="1"/>
  <c r="AX286" i="1" l="1"/>
  <c r="AX287" i="1" l="1"/>
  <c r="AX288" i="1" l="1"/>
  <c r="AX289" i="1" l="1"/>
  <c r="AX290" i="1" l="1"/>
  <c r="AX291" i="1" l="1"/>
  <c r="AX292" i="1" l="1"/>
  <c r="AX293" i="1" l="1"/>
  <c r="AX294" i="1" l="1"/>
  <c r="AX295" i="1" l="1"/>
  <c r="AX296" i="1" l="1"/>
  <c r="AX297" i="1" l="1"/>
  <c r="AX298" i="1" l="1"/>
  <c r="AX299" i="1" l="1"/>
  <c r="AX300" i="1" l="1"/>
  <c r="AX301" i="1" l="1"/>
  <c r="AX302" i="1" l="1"/>
  <c r="AX303" i="1" l="1"/>
  <c r="AX304" i="1" l="1"/>
  <c r="AX305" i="1" l="1"/>
  <c r="AX306" i="1" l="1"/>
  <c r="AX307" i="1" l="1"/>
  <c r="AX308" i="1" l="1"/>
  <c r="AX309" i="1" l="1"/>
  <c r="AX310" i="1" l="1"/>
  <c r="AX311" i="1" l="1"/>
  <c r="AX312" i="1" l="1"/>
  <c r="AX313" i="1" l="1"/>
  <c r="AX314" i="1" l="1"/>
  <c r="AX315" i="1" l="1"/>
  <c r="AX316" i="1" l="1"/>
  <c r="AX317" i="1" l="1"/>
  <c r="AX318" i="1" l="1"/>
  <c r="AX319" i="1" l="1"/>
  <c r="AX320" i="1" l="1"/>
  <c r="AX321" i="1" l="1"/>
  <c r="AX322" i="1" l="1"/>
  <c r="AX323" i="1" l="1"/>
  <c r="AX324" i="1" l="1"/>
  <c r="AX325" i="1" l="1"/>
  <c r="AX326" i="1" l="1"/>
  <c r="AX327" i="1" l="1"/>
  <c r="AX328" i="1" l="1"/>
  <c r="AX329" i="1" l="1"/>
  <c r="AX330" i="1" l="1"/>
  <c r="AX331" i="1" l="1"/>
  <c r="AX332" i="1" l="1"/>
  <c r="AX333" i="1" l="1"/>
  <c r="AX334" i="1" l="1"/>
  <c r="AX335" i="1" l="1"/>
  <c r="AX336" i="1" l="1"/>
  <c r="AX337" i="1" l="1"/>
  <c r="AX338" i="1" l="1"/>
  <c r="AX339" i="1" l="1"/>
  <c r="AX340" i="1" l="1"/>
  <c r="AX341" i="1" l="1"/>
  <c r="AX342" i="1" l="1"/>
  <c r="AX343" i="1" l="1"/>
  <c r="AX344" i="1" l="1"/>
  <c r="AX345" i="1" l="1"/>
  <c r="AX346" i="1" l="1"/>
  <c r="AX347" i="1" l="1"/>
  <c r="AX348" i="1" l="1"/>
  <c r="AX349" i="1" l="1"/>
  <c r="AX350" i="1" l="1"/>
  <c r="AX351" i="1" l="1"/>
  <c r="AX352" i="1" l="1"/>
  <c r="AX353" i="1" l="1"/>
  <c r="AX354" i="1" l="1"/>
  <c r="AX355" i="1" l="1"/>
  <c r="AX356" i="1" l="1"/>
  <c r="AX357" i="1" l="1"/>
  <c r="AX358" i="1" l="1"/>
  <c r="AX359" i="1" l="1"/>
  <c r="AX360" i="1" l="1"/>
  <c r="AX361" i="1" l="1"/>
  <c r="AX362" i="1" l="1"/>
  <c r="AX363" i="1" l="1"/>
  <c r="AX364" i="1" l="1"/>
  <c r="AX365" i="1" l="1"/>
  <c r="AX366" i="1" l="1"/>
  <c r="AX367" i="1" l="1"/>
  <c r="AX368" i="1" l="1"/>
  <c r="AX369" i="1" l="1"/>
  <c r="AX370" i="1" l="1"/>
  <c r="AX371" i="1" l="1"/>
  <c r="AX372" i="1" l="1"/>
  <c r="AX373" i="1" l="1"/>
  <c r="AX374" i="1" l="1"/>
  <c r="AX375" i="1" l="1"/>
  <c r="AX376" i="1" l="1"/>
  <c r="AX377" i="1" l="1"/>
  <c r="AX378" i="1" l="1"/>
  <c r="AX379" i="1" l="1"/>
  <c r="AX380" i="1" l="1"/>
  <c r="AX381" i="1" l="1"/>
  <c r="AX382" i="1" l="1"/>
  <c r="AX383" i="1" l="1"/>
  <c r="AX384" i="1" l="1"/>
  <c r="AX385" i="1" l="1"/>
  <c r="AX386" i="1" l="1"/>
  <c r="AX387" i="1" l="1"/>
  <c r="AX388" i="1" l="1"/>
  <c r="AX389" i="1" l="1"/>
  <c r="AX390" i="1" l="1"/>
  <c r="AX391" i="1" l="1"/>
  <c r="AX392" i="1" l="1"/>
  <c r="AX393" i="1" l="1"/>
  <c r="AX394" i="1" l="1"/>
  <c r="AV29" i="1" l="1"/>
</calcChain>
</file>

<file path=xl/sharedStrings.xml><?xml version="1.0" encoding="utf-8"?>
<sst xmlns="http://schemas.openxmlformats.org/spreadsheetml/2006/main" count="296" uniqueCount="74">
  <si>
    <t>Fecha</t>
  </si>
  <si>
    <t>Puerto</t>
  </si>
  <si>
    <t>Porvenir</t>
  </si>
  <si>
    <t>Natales</t>
  </si>
  <si>
    <t>MAX:</t>
  </si>
  <si>
    <t>PROM:</t>
  </si>
  <si>
    <t>SUMA:</t>
  </si>
  <si>
    <t>Junio</t>
  </si>
  <si>
    <t>Julio</t>
  </si>
  <si>
    <t>Agosto</t>
  </si>
  <si>
    <t>PA</t>
  </si>
  <si>
    <t>PN</t>
  </si>
  <si>
    <t>PO</t>
  </si>
  <si>
    <t>TOTAL</t>
  </si>
  <si>
    <t>MIN:</t>
  </si>
  <si>
    <t>MAX SIMULT:</t>
  </si>
  <si>
    <t>MAX ene-abr</t>
  </si>
  <si>
    <t>Max C/Simult</t>
  </si>
  <si>
    <t>MAX May-Sep</t>
  </si>
  <si>
    <t xml:space="preserve">Punta Arenas </t>
  </si>
  <si>
    <t>Tot. Día 2019</t>
  </si>
  <si>
    <t xml:space="preserve">CMD </t>
  </si>
  <si>
    <t>EDELMAG 2019</t>
  </si>
  <si>
    <t>Gasco 2019</t>
  </si>
  <si>
    <t>Punta Arenas 2019</t>
  </si>
  <si>
    <t>Puerto Natales 2019</t>
  </si>
  <si>
    <t>Porvenir 2019</t>
  </si>
  <si>
    <t xml:space="preserve">Natales </t>
  </si>
  <si>
    <t xml:space="preserve">Gasoducto </t>
  </si>
  <si>
    <t>Gasco 2020</t>
  </si>
  <si>
    <t>Punta Arenas 2020</t>
  </si>
  <si>
    <t>Puerto Natales 2020</t>
  </si>
  <si>
    <t>Porvenir 2020</t>
  </si>
  <si>
    <t>Tot. Día 2020</t>
  </si>
  <si>
    <t>GMAG 2020</t>
  </si>
  <si>
    <t>GMAG 2019</t>
  </si>
  <si>
    <t>EDELMAG 2020</t>
  </si>
  <si>
    <t>GMAG 2021</t>
  </si>
  <si>
    <t>Punta Arenas 2021</t>
  </si>
  <si>
    <t>Puerto Natales 2021</t>
  </si>
  <si>
    <t>Porvenir 2021</t>
  </si>
  <si>
    <t>Tot. Día 2021</t>
  </si>
  <si>
    <t>Gasco 2021</t>
  </si>
  <si>
    <r>
      <t>CMD 1476-</t>
    </r>
    <r>
      <rPr>
        <b/>
        <sz val="10"/>
        <color rgb="FFFF0000"/>
        <rFont val="Helv"/>
      </rPr>
      <t>1758</t>
    </r>
    <r>
      <rPr>
        <b/>
        <sz val="10"/>
        <rFont val="Helv"/>
      </rPr>
      <t xml:space="preserve"> (May-Sept)</t>
    </r>
  </si>
  <si>
    <t>CMDE</t>
  </si>
  <si>
    <t>GMAG 2022</t>
  </si>
  <si>
    <t>Punta Arenas 2022</t>
  </si>
  <si>
    <t>Puerto Natales 2022</t>
  </si>
  <si>
    <t>Porvenir 2022</t>
  </si>
  <si>
    <t>Tot. Día 2022</t>
  </si>
  <si>
    <r>
      <t>EDELMAG 2021</t>
    </r>
    <r>
      <rPr>
        <i/>
        <sz val="11"/>
        <rFont val="Helv"/>
      </rPr>
      <t>(15°C y presion absoluta de 101.325 Kpa)</t>
    </r>
  </si>
  <si>
    <r>
      <t>EDELMAG 2022</t>
    </r>
    <r>
      <rPr>
        <i/>
        <sz val="11"/>
        <rFont val="Helv"/>
      </rPr>
      <t>(15°C y presion absoluta de 101.325 Kpa)</t>
    </r>
  </si>
  <si>
    <t>GMAG 2023</t>
  </si>
  <si>
    <t>Punta Arenas 2023</t>
  </si>
  <si>
    <t>Puerto Natales 2023</t>
  </si>
  <si>
    <t>Porvenir 2023</t>
  </si>
  <si>
    <t>Tot. Día 2023</t>
  </si>
  <si>
    <r>
      <t>EDELMAG 2023</t>
    </r>
    <r>
      <rPr>
        <i/>
        <sz val="11"/>
        <rFont val="Helv"/>
      </rPr>
      <t>(15°C y presion absoluta de 101.325 Kpa)</t>
    </r>
  </si>
  <si>
    <r>
      <t>EDELMAG 2024</t>
    </r>
    <r>
      <rPr>
        <i/>
        <sz val="11"/>
        <rFont val="Helv"/>
      </rPr>
      <t>(15°C y presion absoluta de 101.325 Kpa)</t>
    </r>
  </si>
  <si>
    <r>
      <t>EDELMAG 2025</t>
    </r>
    <r>
      <rPr>
        <i/>
        <sz val="11"/>
        <rFont val="Helv"/>
      </rPr>
      <t>(15°C y presion absoluta de 101.325 Kpa)</t>
    </r>
  </si>
  <si>
    <t>GMAG 2024</t>
  </si>
  <si>
    <t>GMAG 2025</t>
  </si>
  <si>
    <t>Puerto Natales 2024</t>
  </si>
  <si>
    <t>Porvenir 2024</t>
  </si>
  <si>
    <t>Tot. Día 2024</t>
  </si>
  <si>
    <t>Punta Arenas 2024</t>
  </si>
  <si>
    <t>Puerto Natales 2025</t>
  </si>
  <si>
    <t>Punta Arenas 2025</t>
  </si>
  <si>
    <t>Porvenir 2025</t>
  </si>
  <si>
    <t>Tot. Día 2025</t>
  </si>
  <si>
    <t>Gasco 2024</t>
  </si>
  <si>
    <t>Gasco 2025</t>
  </si>
  <si>
    <t>Gasco 2022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</si>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</sst>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164" formatCode="_-* #,##0.00_-;\-* #,##0.00_-;_-* &quot;-&quot;??_-;_-@_-"/>
    <numFmt numFmtId="165" formatCode="dd\-mmm\-yy_)"/>
    <numFmt numFmtId="166" formatCode="#,##0_);\(#,##0\)"/>
    <numFmt numFmtId="167" formatCode="_-* #,##0.00\ _P_t_s_-;\-* #,##0.00\ _P_t_s_-;_-* &quot;-&quot;??\ _P_t_s_-;_-@_-"/>
    <numFmt numFmtId="168" formatCode="_-* #,##0\ _P_t_s_-;\-* #,##0\ _P_t_s_-;_-* &quot;-&quot;??\ _P_t_s_-;_-@_-"/>
    <numFmt numFmtId="169" formatCode="_-[$€-2]* #,##0.00_-;\-[$€-2]* #,##0.00_-;_-[$€-2]* &quot;-&quot;??_-"/>
    <numFmt numFmtId="170" formatCode="_(* #,##0_);_(* \(#,##0\);_(* &quot;-&quot;??_);_(@_)"/>
    <numFmt numFmtId="171" formatCode="_-* #,##0.00\ _€_-;\-* #,##0.00\ _€_-;_-* &quot;-&quot;??\ _€_-;_-@_-"/>
    <numFmt numFmtId="172" formatCode="_(* #,##0.000_);_(* \(#,##0.000\);_(* &quot;-&quot;??_);_(@_)"/>
    <numFmt numFmtId="173" formatCode="0.000"/>
    <numFmt numFmtId="174" formatCode="#,##0.000"/>
    <numFmt numFmtId="175" formatCode="_ * #,##0.000_ ;_ * \-#,##0.000_ ;_ * &quot;-&quot;_ ;_ @_ "/>
    <numFmt numFmtId="176" formatCode="[$-1340A]#,##0.000;\-#,##0.000"/>
    <numFmt numFmtId="177" formatCode="[$-1340A]#,##0.00;\-#,##0.00"/>
    <numFmt numFmtId="178" formatCode="[$-1340A]#,##0.000;\(#,##0.000\)"/>
    <numFmt numFmtId="179" formatCode="[$-1340A]#,##0.00;\(#,##0.00\)"/>
  </numFmts>
  <fonts count="24" x14ac:knownFonts="1">
    <font>
      <sz val="10"/>
      <name val="Helv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sz val="18"/>
      <name val="Helv"/>
    </font>
    <font>
      <b/>
      <sz val="10"/>
      <name val="Helv"/>
    </font>
    <font>
      <sz val="10"/>
      <name val="Arial"/>
      <family val="2"/>
    </font>
    <font>
      <sz val="10"/>
      <name val="Arial"/>
      <family val="2"/>
    </font>
    <font>
      <b/>
      <sz val="18"/>
      <name val="Helv"/>
    </font>
    <font>
      <b/>
      <sz val="16"/>
      <name val="Helv"/>
    </font>
    <font>
      <u/>
      <sz val="10"/>
      <color theme="10"/>
      <name val="Helv"/>
    </font>
    <font>
      <u/>
      <sz val="10"/>
      <color theme="11"/>
      <name val="Helv"/>
    </font>
    <font>
      <sz val="8"/>
      <name val="Helv"/>
    </font>
    <font>
      <b/>
      <sz val="10"/>
      <color rgb="FFFF0000"/>
      <name val="Helv"/>
    </font>
    <font>
      <sz val="10"/>
      <color theme="0"/>
      <name val="Helv"/>
    </font>
    <font>
      <sz val="10"/>
      <color rgb="FFFF0000"/>
      <name val="Helv"/>
    </font>
    <font>
      <b/>
      <sz val="9"/>
      <name val="Helv"/>
    </font>
    <font>
      <b/>
      <sz val="8"/>
      <name val="Helv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Helv"/>
    </font>
    <font>
      <i/>
      <sz val="11"/>
      <name val="Helv"/>
    </font>
    <font>
      <sz val="36"/>
      <name val="Helv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0E68C"/>
      </patternFill>
    </fill>
    <fill>
      <patternFill patternType="solid">
        <fgColor theme="0"/>
        <bgColor rgb="FFFFFFFF"/>
      </patternFill>
    </fill>
    <fill>
      <patternFill patternType="solid">
        <fgColor theme="9" tint="-0.249977111117893"/>
        <bgColor rgb="FFF0E68C"/>
      </patternFill>
    </fill>
    <fill>
      <patternFill patternType="solid">
        <fgColor rgb="FFFFC000"/>
        <bgColor rgb="FFF0E68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</borders>
  <cellStyleXfs count="278">
    <xf numFmtId="0" fontId="0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169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3" fillId="0" borderId="0"/>
    <xf numFmtId="0" fontId="4" fillId="0" borderId="0"/>
    <xf numFmtId="9" fontId="7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  <xf numFmtId="171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1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39">
    <xf numFmtId="0" fontId="0" fillId="0" borderId="0" xfId="0"/>
    <xf numFmtId="165" fontId="0" fillId="0" borderId="0" xfId="0" applyNumberFormat="1"/>
    <xf numFmtId="168" fontId="4" fillId="0" borderId="0" xfId="1" applyNumberFormat="1" applyFont="1" applyProtection="1"/>
    <xf numFmtId="0" fontId="0" fillId="0" borderId="0" xfId="0" applyAlignment="1">
      <alignment horizontal="right"/>
    </xf>
    <xf numFmtId="3" fontId="0" fillId="0" borderId="0" xfId="0" applyNumberFormat="1"/>
    <xf numFmtId="14" fontId="0" fillId="0" borderId="1" xfId="0" applyNumberFormat="1" applyBorder="1"/>
    <xf numFmtId="170" fontId="0" fillId="0" borderId="1" xfId="1" applyNumberFormat="1" applyFont="1" applyBorder="1"/>
    <xf numFmtId="1" fontId="0" fillId="0" borderId="0" xfId="0" applyNumberFormat="1"/>
    <xf numFmtId="0" fontId="6" fillId="0" borderId="1" xfId="0" applyFont="1" applyBorder="1"/>
    <xf numFmtId="170" fontId="6" fillId="0" borderId="1" xfId="0" applyNumberFormat="1" applyFont="1" applyBorder="1"/>
    <xf numFmtId="0" fontId="0" fillId="0" borderId="0" xfId="0" quotePrefix="1"/>
    <xf numFmtId="168" fontId="0" fillId="0" borderId="0" xfId="1" applyNumberFormat="1" applyFont="1" applyFill="1"/>
    <xf numFmtId="0" fontId="9" fillId="0" borderId="0" xfId="0" applyFont="1"/>
    <xf numFmtId="0" fontId="10" fillId="0" borderId="0" xfId="0" applyFont="1"/>
    <xf numFmtId="166" fontId="0" fillId="0" borderId="0" xfId="0" applyNumberFormat="1"/>
    <xf numFmtId="0" fontId="6" fillId="0" borderId="0" xfId="0" applyFont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172" fontId="6" fillId="0" borderId="0" xfId="0" applyNumberFormat="1" applyFont="1"/>
    <xf numFmtId="170" fontId="6" fillId="0" borderId="0" xfId="0" applyNumberFormat="1" applyFont="1"/>
    <xf numFmtId="14" fontId="0" fillId="2" borderId="1" xfId="0" applyNumberFormat="1" applyFill="1" applyBorder="1"/>
    <xf numFmtId="41" fontId="0" fillId="0" borderId="0" xfId="89" applyFont="1"/>
    <xf numFmtId="0" fontId="15" fillId="0" borderId="0" xfId="0" applyFont="1"/>
    <xf numFmtId="0" fontId="6" fillId="6" borderId="6" xfId="0" applyFont="1" applyFill="1" applyBorder="1" applyAlignment="1">
      <alignment horizontal="center"/>
    </xf>
    <xf numFmtId="3" fontId="0" fillId="0" borderId="1" xfId="1" applyNumberFormat="1" applyFont="1" applyBorder="1"/>
    <xf numFmtId="0" fontId="1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4" borderId="0" xfId="0" applyFill="1"/>
    <xf numFmtId="170" fontId="0" fillId="0" borderId="1" xfId="1" applyNumberFormat="1" applyFont="1" applyFill="1" applyBorder="1"/>
    <xf numFmtId="3" fontId="0" fillId="0" borderId="1" xfId="1" applyNumberFormat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70" fontId="6" fillId="0" borderId="7" xfId="0" applyNumberFormat="1" applyFont="1" applyBorder="1"/>
    <xf numFmtId="0" fontId="18" fillId="6" borderId="8" xfId="0" applyFont="1" applyFill="1" applyBorder="1" applyAlignment="1">
      <alignment horizontal="center" vertical="center" wrapText="1"/>
    </xf>
    <xf numFmtId="41" fontId="0" fillId="0" borderId="0" xfId="89" applyFont="1" applyBorder="1" applyAlignment="1"/>
    <xf numFmtId="41" fontId="0" fillId="0" borderId="0" xfId="89" applyFont="1" applyFill="1" applyAlignment="1"/>
    <xf numFmtId="41" fontId="0" fillId="0" borderId="0" xfId="89" applyFont="1" applyAlignment="1"/>
    <xf numFmtId="165" fontId="0" fillId="4" borderId="0" xfId="0" applyNumberFormat="1" applyFill="1"/>
    <xf numFmtId="0" fontId="0" fillId="4" borderId="0" xfId="0" applyFill="1" applyAlignment="1">
      <alignment horizontal="center"/>
    </xf>
    <xf numFmtId="1" fontId="0" fillId="4" borderId="0" xfId="0" applyNumberFormat="1" applyFill="1"/>
    <xf numFmtId="3" fontId="0" fillId="4" borderId="0" xfId="0" applyNumberFormat="1" applyFill="1"/>
    <xf numFmtId="1" fontId="19" fillId="0" borderId="0" xfId="0" applyNumberFormat="1" applyFont="1" applyAlignment="1">
      <alignment horizontal="right" vertical="center"/>
    </xf>
    <xf numFmtId="4" fontId="0" fillId="0" borderId="0" xfId="0" applyNumberFormat="1"/>
    <xf numFmtId="174" fontId="0" fillId="0" borderId="0" xfId="0" applyNumberFormat="1"/>
    <xf numFmtId="175" fontId="0" fillId="0" borderId="0" xfId="89" applyNumberFormat="1" applyFont="1" applyBorder="1" applyAlignment="1"/>
    <xf numFmtId="175" fontId="0" fillId="0" borderId="0" xfId="89" applyNumberFormat="1" applyFont="1" applyFill="1" applyAlignment="1"/>
    <xf numFmtId="174" fontId="0" fillId="0" borderId="0" xfId="89" applyNumberFormat="1" applyFont="1" applyFill="1" applyAlignment="1"/>
    <xf numFmtId="175" fontId="0" fillId="0" borderId="0" xfId="89" applyNumberFormat="1" applyFont="1" applyAlignment="1"/>
    <xf numFmtId="175" fontId="0" fillId="0" borderId="0" xfId="0" applyNumberFormat="1"/>
    <xf numFmtId="10" fontId="16" fillId="0" borderId="0" xfId="2" applyNumberFormat="1" applyFont="1" applyFill="1" applyAlignment="1">
      <alignment horizontal="center" vertical="center"/>
    </xf>
    <xf numFmtId="165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center"/>
    </xf>
    <xf numFmtId="1" fontId="0" fillId="8" borderId="0" xfId="0" applyNumberFormat="1" applyFill="1"/>
    <xf numFmtId="3" fontId="0" fillId="8" borderId="0" xfId="0" applyNumberFormat="1" applyFill="1"/>
    <xf numFmtId="41" fontId="20" fillId="0" borderId="0" xfId="89" applyFont="1" applyBorder="1" applyAlignment="1">
      <alignment horizontal="center" vertical="center"/>
    </xf>
    <xf numFmtId="168" fontId="4" fillId="0" borderId="0" xfId="1" applyNumberFormat="1" applyFont="1" applyAlignment="1" applyProtection="1">
      <alignment horizontal="center"/>
    </xf>
    <xf numFmtId="0" fontId="0" fillId="5" borderId="0" xfId="0" applyFill="1"/>
    <xf numFmtId="4" fontId="6" fillId="0" borderId="0" xfId="0" applyNumberFormat="1" applyFont="1"/>
    <xf numFmtId="4" fontId="6" fillId="0" borderId="1" xfId="0" applyNumberFormat="1" applyFont="1" applyBorder="1"/>
    <xf numFmtId="4" fontId="9" fillId="0" borderId="0" xfId="0" applyNumberFormat="1" applyFont="1"/>
    <xf numFmtId="4" fontId="0" fillId="0" borderId="0" xfId="89" applyNumberFormat="1" applyFont="1" applyFill="1" applyAlignment="1"/>
    <xf numFmtId="4" fontId="0" fillId="8" borderId="0" xfId="0" applyNumberFormat="1" applyFill="1"/>
    <xf numFmtId="4" fontId="19" fillId="0" borderId="0" xfId="89" applyNumberFormat="1" applyFont="1" applyBorder="1" applyAlignment="1">
      <alignment vertical="center"/>
    </xf>
    <xf numFmtId="175" fontId="0" fillId="0" borderId="0" xfId="89" applyNumberFormat="1" applyFont="1" applyFill="1" applyAlignment="1">
      <alignment horizontal="right"/>
    </xf>
    <xf numFmtId="176" fontId="21" fillId="9" borderId="0" xfId="0" applyNumberFormat="1" applyFont="1" applyFill="1" applyAlignment="1">
      <alignment horizontal="right" vertical="center" wrapText="1" readingOrder="1"/>
    </xf>
    <xf numFmtId="176" fontId="21" fillId="10" borderId="0" xfId="0" applyNumberFormat="1" applyFont="1" applyFill="1" applyAlignment="1">
      <alignment horizontal="right" vertical="center" wrapText="1" readingOrder="1"/>
    </xf>
    <xf numFmtId="0" fontId="0" fillId="5" borderId="0" xfId="0" applyFill="1" applyAlignment="1">
      <alignment horizontal="center"/>
    </xf>
    <xf numFmtId="165" fontId="0" fillId="5" borderId="0" xfId="0" applyNumberFormat="1" applyFill="1"/>
    <xf numFmtId="175" fontId="0" fillId="5" borderId="0" xfId="89" applyNumberFormat="1" applyFont="1" applyFill="1" applyAlignment="1"/>
    <xf numFmtId="41" fontId="0" fillId="5" borderId="0" xfId="89" applyFont="1" applyFill="1" applyAlignment="1"/>
    <xf numFmtId="177" fontId="21" fillId="9" borderId="0" xfId="0" applyNumberFormat="1" applyFont="1" applyFill="1" applyAlignment="1">
      <alignment horizontal="right" vertical="center" wrapText="1" readingOrder="1"/>
    </xf>
    <xf numFmtId="177" fontId="21" fillId="10" borderId="0" xfId="0" applyNumberFormat="1" applyFont="1" applyFill="1" applyAlignment="1">
      <alignment horizontal="right" vertical="center" wrapText="1" readingOrder="1"/>
    </xf>
    <xf numFmtId="1" fontId="0" fillId="5" borderId="0" xfId="0" applyNumberFormat="1" applyFill="1"/>
    <xf numFmtId="3" fontId="0" fillId="5" borderId="0" xfId="0" applyNumberFormat="1" applyFill="1"/>
    <xf numFmtId="178" fontId="21" fillId="9" borderId="0" xfId="0" applyNumberFormat="1" applyFont="1" applyFill="1" applyAlignment="1">
      <alignment horizontal="right" vertical="center" wrapText="1" readingOrder="1"/>
    </xf>
    <xf numFmtId="178" fontId="21" fillId="10" borderId="0" xfId="0" applyNumberFormat="1" applyFont="1" applyFill="1" applyAlignment="1">
      <alignment horizontal="right" vertical="center" wrapText="1" readingOrder="1"/>
    </xf>
    <xf numFmtId="4" fontId="0" fillId="5" borderId="0" xfId="0" applyNumberFormat="1" applyFill="1"/>
    <xf numFmtId="41" fontId="0" fillId="5" borderId="0" xfId="89" applyFont="1" applyFill="1" applyBorder="1" applyAlignment="1"/>
    <xf numFmtId="174" fontId="0" fillId="5" borderId="0" xfId="0" applyNumberFormat="1" applyFill="1"/>
    <xf numFmtId="170" fontId="0" fillId="0" borderId="0" xfId="0" applyNumberFormat="1"/>
    <xf numFmtId="173" fontId="0" fillId="0" borderId="0" xfId="0" applyNumberFormat="1"/>
    <xf numFmtId="175" fontId="0" fillId="5" borderId="0" xfId="0" applyNumberFormat="1" applyFill="1"/>
    <xf numFmtId="173" fontId="0" fillId="8" borderId="0" xfId="0" applyNumberFormat="1" applyFill="1"/>
    <xf numFmtId="175" fontId="0" fillId="8" borderId="0" xfId="0" applyNumberFormat="1" applyFill="1"/>
    <xf numFmtId="174" fontId="0" fillId="8" borderId="0" xfId="0" applyNumberFormat="1" applyFill="1"/>
    <xf numFmtId="174" fontId="0" fillId="4" borderId="0" xfId="0" applyNumberFormat="1" applyFill="1"/>
    <xf numFmtId="173" fontId="0" fillId="5" borderId="0" xfId="0" applyNumberFormat="1" applyFill="1"/>
    <xf numFmtId="165" fontId="0" fillId="3" borderId="0" xfId="0" applyNumberFormat="1" applyFill="1"/>
    <xf numFmtId="179" fontId="0" fillId="0" borderId="0" xfId="0" applyNumberFormat="1"/>
    <xf numFmtId="179" fontId="21" fillId="10" borderId="0" xfId="0" applyNumberFormat="1" applyFont="1" applyFill="1" applyAlignment="1">
      <alignment horizontal="right" vertical="center" wrapText="1" readingOrder="1"/>
    </xf>
    <xf numFmtId="165" fontId="0" fillId="7" borderId="0" xfId="0" applyNumberFormat="1" applyFill="1"/>
    <xf numFmtId="4" fontId="0" fillId="7" borderId="0" xfId="0" applyNumberFormat="1" applyFill="1"/>
    <xf numFmtId="175" fontId="0" fillId="7" borderId="0" xfId="0" applyNumberFormat="1" applyFill="1"/>
    <xf numFmtId="3" fontId="0" fillId="7" borderId="0" xfId="0" applyNumberFormat="1" applyFill="1"/>
    <xf numFmtId="4" fontId="0" fillId="3" borderId="0" xfId="89" applyNumberFormat="1" applyFont="1" applyFill="1" applyAlignment="1"/>
    <xf numFmtId="174" fontId="0" fillId="3" borderId="0" xfId="0" applyNumberFormat="1" applyFill="1"/>
    <xf numFmtId="0" fontId="0" fillId="3" borderId="0" xfId="0" applyFill="1"/>
    <xf numFmtId="176" fontId="21" fillId="12" borderId="0" xfId="0" applyNumberFormat="1" applyFont="1" applyFill="1" applyAlignment="1">
      <alignment horizontal="right" vertical="center" wrapText="1" readingOrder="1"/>
    </xf>
    <xf numFmtId="166" fontId="0" fillId="0" borderId="0" xfId="0" applyNumberFormat="1" applyAlignment="1">
      <alignment horizontal="left"/>
    </xf>
    <xf numFmtId="175" fontId="0" fillId="0" borderId="0" xfId="89" applyNumberFormat="1" applyFont="1"/>
    <xf numFmtId="175" fontId="0" fillId="8" borderId="0" xfId="89" applyNumberFormat="1" applyFont="1" applyFill="1"/>
    <xf numFmtId="175" fontId="0" fillId="5" borderId="0" xfId="89" applyNumberFormat="1" applyFont="1" applyFill="1"/>
    <xf numFmtId="175" fontId="0" fillId="5" borderId="0" xfId="89" applyNumberFormat="1" applyFont="1" applyFill="1" applyBorder="1" applyAlignment="1"/>
    <xf numFmtId="175" fontId="0" fillId="4" borderId="0" xfId="89" applyNumberFormat="1" applyFont="1" applyFill="1"/>
    <xf numFmtId="175" fontId="19" fillId="0" borderId="0" xfId="89" applyNumberFormat="1" applyFont="1" applyAlignment="1">
      <alignment horizontal="right" vertical="center"/>
    </xf>
    <xf numFmtId="175" fontId="19" fillId="0" borderId="0" xfId="89" applyNumberFormat="1" applyFont="1" applyBorder="1" applyAlignment="1">
      <alignment horizontal="center" vertical="center"/>
    </xf>
    <xf numFmtId="175" fontId="20" fillId="0" borderId="0" xfId="89" applyNumberFormat="1" applyFont="1" applyBorder="1" applyAlignment="1">
      <alignment horizontal="center" vertical="center"/>
    </xf>
    <xf numFmtId="175" fontId="0" fillId="0" borderId="0" xfId="89" applyNumberFormat="1" applyFont="1" applyBorder="1" applyAlignment="1">
      <alignment horizontal="center"/>
    </xf>
    <xf numFmtId="175" fontId="19" fillId="0" borderId="0" xfId="89" applyNumberFormat="1" applyFont="1" applyAlignment="1">
      <alignment horizontal="center" vertical="center"/>
    </xf>
    <xf numFmtId="175" fontId="19" fillId="3" borderId="0" xfId="89" applyNumberFormat="1" applyFont="1" applyFill="1" applyBorder="1" applyAlignment="1">
      <alignment horizontal="center" vertical="center"/>
    </xf>
    <xf numFmtId="175" fontId="20" fillId="3" borderId="0" xfId="89" applyNumberFormat="1" applyFont="1" applyFill="1" applyBorder="1" applyAlignment="1">
      <alignment horizontal="center" vertical="center"/>
    </xf>
    <xf numFmtId="175" fontId="0" fillId="0" borderId="0" xfId="89" applyNumberFormat="1" applyFont="1" applyFill="1" applyBorder="1" applyAlignment="1">
      <alignment horizontal="center"/>
    </xf>
    <xf numFmtId="175" fontId="4" fillId="0" borderId="0" xfId="89" applyNumberFormat="1" applyFont="1" applyAlignment="1" applyProtection="1">
      <alignment horizontal="center"/>
    </xf>
    <xf numFmtId="175" fontId="21" fillId="9" borderId="0" xfId="89" applyNumberFormat="1" applyFont="1" applyFill="1" applyAlignment="1">
      <alignment horizontal="right" vertical="center" wrapText="1" readingOrder="1"/>
    </xf>
    <xf numFmtId="175" fontId="21" fillId="10" borderId="0" xfId="89" applyNumberFormat="1" applyFont="1" applyFill="1" applyAlignment="1">
      <alignment horizontal="right" vertical="center" wrapText="1" readingOrder="1"/>
    </xf>
    <xf numFmtId="175" fontId="21" fillId="11" borderId="0" xfId="89" applyNumberFormat="1" applyFont="1" applyFill="1" applyAlignment="1">
      <alignment horizontal="right" vertical="center" wrapText="1" readingOrder="1"/>
    </xf>
    <xf numFmtId="175" fontId="0" fillId="7" borderId="0" xfId="89" applyNumberFormat="1" applyFont="1" applyFill="1"/>
    <xf numFmtId="174" fontId="21" fillId="9" borderId="0" xfId="0" applyNumberFormat="1" applyFont="1" applyFill="1" applyAlignment="1">
      <alignment horizontal="right" vertical="center" wrapText="1" readingOrder="1"/>
    </xf>
    <xf numFmtId="174" fontId="21" fillId="10" borderId="0" xfId="0" applyNumberFormat="1" applyFont="1" applyFill="1" applyAlignment="1">
      <alignment horizontal="right" vertical="center" wrapText="1" readingOrder="1"/>
    </xf>
    <xf numFmtId="174" fontId="21" fillId="11" borderId="0" xfId="0" applyNumberFormat="1" applyFont="1" applyFill="1" applyAlignment="1">
      <alignment horizontal="right" vertical="center" wrapText="1" readingOrder="1"/>
    </xf>
    <xf numFmtId="174" fontId="0" fillId="7" borderId="0" xfId="0" applyNumberFormat="1" applyFill="1"/>
    <xf numFmtId="41" fontId="6" fillId="0" borderId="1" xfId="89" applyFont="1" applyBorder="1"/>
    <xf numFmtId="3" fontId="6" fillId="0" borderId="1" xfId="0" applyNumberFormat="1" applyFont="1" applyBorder="1"/>
    <xf numFmtId="3" fontId="6" fillId="0" borderId="7" xfId="0" applyNumberFormat="1" applyFont="1" applyBorder="1"/>
    <xf numFmtId="4" fontId="6" fillId="0" borderId="0" xfId="0" applyNumberFormat="1" applyFont="1" applyAlignment="1">
      <alignment horizontal="center"/>
    </xf>
    <xf numFmtId="0" fontId="18" fillId="6" borderId="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4" fontId="18" fillId="6" borderId="6" xfId="0" applyNumberFormat="1" applyFont="1" applyFill="1" applyBorder="1" applyAlignment="1">
      <alignment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170" fontId="23" fillId="0" borderId="3" xfId="1" applyNumberFormat="1" applyFont="1" applyBorder="1" applyAlignment="1">
      <alignment horizontal="center"/>
    </xf>
    <xf numFmtId="170" fontId="23" fillId="0" borderId="4" xfId="1" applyNumberFormat="1" applyFont="1" applyBorder="1" applyAlignment="1">
      <alignment horizontal="center"/>
    </xf>
    <xf numFmtId="170" fontId="23" fillId="0" borderId="5" xfId="1" applyNumberFormat="1" applyFont="1" applyBorder="1" applyAlignment="1">
      <alignment horizontal="center"/>
    </xf>
  </cellXfs>
  <cellStyles count="278">
    <cellStyle name="Euro" xfId="4" xr:uid="{00000000-0005-0000-0000-000000000000}"/>
    <cellStyle name="Euro 2" xfId="202" xr:uid="{00000000-0005-0000-0000-000001000000}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4" builtinId="8" hidden="1"/>
    <cellStyle name="Hipervínculo" xfId="206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4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2" builtinId="8" hidden="1"/>
    <cellStyle name="Hipervínculo" xfId="224" builtinId="8" hidden="1"/>
    <cellStyle name="Hipervínculo" xfId="226" builtinId="8" hidden="1"/>
    <cellStyle name="Hipervínculo" xfId="228" builtinId="8" hidden="1"/>
    <cellStyle name="Hipervínculo" xfId="230" builtinId="8" hidden="1"/>
    <cellStyle name="Hipervínculo" xfId="232" builtinId="8" hidden="1"/>
    <cellStyle name="Hipervínculo" xfId="234" builtinId="8" hidden="1"/>
    <cellStyle name="Hipervínculo" xfId="236" builtinId="8" hidden="1"/>
    <cellStyle name="Hipervínculo" xfId="238" builtinId="8" hidden="1"/>
    <cellStyle name="Hipervínculo" xfId="240" builtinId="8" hidden="1"/>
    <cellStyle name="Hipervínculo" xfId="242" builtinId="8" hidden="1"/>
    <cellStyle name="Hipervínculo" xfId="244" builtinId="8" hidden="1"/>
    <cellStyle name="Hipervínculo" xfId="246" builtinId="8" hidden="1"/>
    <cellStyle name="Hipervínculo" xfId="248" builtinId="8" hidden="1"/>
    <cellStyle name="Hipervínculo" xfId="250" builtinId="8" hidden="1"/>
    <cellStyle name="Hipervínculo" xfId="252" builtinId="8" hidden="1"/>
    <cellStyle name="Hipervínculo" xfId="254" builtinId="8" hidden="1"/>
    <cellStyle name="Hipervínculo" xfId="256" builtinId="8" hidden="1"/>
    <cellStyle name="Hipervínculo" xfId="258" builtinId="8" hidden="1"/>
    <cellStyle name="Hipervínculo" xfId="260" builtinId="8" hidden="1"/>
    <cellStyle name="Hipervínculo" xfId="262" builtinId="8" hidden="1"/>
    <cellStyle name="Hipervínculo" xfId="264" builtinId="8" hidden="1"/>
    <cellStyle name="Hipervínculo" xfId="266" builtinId="8" hidden="1"/>
    <cellStyle name="Hipervínculo" xfId="268" builtinId="8" hidden="1"/>
    <cellStyle name="Hipervínculo" xfId="270" builtinId="8" hidden="1"/>
    <cellStyle name="Hipervínculo" xfId="272" builtinId="8" hidden="1"/>
    <cellStyle name="Hipervínculo" xfId="274" builtinId="8" hidden="1"/>
    <cellStyle name="Hipervínculo" xfId="276" builtinId="8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5" builtinId="9" hidden="1"/>
    <cellStyle name="Hipervínculo visitado" xfId="207" builtinId="9" hidden="1"/>
    <cellStyle name="Hipervínculo visitado" xfId="209" builtinId="9" hidden="1"/>
    <cellStyle name="Hipervínculo visitado" xfId="211" builtinId="9" hidden="1"/>
    <cellStyle name="Hipervínculo visitado" xfId="213" builtinId="9" hidden="1"/>
    <cellStyle name="Hipervínculo visitado" xfId="215" builtinId="9" hidden="1"/>
    <cellStyle name="Hipervínculo visitado" xfId="217" builtinId="9" hidden="1"/>
    <cellStyle name="Hipervínculo visitado" xfId="219" builtinId="9" hidden="1"/>
    <cellStyle name="Hipervínculo visitado" xfId="221" builtinId="9" hidden="1"/>
    <cellStyle name="Hipervínculo visitado" xfId="223" builtinId="9" hidden="1"/>
    <cellStyle name="Hipervínculo visitado" xfId="225" builtinId="9" hidden="1"/>
    <cellStyle name="Hipervínculo visitado" xfId="227" builtinId="9" hidden="1"/>
    <cellStyle name="Hipervínculo visitado" xfId="229" builtinId="9" hidden="1"/>
    <cellStyle name="Hipervínculo visitado" xfId="231" builtinId="9" hidden="1"/>
    <cellStyle name="Hipervínculo visitado" xfId="233" builtinId="9" hidden="1"/>
    <cellStyle name="Hipervínculo visitado" xfId="235" builtinId="9" hidden="1"/>
    <cellStyle name="Hipervínculo visitado" xfId="237" builtinId="9" hidden="1"/>
    <cellStyle name="Hipervínculo visitado" xfId="239" builtinId="9" hidden="1"/>
    <cellStyle name="Hipervínculo visitado" xfId="241" builtinId="9" hidden="1"/>
    <cellStyle name="Hipervínculo visitado" xfId="243" builtinId="9" hidden="1"/>
    <cellStyle name="Hipervínculo visitado" xfId="245" builtinId="9" hidden="1"/>
    <cellStyle name="Hipervínculo visitado" xfId="247" builtinId="9" hidden="1"/>
    <cellStyle name="Hipervínculo visitado" xfId="249" builtinId="9" hidden="1"/>
    <cellStyle name="Hipervínculo visitado" xfId="251" builtinId="9" hidden="1"/>
    <cellStyle name="Hipervínculo visitado" xfId="253" builtinId="9" hidden="1"/>
    <cellStyle name="Hipervínculo visitado" xfId="255" builtinId="9" hidden="1"/>
    <cellStyle name="Hipervínculo visitado" xfId="257" builtinId="9" hidden="1"/>
    <cellStyle name="Hipervínculo visitado" xfId="259" builtinId="9" hidden="1"/>
    <cellStyle name="Hipervínculo visitado" xfId="261" builtinId="9" hidden="1"/>
    <cellStyle name="Hipervínculo visitado" xfId="263" builtinId="9" hidden="1"/>
    <cellStyle name="Hipervínculo visitado" xfId="265" builtinId="9" hidden="1"/>
    <cellStyle name="Hipervínculo visitado" xfId="267" builtinId="9" hidden="1"/>
    <cellStyle name="Hipervínculo visitado" xfId="269" builtinId="9" hidden="1"/>
    <cellStyle name="Hipervínculo visitado" xfId="271" builtinId="9" hidden="1"/>
    <cellStyle name="Hipervínculo visitado" xfId="273" builtinId="9" hidden="1"/>
    <cellStyle name="Hipervínculo visitado" xfId="275" builtinId="9" hidden="1"/>
    <cellStyle name="Hipervínculo visitado" xfId="277" builtinId="9" hidden="1"/>
    <cellStyle name="Millares" xfId="1" builtinId="3"/>
    <cellStyle name="Millares [0]" xfId="89" builtinId="6"/>
    <cellStyle name="Millares [0] 2" xfId="77" xr:uid="{00000000-0005-0000-0000-000005010000}"/>
    <cellStyle name="Millares 2" xfId="5" xr:uid="{00000000-0005-0000-0000-000006010000}"/>
    <cellStyle name="Millares 3" xfId="12" xr:uid="{00000000-0005-0000-0000-000007010000}"/>
    <cellStyle name="Millares 4" xfId="78" xr:uid="{00000000-0005-0000-0000-000008010000}"/>
    <cellStyle name="Normal" xfId="0" builtinId="0" customBuiltin="1"/>
    <cellStyle name="Normal 2" xfId="11" xr:uid="{00000000-0005-0000-0000-00000B010000}"/>
    <cellStyle name="Normal 3" xfId="79" xr:uid="{00000000-0005-0000-0000-00000C010000}"/>
    <cellStyle name="Normal 4" xfId="201" xr:uid="{00000000-0005-0000-0000-00000D010000}"/>
    <cellStyle name="Normal 5 2" xfId="6" xr:uid="{00000000-0005-0000-0000-00000E010000}"/>
    <cellStyle name="Porcen - Estilo2" xfId="7" xr:uid="{00000000-0005-0000-0000-00000F010000}"/>
    <cellStyle name="Porcentaje" xfId="2" builtinId="5"/>
    <cellStyle name="Porcentaje 2" xfId="203" xr:uid="{00000000-0005-0000-0000-000011010000}"/>
    <cellStyle name="Porcentual 2" xfId="80" xr:uid="{00000000-0005-0000-0000-000012010000}"/>
    <cellStyle name="Porcentual 2 2" xfId="8" xr:uid="{00000000-0005-0000-0000-000013010000}"/>
    <cellStyle name="Porcentual 3" xfId="174" xr:uid="{00000000-0005-0000-0000-000014010000}"/>
    <cellStyle name="Punto0 - Estilo1" xfId="9" xr:uid="{00000000-0005-0000-0000-000015010000}"/>
    <cellStyle name="Punto0 - Estilo3" xfId="3" xr:uid="{00000000-0005-0000-0000-000016010000}"/>
    <cellStyle name="Punto1 - Estilo1" xfId="10" xr:uid="{00000000-0005-0000-0000-00001701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99CC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BD395"/>
  <sheetViews>
    <sheetView showGridLines="0" topLeftCell="A4" zoomScale="60" zoomScaleNormal="60" zoomScalePageLayoutView="75" workbookViewId="0">
      <selection activeCell="M447" sqref="M447"/>
    </sheetView>
  </sheetViews>
  <sheetFormatPr baseColWidth="10" defaultRowHeight="13" x14ac:dyDescent="0.3"/>
  <cols>
    <col min="1" max="1" width="17.7265625" customWidth="1"/>
    <col min="2" max="2" width="11" style="3" bestFit="1" customWidth="1"/>
    <col min="3" max="6" width="9.7265625" customWidth="1"/>
    <col min="7" max="7" width="11.26953125" customWidth="1"/>
    <col min="8" max="8" width="11.81640625" customWidth="1"/>
    <col min="9" max="15" width="10.7265625" customWidth="1"/>
    <col min="16" max="16" width="16.453125" customWidth="1"/>
    <col min="17" max="18" width="10.7265625" customWidth="1"/>
    <col min="19" max="19" width="11.7265625" style="43" bestFit="1" customWidth="1"/>
    <col min="20" max="20" width="11.54296875" bestFit="1" customWidth="1"/>
    <col min="21" max="21" width="13.81640625" bestFit="1" customWidth="1"/>
    <col min="22" max="22" width="12.54296875" bestFit="1" customWidth="1"/>
    <col min="24" max="25" width="13" customWidth="1"/>
    <col min="26" max="26" width="20.08984375" bestFit="1" customWidth="1"/>
    <col min="27" max="27" width="16.26953125" style="43" bestFit="1" customWidth="1"/>
    <col min="28" max="28" width="11.81640625" bestFit="1" customWidth="1"/>
    <col min="29" max="29" width="13.7265625" bestFit="1" customWidth="1"/>
    <col min="30" max="30" width="12.453125" bestFit="1" customWidth="1"/>
    <col min="32" max="32" width="13" customWidth="1"/>
    <col min="34" max="34" width="20.08984375" bestFit="1" customWidth="1"/>
    <col min="35" max="35" width="17.1796875" style="43" bestFit="1" customWidth="1"/>
    <col min="36" max="36" width="11.81640625" bestFit="1" customWidth="1"/>
    <col min="37" max="37" width="13.7265625" bestFit="1" customWidth="1"/>
    <col min="38" max="38" width="12.453125" bestFit="1" customWidth="1"/>
    <col min="40" max="41" width="13" customWidth="1"/>
    <col min="42" max="42" width="20.08984375" bestFit="1" customWidth="1"/>
    <col min="43" max="43" width="11.7265625" bestFit="1" customWidth="1"/>
    <col min="44" max="46" width="11.54296875" bestFit="1" customWidth="1"/>
    <col min="48" max="48" width="0" hidden="1" customWidth="1"/>
    <col min="50" max="50" width="20.36328125" bestFit="1" customWidth="1"/>
    <col min="51" max="51" width="12.7265625" bestFit="1" customWidth="1"/>
    <col min="52" max="52" width="11.54296875" bestFit="1" customWidth="1"/>
    <col min="54" max="54" width="11.54296875" bestFit="1" customWidth="1"/>
    <col min="55" max="55" width="12.7265625" bestFit="1" customWidth="1"/>
  </cols>
  <sheetData>
    <row r="1" spans="2:56" ht="9.75" hidden="1" customHeight="1" x14ac:dyDescent="0.3"/>
    <row r="2" spans="2:56" ht="12.75" hidden="1" customHeight="1" x14ac:dyDescent="0.3"/>
    <row r="3" spans="2:56" ht="12.75" hidden="1" customHeight="1" x14ac:dyDescent="0.3"/>
    <row r="4" spans="2:56" ht="12.75" customHeight="1" x14ac:dyDescent="0.3">
      <c r="B4" s="15" t="s">
        <v>23</v>
      </c>
      <c r="C4" s="15" t="s">
        <v>10</v>
      </c>
      <c r="D4" s="15" t="s">
        <v>11</v>
      </c>
      <c r="E4" s="15"/>
      <c r="F4" s="15" t="s">
        <v>12</v>
      </c>
      <c r="G4" s="15" t="s">
        <v>13</v>
      </c>
      <c r="H4" s="17">
        <v>1000</v>
      </c>
      <c r="J4" s="15" t="s">
        <v>29</v>
      </c>
      <c r="K4" s="15" t="s">
        <v>10</v>
      </c>
      <c r="L4" s="15" t="s">
        <v>11</v>
      </c>
      <c r="M4" s="15"/>
      <c r="N4" s="15" t="s">
        <v>12</v>
      </c>
      <c r="O4" s="15" t="s">
        <v>13</v>
      </c>
      <c r="P4" s="17"/>
      <c r="R4" s="15" t="s">
        <v>42</v>
      </c>
      <c r="S4" s="59" t="s">
        <v>10</v>
      </c>
      <c r="T4" s="15" t="s">
        <v>11</v>
      </c>
      <c r="U4" s="15"/>
      <c r="V4" s="15" t="s">
        <v>12</v>
      </c>
      <c r="W4" s="15" t="s">
        <v>13</v>
      </c>
      <c r="X4" s="17"/>
      <c r="Y4" s="17"/>
      <c r="Z4" s="15" t="s">
        <v>72</v>
      </c>
      <c r="AA4" s="59" t="s">
        <v>10</v>
      </c>
      <c r="AB4" s="15" t="s">
        <v>11</v>
      </c>
      <c r="AC4" s="15"/>
      <c r="AD4" s="15" t="s">
        <v>12</v>
      </c>
      <c r="AE4" s="15" t="s">
        <v>13</v>
      </c>
      <c r="AF4" s="17"/>
      <c r="AH4" s="15" t="s">
        <v>72</v>
      </c>
      <c r="AI4" s="126" t="s">
        <v>10</v>
      </c>
      <c r="AJ4" s="15" t="s">
        <v>11</v>
      </c>
      <c r="AK4" s="15"/>
      <c r="AL4" s="15" t="s">
        <v>12</v>
      </c>
      <c r="AM4" s="15" t="s">
        <v>13</v>
      </c>
      <c r="AN4" s="17"/>
      <c r="AO4" s="17"/>
      <c r="AP4" s="15" t="s">
        <v>70</v>
      </c>
      <c r="AQ4" s="126" t="s">
        <v>10</v>
      </c>
      <c r="AR4" s="15" t="s">
        <v>11</v>
      </c>
      <c r="AS4" s="15"/>
      <c r="AT4" s="15" t="s">
        <v>12</v>
      </c>
      <c r="AU4" s="15" t="s">
        <v>13</v>
      </c>
      <c r="AV4" s="17"/>
      <c r="AW4" s="17"/>
      <c r="AX4" s="15" t="s">
        <v>71</v>
      </c>
      <c r="AY4" s="126" t="s">
        <v>10</v>
      </c>
      <c r="AZ4" s="15" t="s">
        <v>11</v>
      </c>
      <c r="BA4" s="15"/>
      <c r="BB4" s="15" t="s">
        <v>12</v>
      </c>
      <c r="BC4" s="15" t="s">
        <v>13</v>
      </c>
      <c r="BD4" s="17"/>
    </row>
    <row r="5" spans="2:56" ht="12.75" hidden="1" customHeight="1" x14ac:dyDescent="0.3">
      <c r="B5" t="s">
        <v>7</v>
      </c>
      <c r="C5" s="14">
        <f>SUM(C182:C211)</f>
        <v>38038.35</v>
      </c>
      <c r="D5" s="14">
        <f>SUM(D182:D211)</f>
        <v>6690</v>
      </c>
      <c r="E5" s="14"/>
      <c r="F5" s="14">
        <f>SUM(F211:F211)</f>
        <v>72</v>
      </c>
      <c r="G5" s="14">
        <f>SUM(G181:G210)</f>
        <v>46810.78</v>
      </c>
      <c r="I5" s="18"/>
      <c r="J5" t="s">
        <v>7</v>
      </c>
      <c r="K5" s="14">
        <f>SUM(K182:K211)</f>
        <v>35904.326999999997</v>
      </c>
      <c r="L5" s="14">
        <f>SUM(L182:L211)</f>
        <v>7187.1040000000012</v>
      </c>
      <c r="M5" s="14"/>
      <c r="N5" s="14">
        <f>SUM(N211:N211)</f>
        <v>85.69</v>
      </c>
      <c r="O5" s="14">
        <f>SUM(O181:O210)</f>
        <v>44934.065499999997</v>
      </c>
      <c r="Q5" s="18"/>
      <c r="R5" t="s">
        <v>7</v>
      </c>
      <c r="S5" s="43">
        <f>SUM(S182:S211)</f>
        <v>37594.796001075265</v>
      </c>
      <c r="T5" s="14">
        <f>SUM(T182:T211)</f>
        <v>7704.4061647311837</v>
      </c>
      <c r="U5" s="14"/>
      <c r="V5" s="14">
        <f>SUM(V211:V211)</f>
        <v>82.309846881720432</v>
      </c>
      <c r="W5" s="14">
        <f>SUM(W181:W210)</f>
        <v>47894.898485376354</v>
      </c>
      <c r="Z5" t="s">
        <v>7</v>
      </c>
      <c r="AA5" s="43">
        <f>SUM(AA182:AA211)</f>
        <v>38789.465956451611</v>
      </c>
      <c r="AB5" s="14">
        <f>SUM(AB182:AB211)</f>
        <v>7611.24022655914</v>
      </c>
      <c r="AC5" s="14"/>
      <c r="AD5" s="14">
        <f>SUM(AD211:AD211)</f>
        <v>85.304361290322575</v>
      </c>
      <c r="AE5" s="14">
        <f>SUM(AE181:AE210)</f>
        <v>48693.744295698925</v>
      </c>
      <c r="AH5" t="s">
        <v>7</v>
      </c>
      <c r="AI5" s="43">
        <f>SUM(AI182:AI211)</f>
        <v>40282.550872258063</v>
      </c>
      <c r="AJ5" s="14">
        <f>SUM(AJ182:AJ211)</f>
        <v>8203.1371698924722</v>
      </c>
      <c r="AK5" s="14"/>
      <c r="AL5" s="14">
        <f>SUM(AL211:AL211)</f>
        <v>89.91831333333333</v>
      </c>
      <c r="AM5" s="14">
        <f>SUM(AM181:AM210)</f>
        <v>50983.212830645163</v>
      </c>
      <c r="AP5" t="s">
        <v>7</v>
      </c>
      <c r="AQ5" s="43">
        <f>SUM(AQ182:AQ211)</f>
        <v>44677.49</v>
      </c>
      <c r="AR5" s="14">
        <f>SUM(AR182:AR211)</f>
        <v>9620.2746258311818</v>
      </c>
      <c r="AS5" s="14"/>
      <c r="AT5" s="14">
        <f>SUM(AT211:AT211)</f>
        <v>85.151374731182798</v>
      </c>
      <c r="AU5" s="14">
        <f>SUM(AU181:AU210)</f>
        <v>56945.971403918287</v>
      </c>
      <c r="AX5" t="s">
        <v>7</v>
      </c>
      <c r="AY5" s="43">
        <f>SUM(AY182:AY211)</f>
        <v>40425.650999999998</v>
      </c>
      <c r="AZ5" s="14">
        <f>SUM(AZ182:AZ211)</f>
        <v>8871.5800927892469</v>
      </c>
      <c r="BA5" s="14"/>
      <c r="BB5" s="14">
        <f>SUM(BB211:BB211)</f>
        <v>92.207043870967738</v>
      </c>
      <c r="BC5" s="14">
        <f>SUM(BC181:BC210)</f>
        <v>51709.457939622574</v>
      </c>
    </row>
    <row r="6" spans="2:56" ht="12.75" hidden="1" customHeight="1" x14ac:dyDescent="0.3">
      <c r="B6" t="s">
        <v>8</v>
      </c>
      <c r="C6" s="14">
        <f>SUM(C212:C242)</f>
        <v>39002</v>
      </c>
      <c r="D6" s="14">
        <f>SUM(D212:D242)</f>
        <v>6856.2629999999999</v>
      </c>
      <c r="E6" s="14"/>
      <c r="F6" s="14">
        <f>SUM(F212:F241)</f>
        <v>2180</v>
      </c>
      <c r="G6" s="14">
        <f>SUM(G211:G241)</f>
        <v>48190</v>
      </c>
      <c r="I6" s="18"/>
      <c r="J6" t="s">
        <v>8</v>
      </c>
      <c r="K6" s="14">
        <f>SUM(K212:K242)</f>
        <v>40216.135999999999</v>
      </c>
      <c r="L6" s="14">
        <f>SUM(L212:L242)</f>
        <v>8334.4580000000005</v>
      </c>
      <c r="M6" s="14"/>
      <c r="N6" s="14">
        <f>SUM(N212:N241)</f>
        <v>2344.5830000000001</v>
      </c>
      <c r="O6" s="14">
        <f>SUM(O211:O241)</f>
        <v>51059.191999999995</v>
      </c>
      <c r="Q6" s="18"/>
      <c r="R6" t="s">
        <v>8</v>
      </c>
      <c r="S6" s="43">
        <f>SUM(S212:S242)</f>
        <v>38586.691970752683</v>
      </c>
      <c r="T6" s="14">
        <f>SUM(T212:T242)</f>
        <v>7644.3476899999996</v>
      </c>
      <c r="U6" s="14"/>
      <c r="V6" s="14">
        <f>SUM(V212:V241)</f>
        <v>2489.5381348387095</v>
      </c>
      <c r="W6" s="14">
        <f>SUM(W211:W241)</f>
        <v>48997.806632042993</v>
      </c>
      <c r="Z6" t="s">
        <v>8</v>
      </c>
      <c r="AA6" s="43">
        <f>SUM(AA212:AA242)</f>
        <v>43893.846075483874</v>
      </c>
      <c r="AB6" s="14">
        <f>SUM(AB212:AB242)</f>
        <v>9167.7409381720445</v>
      </c>
      <c r="AC6" s="14"/>
      <c r="AD6" s="14">
        <f>SUM(AD212:AD241)</f>
        <v>2650.2569961290324</v>
      </c>
      <c r="AE6" s="14">
        <f>SUM(AE211:AE241)</f>
        <v>55990.902689999988</v>
      </c>
      <c r="AH6" t="s">
        <v>8</v>
      </c>
      <c r="AI6" s="43">
        <f>SUM(AI212:AI242)</f>
        <v>44084.393797634417</v>
      </c>
      <c r="AJ6" s="14">
        <f>SUM(AJ212:AJ242)</f>
        <v>9648.2790358064485</v>
      </c>
      <c r="AK6" s="14"/>
      <c r="AL6" s="14">
        <f>SUM(AL212:AL241)</f>
        <v>2707.2400592473118</v>
      </c>
      <c r="AM6" s="14">
        <f>SUM(AM211:AM241)</f>
        <v>56394.515320645165</v>
      </c>
      <c r="AP6" t="s">
        <v>8</v>
      </c>
      <c r="AQ6" s="43">
        <f>SUM(AQ212:AQ242)</f>
        <v>42730.034</v>
      </c>
      <c r="AR6" s="14">
        <f>SUM(AR212:AR242)</f>
        <v>8903.5542274236577</v>
      </c>
      <c r="AS6" s="14"/>
      <c r="AT6" s="14">
        <f>SUM(AT212:AT241)</f>
        <v>2604.1311483870963</v>
      </c>
      <c r="AU6" s="14">
        <f>SUM(AU211:AU241)</f>
        <v>54301.995579864517</v>
      </c>
      <c r="AX6" t="s">
        <v>8</v>
      </c>
      <c r="AY6" s="43">
        <f>SUM(AY212:AY242)</f>
        <v>41897.329000000012</v>
      </c>
      <c r="AZ6" s="14">
        <f>SUM(AZ212:AZ242)</f>
        <v>9360.3363310709683</v>
      </c>
      <c r="BA6" s="14"/>
      <c r="BB6" s="14">
        <f>SUM(BB212:BB241)</f>
        <v>2609.6051003225812</v>
      </c>
      <c r="BC6" s="14">
        <f>SUM(BC211:BC241)</f>
        <v>55645.307767778497</v>
      </c>
    </row>
    <row r="7" spans="2:56" ht="12.75" hidden="1" customHeight="1" x14ac:dyDescent="0.3">
      <c r="B7" t="s">
        <v>9</v>
      </c>
      <c r="C7" s="14">
        <f>SUM(C243:C273)</f>
        <v>38755</v>
      </c>
      <c r="D7" s="14">
        <f>SUM(D243:D273)</f>
        <v>6923.3630000000003</v>
      </c>
      <c r="E7" s="14"/>
      <c r="F7" s="14">
        <f>SUM(F273:F273)</f>
        <v>73</v>
      </c>
      <c r="G7" s="14">
        <f>SUM(G242:G272)</f>
        <v>48102.626000000004</v>
      </c>
      <c r="J7" t="s">
        <v>9</v>
      </c>
      <c r="K7" s="14">
        <f>SUM(K243:K273)</f>
        <v>37565.358</v>
      </c>
      <c r="L7" s="14">
        <f>SUM(L243:L273)</f>
        <v>7175.9939999999979</v>
      </c>
      <c r="M7" s="14"/>
      <c r="N7" s="14">
        <f>SUM(N273:N273)</f>
        <v>76.245000000000005</v>
      </c>
      <c r="O7" s="14">
        <f>SUM(O242:O272)</f>
        <v>47219.659999999989</v>
      </c>
      <c r="R7" t="s">
        <v>9</v>
      </c>
      <c r="S7" s="43">
        <f>SUM(S243:S273)</f>
        <v>37230.688536129033</v>
      </c>
      <c r="T7" s="14">
        <f>SUM(T243:T273)</f>
        <v>7146.5015005376345</v>
      </c>
      <c r="U7" s="14"/>
      <c r="V7" s="14">
        <f>SUM(V273:V273)</f>
        <v>77.435569032258059</v>
      </c>
      <c r="W7" s="14">
        <f>SUM(W242:W272)</f>
        <v>46889.912333333326</v>
      </c>
      <c r="Z7" t="s">
        <v>9</v>
      </c>
      <c r="AA7" s="43">
        <f>SUM(AA243:AA273)</f>
        <v>39927.841793763444</v>
      </c>
      <c r="AB7" s="14">
        <f>SUM(AB243:AB273)</f>
        <v>8064.2542041935467</v>
      </c>
      <c r="AC7" s="14"/>
      <c r="AD7" s="14">
        <f>SUM(AD273:AD273)</f>
        <v>89.090961827956988</v>
      </c>
      <c r="AE7" s="14">
        <f>SUM(AE242:AE272)</f>
        <v>50614.66552795699</v>
      </c>
      <c r="AH7" t="s">
        <v>9</v>
      </c>
      <c r="AI7" s="43">
        <f>SUM(AI243:AI273)</f>
        <v>42568.09021655914</v>
      </c>
      <c r="AJ7" s="14">
        <f>SUM(AJ243:AJ273)</f>
        <v>8967.7832604301075</v>
      </c>
      <c r="AK7" s="14"/>
      <c r="AL7" s="14">
        <f>SUM(AL273:AL273)</f>
        <v>89.041014193548392</v>
      </c>
      <c r="AM7" s="14">
        <f>SUM(AM242:AM272)</f>
        <v>54517.68</v>
      </c>
      <c r="AP7" t="s">
        <v>9</v>
      </c>
      <c r="AQ7" s="43">
        <f>SUM(AQ243:AQ273)</f>
        <v>40249.692000000003</v>
      </c>
      <c r="AR7" s="14">
        <f>SUM(AR243:AR273)</f>
        <v>8463.8045680892483</v>
      </c>
      <c r="AS7" s="14"/>
      <c r="AT7" s="14">
        <f>SUM(AT273:AT273)</f>
        <v>75.752551290322586</v>
      </c>
      <c r="AU7" s="14">
        <f>SUM(AU242:AU272)</f>
        <v>51613.770780890321</v>
      </c>
      <c r="AX7" t="s">
        <v>9</v>
      </c>
      <c r="AY7" s="43">
        <f>SUM(AY243:AY273)</f>
        <v>0</v>
      </c>
      <c r="AZ7" s="14">
        <f>SUM(AZ243:AZ273)</f>
        <v>0</v>
      </c>
      <c r="BA7" s="14"/>
      <c r="BB7" s="14">
        <f>SUM(BB273:BB273)</f>
        <v>0</v>
      </c>
      <c r="BC7" s="14">
        <f>SUM(BC242:BC272)</f>
        <v>0</v>
      </c>
    </row>
    <row r="8" spans="2:56" ht="12.75" hidden="1" customHeight="1" x14ac:dyDescent="0.3">
      <c r="B8"/>
      <c r="C8" s="14">
        <f>SUM(C5:C7)</f>
        <v>115795.35</v>
      </c>
      <c r="D8" s="14">
        <f>SUM(D5:D7)</f>
        <v>20469.626</v>
      </c>
      <c r="E8" s="14"/>
      <c r="F8" s="14">
        <f>SUM(F5:F7)</f>
        <v>2325</v>
      </c>
      <c r="G8" s="14">
        <f>SUM(G5:G7)</f>
        <v>143103.40600000002</v>
      </c>
      <c r="K8" s="14">
        <f>SUM(K5:K7)</f>
        <v>113685.821</v>
      </c>
      <c r="L8" s="14">
        <f>SUM(L5:L7)</f>
        <v>22697.556</v>
      </c>
      <c r="M8" s="14"/>
      <c r="N8" s="14">
        <f>SUM(N5:N7)</f>
        <v>2506.518</v>
      </c>
      <c r="O8" s="14">
        <f>SUM(O5:O7)</f>
        <v>143212.91749999998</v>
      </c>
      <c r="S8" s="43">
        <f>SUM(S5:S7)</f>
        <v>113412.17650795697</v>
      </c>
      <c r="T8" s="14">
        <f>SUM(T5:T7)</f>
        <v>22495.255355268819</v>
      </c>
      <c r="U8" s="14"/>
      <c r="V8" s="14">
        <f>SUM(V5:V7)</f>
        <v>2649.2835507526879</v>
      </c>
      <c r="W8" s="14">
        <f>SUM(W5:W7)</f>
        <v>143782.61745075267</v>
      </c>
      <c r="AA8" s="43">
        <f>SUM(AA5:AA7)</f>
        <v>122611.15382569894</v>
      </c>
      <c r="AB8" s="14">
        <f>SUM(AB5:AB7)</f>
        <v>24843.235368924732</v>
      </c>
      <c r="AC8" s="14"/>
      <c r="AD8" s="14">
        <f>SUM(AD5:AD7)</f>
        <v>2824.6523192473119</v>
      </c>
      <c r="AE8" s="14">
        <f>SUM(AE5:AE7)</f>
        <v>155299.3125136559</v>
      </c>
      <c r="AI8" s="43">
        <f>SUM(AI5:AI7)</f>
        <v>126935.03488645163</v>
      </c>
      <c r="AJ8" s="14">
        <f>SUM(AJ5:AJ7)</f>
        <v>26819.19946612903</v>
      </c>
      <c r="AK8" s="14"/>
      <c r="AL8" s="14">
        <f>SUM(AL5:AL7)</f>
        <v>2886.1993867741935</v>
      </c>
      <c r="AM8" s="14">
        <f>SUM(AM5:AM7)</f>
        <v>161895.40815129032</v>
      </c>
      <c r="AQ8" s="43">
        <f>SUM(AQ5:AQ7)</f>
        <v>127657.21600000001</v>
      </c>
      <c r="AR8" s="14">
        <f>SUM(AR5:AR7)</f>
        <v>26987.633421344086</v>
      </c>
      <c r="AS8" s="14"/>
      <c r="AT8" s="14">
        <f>SUM(AT5:AT7)</f>
        <v>2765.0350744086018</v>
      </c>
      <c r="AU8" s="14">
        <f>SUM(AU5:AU7)</f>
        <v>162861.73776467313</v>
      </c>
      <c r="AY8" s="43">
        <f>SUM(AY5:AY7)</f>
        <v>82322.98000000001</v>
      </c>
      <c r="AZ8" s="14">
        <f>SUM(AZ5:AZ7)</f>
        <v>18231.916423860217</v>
      </c>
      <c r="BA8" s="14"/>
      <c r="BB8" s="14">
        <f>SUM(BB5:BB7)</f>
        <v>2701.8121441935491</v>
      </c>
      <c r="BC8" s="14">
        <f>SUM(BC5:BC7)</f>
        <v>107354.76570740106</v>
      </c>
    </row>
    <row r="9" spans="2:56" ht="12.75" hidden="1" customHeight="1" x14ac:dyDescent="0.3">
      <c r="B9"/>
      <c r="AQ9" s="43"/>
      <c r="AY9" s="43"/>
    </row>
    <row r="10" spans="2:56" ht="12.75" hidden="1" customHeight="1" x14ac:dyDescent="0.3">
      <c r="B10" t="s">
        <v>7</v>
      </c>
      <c r="C10" s="14">
        <f>AVERAGE(C182:C211)</f>
        <v>1267.9449999999999</v>
      </c>
      <c r="D10" s="14">
        <f>AVERAGE(D182:D211)</f>
        <v>223</v>
      </c>
      <c r="E10" s="14"/>
      <c r="F10" s="14">
        <f>AVERAGE(F211:F211)</f>
        <v>72</v>
      </c>
      <c r="G10" s="14">
        <f>AVERAGE(G181:G210)</f>
        <v>1560.3593333333333</v>
      </c>
      <c r="J10" t="s">
        <v>7</v>
      </c>
      <c r="K10" s="14">
        <f>AVERAGE(K182:K211)</f>
        <v>1196.8108999999999</v>
      </c>
      <c r="L10" s="14">
        <f>AVERAGE(L182:L211)</f>
        <v>239.57013333333336</v>
      </c>
      <c r="M10" s="14"/>
      <c r="N10" s="14">
        <f>AVERAGE(N211:N211)</f>
        <v>85.69</v>
      </c>
      <c r="O10" s="14">
        <f>AVERAGE(O181:O210)</f>
        <v>1497.8021833333332</v>
      </c>
      <c r="R10" t="s">
        <v>7</v>
      </c>
      <c r="S10" s="43">
        <f>AVERAGE(S182:S211)</f>
        <v>1253.1598667025089</v>
      </c>
      <c r="T10" s="14">
        <f>AVERAGE(T182:T211)</f>
        <v>256.81353882437281</v>
      </c>
      <c r="U10" s="14"/>
      <c r="V10" s="14">
        <f>AVERAGE(V211:V211)</f>
        <v>82.309846881720432</v>
      </c>
      <c r="W10" s="14">
        <f>AVERAGE(W181:W210)</f>
        <v>1596.4966161792117</v>
      </c>
      <c r="Z10" t="s">
        <v>7</v>
      </c>
      <c r="AA10" s="43">
        <f>AVERAGE(AA182:AA211)</f>
        <v>1292.982198548387</v>
      </c>
      <c r="AB10" s="14">
        <f>AVERAGE(AB182:AB211)</f>
        <v>253.70800755197132</v>
      </c>
      <c r="AC10" s="14"/>
      <c r="AD10" s="14">
        <f>AVERAGE(AD211:AD211)</f>
        <v>85.304361290322575</v>
      </c>
      <c r="AE10" s="14">
        <f>AVERAGE(AE181:AE210)</f>
        <v>1623.1248098566309</v>
      </c>
      <c r="AH10" t="s">
        <v>7</v>
      </c>
      <c r="AI10" s="43">
        <f>AVERAGE(AI182:AI211)</f>
        <v>1342.7516957419355</v>
      </c>
      <c r="AJ10" s="14">
        <f>AVERAGE(AJ182:AJ211)</f>
        <v>273.4379056630824</v>
      </c>
      <c r="AK10" s="14"/>
      <c r="AL10" s="14">
        <f>AVERAGE(AL211:AL211)</f>
        <v>89.91831333333333</v>
      </c>
      <c r="AM10" s="14">
        <f>AVERAGE(AM181:AM210)</f>
        <v>1699.4404276881721</v>
      </c>
      <c r="AP10" t="s">
        <v>7</v>
      </c>
      <c r="AQ10" s="43">
        <f>AVERAGE(AQ182:AQ211)</f>
        <v>1489.2496666666666</v>
      </c>
      <c r="AR10" s="14">
        <f>AVERAGE(AR182:AR211)</f>
        <v>320.67582086103937</v>
      </c>
      <c r="AS10" s="14"/>
      <c r="AT10" s="14">
        <f>AVERAGE(AT211:AT211)</f>
        <v>85.151374731182798</v>
      </c>
      <c r="AU10" s="14">
        <f>AVERAGE(AU181:AU210)</f>
        <v>1898.1990467972762</v>
      </c>
      <c r="AX10" t="s">
        <v>7</v>
      </c>
      <c r="AY10" s="43">
        <f>AVERAGE(AY182:AY211)</f>
        <v>1347.5217</v>
      </c>
      <c r="AZ10" s="14">
        <f>AVERAGE(AZ182:AZ211)</f>
        <v>295.71933642630825</v>
      </c>
      <c r="BA10" s="14"/>
      <c r="BB10" s="14">
        <f>AVERAGE(BB211:BB211)</f>
        <v>92.207043870967738</v>
      </c>
      <c r="BC10" s="14">
        <f>AVERAGE(BC181:BC210)</f>
        <v>1723.6485979874192</v>
      </c>
    </row>
    <row r="11" spans="2:56" ht="12.75" hidden="1" customHeight="1" x14ac:dyDescent="0.3">
      <c r="B11" t="s">
        <v>8</v>
      </c>
      <c r="C11" s="14">
        <f>AVERAGE(C212:C242)</f>
        <v>1258.1290322580646</v>
      </c>
      <c r="D11" s="14">
        <f>AVERAGE(D212:D242)</f>
        <v>221.16977419354839</v>
      </c>
      <c r="E11" s="14"/>
      <c r="F11" s="14">
        <f>AVERAGE(F212:F241)</f>
        <v>72.666666666666671</v>
      </c>
      <c r="G11" s="14">
        <f>AVERAGE(G211:G241)</f>
        <v>1554.516129032258</v>
      </c>
      <c r="J11" t="s">
        <v>8</v>
      </c>
      <c r="K11" s="14">
        <f>AVERAGE(K212:K242)</f>
        <v>1297.2947096774194</v>
      </c>
      <c r="L11" s="14">
        <f>AVERAGE(L212:L242)</f>
        <v>268.85348387096775</v>
      </c>
      <c r="M11" s="14"/>
      <c r="N11" s="14">
        <f>AVERAGE(N212:N241)</f>
        <v>78.152766666666665</v>
      </c>
      <c r="O11" s="14">
        <f>AVERAGE(O211:O241)</f>
        <v>1647.0707096774192</v>
      </c>
      <c r="R11" t="s">
        <v>8</v>
      </c>
      <c r="S11" s="43">
        <f>AVERAGE(S212:S242)</f>
        <v>1244.7319990565381</v>
      </c>
      <c r="T11" s="14">
        <f>AVERAGE(T212:T242)</f>
        <v>246.59186096774192</v>
      </c>
      <c r="U11" s="14"/>
      <c r="V11" s="14">
        <f>AVERAGE(V212:V241)</f>
        <v>82.984604494623653</v>
      </c>
      <c r="W11" s="14">
        <f>AVERAGE(W211:W241)</f>
        <v>1580.5744074852578</v>
      </c>
      <c r="Z11" t="s">
        <v>8</v>
      </c>
      <c r="AA11" s="43">
        <f>AVERAGE(AA212:AA242)</f>
        <v>1415.930518563996</v>
      </c>
      <c r="AB11" s="14">
        <f>AVERAGE(AB212:AB242)</f>
        <v>295.73357865071114</v>
      </c>
      <c r="AC11" s="14"/>
      <c r="AD11" s="14">
        <f>AVERAGE(AD212:AD241)</f>
        <v>88.341899870967751</v>
      </c>
      <c r="AE11" s="14">
        <f>AVERAGE(AE211:AE241)</f>
        <v>1806.1581512903222</v>
      </c>
      <c r="AH11" t="s">
        <v>8</v>
      </c>
      <c r="AI11" s="43">
        <f>AVERAGE(AI212:AI242)</f>
        <v>1422.0772192785296</v>
      </c>
      <c r="AJ11" s="14">
        <f>AVERAGE(AJ212:AJ242)</f>
        <v>311.23480760665961</v>
      </c>
      <c r="AK11" s="14"/>
      <c r="AL11" s="14">
        <f>AVERAGE(AL212:AL241)</f>
        <v>90.241335308243734</v>
      </c>
      <c r="AM11" s="14">
        <f>AVERAGE(AM211:AM241)</f>
        <v>1819.1779135691988</v>
      </c>
      <c r="AP11" t="s">
        <v>8</v>
      </c>
      <c r="AQ11" s="43">
        <f>AVERAGE(AQ212:AQ242)</f>
        <v>1378.3881935483871</v>
      </c>
      <c r="AR11" s="14">
        <f>AVERAGE(AR212:AR242)</f>
        <v>287.21142669108571</v>
      </c>
      <c r="AS11" s="14"/>
      <c r="AT11" s="14">
        <f>AVERAGE(AT212:AT241)</f>
        <v>86.804371612903211</v>
      </c>
      <c r="AU11" s="14">
        <f>AVERAGE(AU211:AU241)</f>
        <v>1751.677276769823</v>
      </c>
      <c r="AX11" t="s">
        <v>8</v>
      </c>
      <c r="AY11" s="43">
        <f>AVERAGE(AY212:AY242)</f>
        <v>1396.5776333333338</v>
      </c>
      <c r="AZ11" s="14">
        <f>AVERAGE(AZ212:AZ242)</f>
        <v>312.01121103569892</v>
      </c>
      <c r="BA11" s="14"/>
      <c r="BB11" s="14">
        <f>AVERAGE(BB212:BB241)</f>
        <v>86.986836677419376</v>
      </c>
      <c r="BC11" s="14">
        <f>AVERAGE(BC211:BC241)</f>
        <v>1795.0099279928547</v>
      </c>
    </row>
    <row r="12" spans="2:56" ht="12.75" hidden="1" customHeight="1" x14ac:dyDescent="0.3">
      <c r="B12" t="s">
        <v>9</v>
      </c>
      <c r="C12" s="14">
        <f>AVERAGE(C243:C273)</f>
        <v>1250.1612903225807</v>
      </c>
      <c r="D12" s="14">
        <f>AVERAGE(D243:D273)</f>
        <v>223.33429032258064</v>
      </c>
      <c r="E12" s="14"/>
      <c r="F12" s="14">
        <f>AVERAGE(F273:F273)</f>
        <v>73</v>
      </c>
      <c r="G12" s="14">
        <f>AVERAGE(G242:G272)</f>
        <v>1551.6976129032259</v>
      </c>
      <c r="J12" t="s">
        <v>9</v>
      </c>
      <c r="K12" s="14">
        <f>AVERAGE(K243:K273)</f>
        <v>1211.7857419354839</v>
      </c>
      <c r="L12" s="14">
        <f>AVERAGE(L243:L273)</f>
        <v>231.48367741935476</v>
      </c>
      <c r="M12" s="14"/>
      <c r="N12" s="14">
        <f>AVERAGE(N273:N273)</f>
        <v>76.245000000000005</v>
      </c>
      <c r="O12" s="14">
        <f>AVERAGE(O242:O272)</f>
        <v>1523.214838709677</v>
      </c>
      <c r="R12" t="s">
        <v>9</v>
      </c>
      <c r="S12" s="43">
        <f>AVERAGE(S243:S273)</f>
        <v>1200.9899527783559</v>
      </c>
      <c r="T12" s="14">
        <f>AVERAGE(T243:T273)</f>
        <v>230.53230646895594</v>
      </c>
      <c r="U12" s="14"/>
      <c r="V12" s="14">
        <f>AVERAGE(V273:V273)</f>
        <v>77.435569032258059</v>
      </c>
      <c r="W12" s="14">
        <f>AVERAGE(W242:W272)</f>
        <v>1512.5778172043008</v>
      </c>
      <c r="Z12" t="s">
        <v>9</v>
      </c>
      <c r="AA12" s="43">
        <f>AVERAGE(AA243:AA273)</f>
        <v>1287.9948965730143</v>
      </c>
      <c r="AB12" s="14">
        <f>AVERAGE(AB243:AB273)</f>
        <v>260.13723239334024</v>
      </c>
      <c r="AC12" s="14"/>
      <c r="AD12" s="14">
        <f>AVERAGE(AD273:AD273)</f>
        <v>89.090961827956988</v>
      </c>
      <c r="AE12" s="14">
        <f>AVERAGE(AE242:AE272)</f>
        <v>1632.7311460631288</v>
      </c>
      <c r="AH12" t="s">
        <v>9</v>
      </c>
      <c r="AI12" s="43">
        <f>AVERAGE(AI243:AI273)</f>
        <v>1373.1642005341657</v>
      </c>
      <c r="AJ12" s="14">
        <f>AVERAGE(AJ243:AJ273)</f>
        <v>289.28333098161636</v>
      </c>
      <c r="AK12" s="14"/>
      <c r="AL12" s="14">
        <f>AVERAGE(AL273:AL273)</f>
        <v>89.041014193548392</v>
      </c>
      <c r="AM12" s="14">
        <f>AVERAGE(AM242:AM272)</f>
        <v>1758.6348387096775</v>
      </c>
      <c r="AP12" t="s">
        <v>9</v>
      </c>
      <c r="AQ12" s="43">
        <f>AVERAGE(AQ243:AQ273)</f>
        <v>1298.3771612903226</v>
      </c>
      <c r="AR12" s="14">
        <f>AVERAGE(AR243:AR273)</f>
        <v>273.02595380933059</v>
      </c>
      <c r="AS12" s="14"/>
      <c r="AT12" s="14">
        <f>AVERAGE(AT273:AT273)</f>
        <v>75.752551290322586</v>
      </c>
      <c r="AU12" s="14">
        <f>AVERAGE(AU242:AU272)</f>
        <v>1664.9603477706555</v>
      </c>
      <c r="AX12" t="s">
        <v>9</v>
      </c>
      <c r="AY12" s="43" t="e">
        <f>AVERAGE(AY243:AY273)</f>
        <v>#DIV/0!</v>
      </c>
      <c r="AZ12" s="14" t="e">
        <f>AVERAGE(AZ243:AZ273)</f>
        <v>#DIV/0!</v>
      </c>
      <c r="BA12" s="14"/>
      <c r="BB12" s="14" t="e">
        <f>AVERAGE(BB273:BB273)</f>
        <v>#DIV/0!</v>
      </c>
      <c r="BC12" s="14">
        <f>AVERAGE(BC242:BC272)</f>
        <v>0</v>
      </c>
    </row>
    <row r="13" spans="2:56" ht="12.75" hidden="1" customHeight="1" x14ac:dyDescent="0.3">
      <c r="B13"/>
      <c r="AQ13" s="43"/>
      <c r="AY13" s="43"/>
    </row>
    <row r="14" spans="2:56" ht="12.75" hidden="1" customHeight="1" x14ac:dyDescent="0.3">
      <c r="B14" t="s">
        <v>7</v>
      </c>
      <c r="C14" s="14">
        <f>MAX(C182:C211)</f>
        <v>1451.96</v>
      </c>
      <c r="D14" s="14">
        <f>MAX(D182:D211)</f>
        <v>254</v>
      </c>
      <c r="E14" s="14"/>
      <c r="F14" s="14">
        <f>MAX(F211:F211)</f>
        <v>72</v>
      </c>
      <c r="G14" s="14">
        <f>MAX(G181:G210)</f>
        <v>1766.96</v>
      </c>
      <c r="J14" t="s">
        <v>7</v>
      </c>
      <c r="K14" s="14">
        <f>MAX(K182:K211)</f>
        <v>1337.3710000000001</v>
      </c>
      <c r="L14" s="14">
        <f>MAX(L182:L211)</f>
        <v>299.39999999999998</v>
      </c>
      <c r="M14" s="14"/>
      <c r="N14" s="14">
        <f>MAX(N211:N211)</f>
        <v>85.69</v>
      </c>
      <c r="O14" s="14">
        <f>MAX(O181:O210)</f>
        <v>1637.2899999999997</v>
      </c>
      <c r="R14" t="s">
        <v>7</v>
      </c>
      <c r="S14" s="43">
        <f>MAX(S182:S211)</f>
        <v>1452.1058074193547</v>
      </c>
      <c r="T14" s="14">
        <f>MAX(T182:T211)</f>
        <v>296.73602774193546</v>
      </c>
      <c r="U14" s="14"/>
      <c r="V14" s="14">
        <f>MAX(V211:V211)</f>
        <v>82.309846881720432</v>
      </c>
      <c r="W14" s="14">
        <f>MAX(W181:W210)</f>
        <v>1831.9949136559139</v>
      </c>
      <c r="Z14" t="s">
        <v>7</v>
      </c>
      <c r="AA14" s="43">
        <f>MAX(AA182:AA211)</f>
        <v>1419.8557561290322</v>
      </c>
      <c r="AB14" s="14">
        <f>MAX(AB182:AB211)</f>
        <v>286.23127064516132</v>
      </c>
      <c r="AC14" s="14"/>
      <c r="AD14" s="14">
        <f>MAX(AD211:AD211)</f>
        <v>85.304361290322575</v>
      </c>
      <c r="AE14" s="14">
        <f>MAX(AE181:AE210)</f>
        <v>1766.6476520430108</v>
      </c>
      <c r="AH14" t="s">
        <v>7</v>
      </c>
      <c r="AI14" s="43">
        <f>MAX(AI182:AI211)</f>
        <v>1524.5489903225807</v>
      </c>
      <c r="AJ14" s="14">
        <f>MAX(AJ182:AJ211)</f>
        <v>313.9334201075269</v>
      </c>
      <c r="AK14" s="14"/>
      <c r="AL14" s="14">
        <f>MAX(AL211:AL211)</f>
        <v>89.91831333333333</v>
      </c>
      <c r="AM14" s="14">
        <f>MAX(AM181:AM210)</f>
        <v>1906.9933406451614</v>
      </c>
      <c r="AP14" t="s">
        <v>7</v>
      </c>
      <c r="AQ14" s="43">
        <f>MAX(AQ182:AQ211)</f>
        <v>1724.4179999999999</v>
      </c>
      <c r="AR14" s="14">
        <f>MAX(AR182:AR211)</f>
        <v>385.17669830645161</v>
      </c>
      <c r="AS14" s="14"/>
      <c r="AT14" s="14">
        <f>MAX(AT211:AT211)</f>
        <v>85.151374731182798</v>
      </c>
      <c r="AU14" s="14">
        <f>MAX(AU181:AU210)</f>
        <v>2203.4716678763439</v>
      </c>
      <c r="AX14" t="s">
        <v>7</v>
      </c>
      <c r="AY14" s="43">
        <f>MAX(AY182:AY211)</f>
        <v>1547.21</v>
      </c>
      <c r="AZ14" s="14">
        <f>MAX(AZ182:AZ211)</f>
        <v>358.67455168387096</v>
      </c>
      <c r="BA14" s="14"/>
      <c r="BB14" s="14">
        <f>MAX(BB211:BB211)</f>
        <v>92.207043870967738</v>
      </c>
      <c r="BC14" s="14">
        <f>MAX(BC181:BC210)</f>
        <v>1977.4933001763441</v>
      </c>
    </row>
    <row r="15" spans="2:56" ht="12.75" hidden="1" customHeight="1" x14ac:dyDescent="0.3">
      <c r="B15" t="s">
        <v>8</v>
      </c>
      <c r="C15" s="14">
        <f>MAX(C212:C242)</f>
        <v>1436</v>
      </c>
      <c r="D15" s="14">
        <f>MAX(D212:D242)</f>
        <v>242</v>
      </c>
      <c r="E15" s="14"/>
      <c r="F15" s="14">
        <f>MAX(F212:F241)</f>
        <v>79</v>
      </c>
      <c r="G15" s="14">
        <f>MAX(G211:G241)</f>
        <v>1754</v>
      </c>
      <c r="J15" t="s">
        <v>8</v>
      </c>
      <c r="K15" s="14">
        <f>MAX(K212:K242)</f>
        <v>1448.5329999999999</v>
      </c>
      <c r="L15" s="14">
        <f>MAX(L212:L242)</f>
        <v>309.71199999999999</v>
      </c>
      <c r="M15" s="14"/>
      <c r="N15" s="14">
        <f>MAX(N212:N241)</f>
        <v>87.222999999999999</v>
      </c>
      <c r="O15" s="14">
        <f>MAX(O211:O241)</f>
        <v>1815.4109999999998</v>
      </c>
      <c r="R15" t="s">
        <v>8</v>
      </c>
      <c r="S15" s="43">
        <f>MAX(S212:S242)</f>
        <v>1419.3318713978495</v>
      </c>
      <c r="T15" s="14">
        <f>MAX(T212:T242)</f>
        <v>275.9341864516129</v>
      </c>
      <c r="U15" s="14"/>
      <c r="V15" s="14">
        <f>MAX(V212:V241)</f>
        <v>87.596473978494629</v>
      </c>
      <c r="W15" s="14">
        <f>MAX(W211:W241)</f>
        <v>1779.1094690322582</v>
      </c>
      <c r="Z15" t="s">
        <v>8</v>
      </c>
      <c r="AA15" s="43">
        <f>MAX(AA212:AA242)</f>
        <v>1580.4726075268818</v>
      </c>
      <c r="AB15" s="14">
        <f>MAX(AB212:AB242)</f>
        <v>351.42912591397851</v>
      </c>
      <c r="AC15" s="14"/>
      <c r="AD15" s="14">
        <f>MAX(AD212:AD241)</f>
        <v>94.266281290322581</v>
      </c>
      <c r="AE15" s="14">
        <f>MAX(AE211:AE241)</f>
        <v>2009.2925178494622</v>
      </c>
      <c r="AH15" t="s">
        <v>8</v>
      </c>
      <c r="AI15" s="43">
        <f>MAX(AI212:AI242)</f>
        <v>1551.0004692473119</v>
      </c>
      <c r="AJ15" s="14">
        <f>MAX(AJ212:AJ242)</f>
        <v>375.3895035483871</v>
      </c>
      <c r="AK15" s="14"/>
      <c r="AL15" s="14">
        <f>MAX(AL212:AL241)</f>
        <v>99.932824946236565</v>
      </c>
      <c r="AM15" s="14">
        <f>MAX(AM211:AM241)</f>
        <v>1993.0024330107528</v>
      </c>
      <c r="AP15" t="s">
        <v>8</v>
      </c>
      <c r="AQ15" s="43">
        <f>MAX(AQ212:AQ242)</f>
        <v>1549.3610000000001</v>
      </c>
      <c r="AR15" s="14">
        <f>MAX(AR212:AR242)</f>
        <v>353.47777687741933</v>
      </c>
      <c r="AS15" s="14"/>
      <c r="AT15" s="14">
        <f>MAX(AT212:AT241)</f>
        <v>96.40490322580645</v>
      </c>
      <c r="AU15" s="14">
        <f>MAX(AU211:AU241)</f>
        <v>1994.4605575225808</v>
      </c>
      <c r="AX15" t="s">
        <v>8</v>
      </c>
      <c r="AY15" s="43">
        <f>MAX(AY212:AY242)</f>
        <v>1526.212</v>
      </c>
      <c r="AZ15" s="14">
        <f>MAX(AZ212:AZ242)</f>
        <v>364.63997371182796</v>
      </c>
      <c r="BA15" s="14"/>
      <c r="BB15" s="14">
        <f>MAX(BB212:BB241)</f>
        <v>100.63527967741935</v>
      </c>
      <c r="BC15" s="14">
        <f>MAX(BC211:BC241)</f>
        <v>1961.4006733913977</v>
      </c>
    </row>
    <row r="16" spans="2:56" ht="12.75" hidden="1" customHeight="1" x14ac:dyDescent="0.3">
      <c r="B16" t="s">
        <v>9</v>
      </c>
      <c r="C16" s="14">
        <f>MAX(C243:C273)</f>
        <v>1430</v>
      </c>
      <c r="D16" s="14">
        <f>MAX(D243:D273)</f>
        <v>251</v>
      </c>
      <c r="E16" s="14"/>
      <c r="F16" s="14">
        <f>MAX(F273:F273)</f>
        <v>73</v>
      </c>
      <c r="G16" s="14">
        <f>MAX(G242:G272)</f>
        <v>1754.097</v>
      </c>
      <c r="J16" t="s">
        <v>9</v>
      </c>
      <c r="K16" s="14">
        <f>MAX(K243:K273)</f>
        <v>1384.68</v>
      </c>
      <c r="L16" s="14">
        <f>MAX(L243:L273)</f>
        <v>258.685</v>
      </c>
      <c r="M16" s="14"/>
      <c r="N16" s="14">
        <f>MAX(N273:N273)</f>
        <v>76.245000000000005</v>
      </c>
      <c r="O16" s="14">
        <f>MAX(O242:O272)</f>
        <v>1716.566</v>
      </c>
      <c r="R16" t="s">
        <v>9</v>
      </c>
      <c r="S16" s="43">
        <f>MAX(S243:S273)</f>
        <v>1343.8085080645162</v>
      </c>
      <c r="T16" s="14">
        <f>MAX(T243:T273)</f>
        <v>258.56829978494625</v>
      </c>
      <c r="U16" s="14"/>
      <c r="V16" s="14">
        <f>MAX(V273:V273)</f>
        <v>77.435569032258059</v>
      </c>
      <c r="W16" s="14">
        <f>MAX(W242:W272)</f>
        <v>1689.344629139785</v>
      </c>
      <c r="Z16" t="s">
        <v>9</v>
      </c>
      <c r="AA16" s="43">
        <f>MAX(AA243:AA273)</f>
        <v>1475.6762533333333</v>
      </c>
      <c r="AB16" s="14">
        <f>MAX(AB243:AB273)</f>
        <v>305.50615774193551</v>
      </c>
      <c r="AC16" s="14"/>
      <c r="AD16" s="14">
        <f>MAX(AD273:AD273)</f>
        <v>89.090961827956988</v>
      </c>
      <c r="AE16" s="14">
        <f>MAX(AE242:AE272)</f>
        <v>1849.0291155913978</v>
      </c>
      <c r="AH16" t="s">
        <v>9</v>
      </c>
      <c r="AI16" s="43">
        <f>MAX(AI243:AI273)</f>
        <v>1538.174</v>
      </c>
      <c r="AJ16" s="14">
        <f>MAX(AJ243:AJ273)</f>
        <v>333.21699999999998</v>
      </c>
      <c r="AK16" s="14"/>
      <c r="AL16" s="14">
        <f>MAX(AL273:AL273)</f>
        <v>89.041014193548392</v>
      </c>
      <c r="AM16" s="14">
        <f>MAX(AM242:AM272)</f>
        <v>1966.6129999999998</v>
      </c>
      <c r="AP16" t="s">
        <v>9</v>
      </c>
      <c r="AQ16" s="43">
        <f>MAX(AQ243:AQ273)</f>
        <v>1539.5630000000001</v>
      </c>
      <c r="AR16" s="14">
        <f>MAX(AR243:AR273)</f>
        <v>341.48918086236557</v>
      </c>
      <c r="AS16" s="14"/>
      <c r="AT16" s="14">
        <f>MAX(AT273:AT273)</f>
        <v>75.752551290322586</v>
      </c>
      <c r="AU16" s="14">
        <f>MAX(AU242:AU272)</f>
        <v>1933.6742034301078</v>
      </c>
      <c r="AX16" t="s">
        <v>9</v>
      </c>
      <c r="AY16" s="43">
        <f>MAX(AY243:AY273)</f>
        <v>0</v>
      </c>
      <c r="AZ16" s="14">
        <f>MAX(AZ243:AZ273)</f>
        <v>0</v>
      </c>
      <c r="BA16" s="14"/>
      <c r="BB16" s="14">
        <f>MAX(BB273:BB273)</f>
        <v>0</v>
      </c>
      <c r="BC16" s="14">
        <f>MAX(BC242:BC272)</f>
        <v>0</v>
      </c>
    </row>
    <row r="17" spans="1:56" x14ac:dyDescent="0.3">
      <c r="B17"/>
      <c r="AQ17" s="43"/>
      <c r="AY17" s="43"/>
    </row>
    <row r="18" spans="1:56" x14ac:dyDescent="0.3">
      <c r="B18" s="8" t="s">
        <v>6</v>
      </c>
      <c r="C18" s="9">
        <f>SUM(C30:C394)</f>
        <v>359420.77999999997</v>
      </c>
      <c r="D18" s="9">
        <f t="shared" ref="D18:G18" si="0">SUM(D30:D394)</f>
        <v>65118.575999999994</v>
      </c>
      <c r="E18" s="33"/>
      <c r="F18" s="9">
        <f>SUM(F30:F394)</f>
        <v>22553</v>
      </c>
      <c r="G18" s="9">
        <f t="shared" si="0"/>
        <v>447092.35599999991</v>
      </c>
      <c r="J18" s="8" t="s">
        <v>6</v>
      </c>
      <c r="K18" s="9">
        <f>SUM(K30:K394)</f>
        <v>337039.91400000011</v>
      </c>
      <c r="L18" s="9">
        <f t="shared" ref="L18" si="1">SUM(L30:L394)</f>
        <v>65465.111999999986</v>
      </c>
      <c r="M18" s="33"/>
      <c r="N18" s="9">
        <f>SUM(N30:N394)</f>
        <v>23060.192999999999</v>
      </c>
      <c r="O18" s="9">
        <f t="shared" ref="O18" si="2">SUM(O30:O394)</f>
        <v>425565.21899999963</v>
      </c>
      <c r="R18" s="8" t="s">
        <v>6</v>
      </c>
      <c r="S18" s="60">
        <f>SUM(S30:S394)</f>
        <v>349673.64809590299</v>
      </c>
      <c r="T18" s="9">
        <f t="shared" ref="T18" si="3">SUM(T30:T394)</f>
        <v>69309.365248279573</v>
      </c>
      <c r="U18" s="33"/>
      <c r="V18" s="9">
        <f>SUM(V30:V394)</f>
        <v>26051.922982004096</v>
      </c>
      <c r="W18" s="9">
        <f t="shared" ref="W18" si="4">SUM(W30:W394)</f>
        <v>445034.93632618658</v>
      </c>
      <c r="Z18" s="8" t="s">
        <v>6</v>
      </c>
      <c r="AA18" s="60">
        <f>SUM(AA30:AA394)</f>
        <v>373881.9323312905</v>
      </c>
      <c r="AB18" s="9">
        <f t="shared" ref="AB18" si="5">SUM(AB30:AB394)</f>
        <v>75988.641972795725</v>
      </c>
      <c r="AC18" s="33"/>
      <c r="AD18" s="9">
        <f>SUM(AD30:AD394)</f>
        <v>25902.635405268793</v>
      </c>
      <c r="AE18" s="9">
        <f t="shared" ref="AE18" si="6">SUM(AE30:AE394)</f>
        <v>475773.20970935473</v>
      </c>
      <c r="AH18" s="8" t="s">
        <v>6</v>
      </c>
      <c r="AI18" s="60">
        <f>SUM(AI30:AI394)</f>
        <v>391077.49646655936</v>
      </c>
      <c r="AJ18" s="9">
        <f t="shared" ref="AJ18" si="7">SUM(AJ30:AJ394)</f>
        <v>82099.756475268805</v>
      </c>
      <c r="AK18" s="33"/>
      <c r="AL18" s="9">
        <f>SUM(AL30:AL394)</f>
        <v>27534.508643978479</v>
      </c>
      <c r="AM18" s="9">
        <f t="shared" ref="AM18" si="8">SUM(AM30:AM394)</f>
        <v>500711.76158580644</v>
      </c>
      <c r="AP18" s="8" t="s">
        <v>6</v>
      </c>
      <c r="AQ18" s="123">
        <f>SUM(AQ30:AQ395)</f>
        <v>386127.82900591398</v>
      </c>
      <c r="AR18" s="123">
        <f t="shared" ref="AR18:AU18" si="9">SUM(AR30:AR395)</f>
        <v>83663.765822696805</v>
      </c>
      <c r="AS18" s="123"/>
      <c r="AT18" s="123">
        <f t="shared" si="9"/>
        <v>26131.671566666675</v>
      </c>
      <c r="AU18" s="123">
        <f t="shared" si="9"/>
        <v>495923.26639527694</v>
      </c>
      <c r="AX18" s="8" t="s">
        <v>6</v>
      </c>
      <c r="AY18" s="124">
        <f>SUM(AY30:AY394)</f>
        <v>224050.26199999984</v>
      </c>
      <c r="AZ18" s="124">
        <f t="shared" ref="AZ18" si="10">SUM(AZ30:AZ394)</f>
        <v>51557.413937012905</v>
      </c>
      <c r="BA18" s="125"/>
      <c r="BB18" s="124">
        <f>SUM(BB30:BB394)</f>
        <v>15527.665827634411</v>
      </c>
      <c r="BC18" s="124">
        <f t="shared" ref="BC18" si="11">SUM(BC30:BC394)</f>
        <v>291135.34176464722</v>
      </c>
    </row>
    <row r="19" spans="1:56" x14ac:dyDescent="0.3">
      <c r="B19" s="8" t="s">
        <v>5</v>
      </c>
      <c r="C19" s="9">
        <f>AVERAGE(C30:C394)</f>
        <v>984.71446575342452</v>
      </c>
      <c r="D19" s="9">
        <f t="shared" ref="D19:G19" si="12">AVERAGE(D30:D394)</f>
        <v>178.40705753424655</v>
      </c>
      <c r="E19" s="33"/>
      <c r="F19" s="9">
        <f>AVERAGE(F30:F394)</f>
        <v>61.789041095890411</v>
      </c>
      <c r="G19" s="9">
        <f t="shared" si="12"/>
        <v>1224.9105643835615</v>
      </c>
      <c r="J19" s="8" t="s">
        <v>5</v>
      </c>
      <c r="K19" s="9">
        <f>AVERAGE(K30:K394)</f>
        <v>923.39702465753453</v>
      </c>
      <c r="L19" s="9">
        <f t="shared" ref="L19" si="13">AVERAGE(L30:L394)</f>
        <v>179.35647123287669</v>
      </c>
      <c r="M19" s="33"/>
      <c r="N19" s="9">
        <f>AVERAGE(N30:N394)</f>
        <v>63.178610958904109</v>
      </c>
      <c r="O19" s="9">
        <f t="shared" ref="O19" si="14">AVERAGE(O30:O394)</f>
        <v>1165.9321068493141</v>
      </c>
      <c r="R19" s="8" t="s">
        <v>5</v>
      </c>
      <c r="S19" s="60">
        <f>AVERAGE(S30:S394)</f>
        <v>958.00999478329584</v>
      </c>
      <c r="T19" s="9">
        <f t="shared" ref="T19" si="15">AVERAGE(T30:T394)</f>
        <v>189.88867191309473</v>
      </c>
      <c r="U19" s="33"/>
      <c r="V19" s="9">
        <f>AVERAGE(V30:V394)</f>
        <v>71.375131457545464</v>
      </c>
      <c r="W19" s="9">
        <f t="shared" ref="W19" si="16">AVERAGE(W30:W394)</f>
        <v>1219.2737981539358</v>
      </c>
      <c r="Z19" s="8" t="s">
        <v>5</v>
      </c>
      <c r="AA19" s="60">
        <f>AVERAGE(AA30:AA394)</f>
        <v>1024.3340611816179</v>
      </c>
      <c r="AB19" s="9">
        <f t="shared" ref="AB19" si="17">AVERAGE(AB30:AB394)</f>
        <v>208.18806019944034</v>
      </c>
      <c r="AC19" s="33"/>
      <c r="AD19" s="9">
        <f>AVERAGE(AD30:AD394)</f>
        <v>70.966124397996694</v>
      </c>
      <c r="AE19" s="9">
        <f t="shared" ref="AE19" si="18">AVERAGE(AE30:AE394)</f>
        <v>1303.4882457790541</v>
      </c>
      <c r="AH19" s="8" t="s">
        <v>5</v>
      </c>
      <c r="AI19" s="60">
        <f>AVERAGE(AI30:AI394)</f>
        <v>1071.4451957987928</v>
      </c>
      <c r="AJ19" s="9">
        <f t="shared" ref="AJ19" si="19">AVERAGE(AJ30:AJ394)</f>
        <v>224.93083965827068</v>
      </c>
      <c r="AK19" s="33"/>
      <c r="AL19" s="9">
        <f>AVERAGE(AL30:AL394)</f>
        <v>75.437009983502676</v>
      </c>
      <c r="AM19" s="9">
        <f t="shared" ref="AM19" si="20">AVERAGE(AM30:AM394)</f>
        <v>1371.8130454405655</v>
      </c>
      <c r="AP19" s="8" t="s">
        <v>5</v>
      </c>
      <c r="AQ19" s="123">
        <f>AVERAGE(AQ30:AQ395)</f>
        <v>1054.9940683221694</v>
      </c>
      <c r="AR19" s="123">
        <f t="shared" ref="AR19:AU19" si="21">AVERAGE(AR30:AR395)</f>
        <v>228.58952410572897</v>
      </c>
      <c r="AS19" s="123"/>
      <c r="AT19" s="123">
        <f t="shared" si="21"/>
        <v>71.398009744990915</v>
      </c>
      <c r="AU19" s="123">
        <f t="shared" si="21"/>
        <v>1354.9816021728877</v>
      </c>
      <c r="AX19" s="8" t="s">
        <v>5</v>
      </c>
      <c r="AY19" s="124">
        <f>AVERAGE(AY30:AY394)</f>
        <v>1056.8408584905653</v>
      </c>
      <c r="AZ19" s="124">
        <f t="shared" ref="AZ19" si="22">AVERAGE(AZ30:AZ394)</f>
        <v>243.19534875949483</v>
      </c>
      <c r="BA19" s="125"/>
      <c r="BB19" s="124">
        <f>AVERAGE(BB30:BB394)</f>
        <v>73.243706734124586</v>
      </c>
      <c r="BC19" s="124">
        <f t="shared" ref="BC19" si="23">AVERAGE(BC30:BC394)</f>
        <v>797.63107332780066</v>
      </c>
    </row>
    <row r="20" spans="1:56" x14ac:dyDescent="0.3">
      <c r="B20" s="8" t="s">
        <v>14</v>
      </c>
      <c r="C20" s="9">
        <f>MIN(C31:C394)</f>
        <v>501</v>
      </c>
      <c r="D20" s="9">
        <f t="shared" ref="D20" si="24">MIN(D31:D394)</f>
        <v>87</v>
      </c>
      <c r="E20" s="33"/>
      <c r="F20" s="9">
        <f>MIN(F31:F394)</f>
        <v>35</v>
      </c>
      <c r="G20" s="9">
        <f>MIN(G30:G394)</f>
        <v>623</v>
      </c>
      <c r="J20" s="8" t="s">
        <v>14</v>
      </c>
      <c r="K20" s="9">
        <f>MIN(K31:K394)</f>
        <v>498.51499999999999</v>
      </c>
      <c r="L20" s="9">
        <f t="shared" ref="L20" si="25">MIN(L31:L394)</f>
        <v>89.215000000000003</v>
      </c>
      <c r="M20" s="33"/>
      <c r="N20" s="9">
        <f>MIN(N61:N394)</f>
        <v>35.098999999999997</v>
      </c>
      <c r="O20" s="9">
        <f>MIN(O30:O394)</f>
        <v>554.14400000000001</v>
      </c>
      <c r="R20" s="8" t="s">
        <v>14</v>
      </c>
      <c r="S20" s="60">
        <f>MIN(S31:S394)</f>
        <v>433.24246967741936</v>
      </c>
      <c r="T20" s="9">
        <f t="shared" ref="T20" si="26">MIN(T31:T394)</f>
        <v>89.181834408602157</v>
      </c>
      <c r="U20" s="33"/>
      <c r="V20" s="9">
        <f>MIN(V61:V394)</f>
        <v>28.821453763440861</v>
      </c>
      <c r="W20" s="9">
        <f>MIN(W30:W394)</f>
        <v>551.24575784946239</v>
      </c>
      <c r="Z20" s="8" t="s">
        <v>14</v>
      </c>
      <c r="AA20" s="60">
        <f>MIN(AA31:AA394)</f>
        <v>514.83685010752686</v>
      </c>
      <c r="AB20" s="9">
        <f t="shared" ref="AB20" si="27">MIN(AB31:AB394)</f>
        <v>104.68263096774194</v>
      </c>
      <c r="AC20" s="33"/>
      <c r="AD20" s="9">
        <f>MIN(AD61:AD394)</f>
        <v>32.60840860215054</v>
      </c>
      <c r="AE20" s="9">
        <f>MIN(AE30:AE394)</f>
        <v>662.82081720430108</v>
      </c>
      <c r="AH20" s="8" t="s">
        <v>14</v>
      </c>
      <c r="AI20" s="60">
        <f>MIN(AI31:AI394)</f>
        <v>518.30484408602149</v>
      </c>
      <c r="AJ20" s="9">
        <f t="shared" ref="AJ20" si="28">MIN(AJ31:AJ394)</f>
        <v>95.397556344086027</v>
      </c>
      <c r="AK20" s="33"/>
      <c r="AL20" s="9">
        <f>MIN(AL61:AL394)</f>
        <v>37.817308172043013</v>
      </c>
      <c r="AM20" s="9">
        <f>MIN(AM30:AM394)</f>
        <v>669.65078827956984</v>
      </c>
      <c r="AP20" s="8" t="s">
        <v>14</v>
      </c>
      <c r="AQ20" s="123">
        <f>MIN(AQ31:AQ395)</f>
        <v>502.42500000000001</v>
      </c>
      <c r="AR20" s="123">
        <f t="shared" ref="AR20:AU20" si="29">MIN(AR31:AR395)</f>
        <v>110.8799370967742</v>
      </c>
      <c r="AS20" s="123"/>
      <c r="AT20" s="123">
        <f t="shared" si="29"/>
        <v>30.664368172043012</v>
      </c>
      <c r="AU20" s="123">
        <f t="shared" si="29"/>
        <v>664.50277940645162</v>
      </c>
      <c r="AX20" s="8" t="s">
        <v>14</v>
      </c>
      <c r="AY20" s="124">
        <f>MIN(AY31:AY394)</f>
        <v>516.13699999999994</v>
      </c>
      <c r="AZ20" s="124">
        <f t="shared" ref="AZ20" si="30">MIN(AZ31:AZ394)</f>
        <v>126.23622</v>
      </c>
      <c r="BA20" s="125"/>
      <c r="BB20" s="124">
        <f>MIN(BB61:BB394)</f>
        <v>45.607443010752689</v>
      </c>
      <c r="BC20" s="124">
        <f>MIN(BC30:BC394)</f>
        <v>0</v>
      </c>
    </row>
    <row r="21" spans="1:56" x14ac:dyDescent="0.3">
      <c r="B21" s="8" t="s">
        <v>4</v>
      </c>
      <c r="C21" s="9">
        <f>MAX(C30:C394)</f>
        <v>1451.96</v>
      </c>
      <c r="D21" s="9">
        <f t="shared" ref="D21:G21" si="31">MAX(D30:D394)</f>
        <v>254</v>
      </c>
      <c r="E21" s="33"/>
      <c r="F21" s="9">
        <f>MAX(F30:F394)</f>
        <v>82</v>
      </c>
      <c r="G21" s="9">
        <f t="shared" si="31"/>
        <v>1766.96</v>
      </c>
      <c r="J21" s="8" t="s">
        <v>4</v>
      </c>
      <c r="K21" s="9">
        <f>MAX(K30:K394)</f>
        <v>1448.5329999999999</v>
      </c>
      <c r="L21" s="9">
        <f t="shared" ref="L21" si="32">MAX(L30:L394)</f>
        <v>309.71199999999999</v>
      </c>
      <c r="M21" s="33"/>
      <c r="N21" s="9">
        <f>MAX(N30:N394)</f>
        <v>87.222999999999999</v>
      </c>
      <c r="O21" s="9">
        <f t="shared" ref="O21" si="33">MAX(O30:O394)</f>
        <v>1815.4109999999998</v>
      </c>
      <c r="R21" s="8" t="s">
        <v>4</v>
      </c>
      <c r="S21" s="60">
        <f>MAX(S30:S394)</f>
        <v>1483.4441277419355</v>
      </c>
      <c r="T21" s="9">
        <f t="shared" ref="T21" si="34">MAX(T30:T394)</f>
        <v>296.73602774193546</v>
      </c>
      <c r="U21" s="33"/>
      <c r="V21" s="9">
        <f>MAX(V30:V394)</f>
        <v>98.315374623655913</v>
      </c>
      <c r="W21" s="9">
        <f t="shared" ref="W21" si="35">MAX(W30:W394)</f>
        <v>1851.3575359139786</v>
      </c>
      <c r="Z21" s="8" t="s">
        <v>4</v>
      </c>
      <c r="AA21" s="60">
        <f>MAX(AA30:AA394)</f>
        <v>1580.4726075268818</v>
      </c>
      <c r="AB21" s="9">
        <f t="shared" ref="AB21" si="36">MAX(AB30:AB394)</f>
        <v>351.42912591397851</v>
      </c>
      <c r="AC21" s="33"/>
      <c r="AD21" s="9">
        <f>MAX(AD30:AD394)</f>
        <v>96.704183225806446</v>
      </c>
      <c r="AE21" s="9">
        <f t="shared" ref="AE21" si="37">MAX(AE30:AE394)</f>
        <v>2009.2925178494622</v>
      </c>
      <c r="AH21" s="8" t="s">
        <v>4</v>
      </c>
      <c r="AI21" s="60">
        <f>MAX(AI30:AI394)</f>
        <v>1551.0004692473119</v>
      </c>
      <c r="AJ21" s="9">
        <f t="shared" ref="AJ21" si="38">MAX(AJ30:AJ394)</f>
        <v>375.3895035483871</v>
      </c>
      <c r="AK21" s="33"/>
      <c r="AL21" s="9">
        <f>MAX(AL30:AL394)</f>
        <v>103.77</v>
      </c>
      <c r="AM21" s="9">
        <f t="shared" ref="AM21" si="39">MAX(AM30:AM394)</f>
        <v>1993.0024330107528</v>
      </c>
      <c r="AP21" s="8" t="s">
        <v>4</v>
      </c>
      <c r="AQ21" s="123">
        <f>MAX(AQ30:AQ395)</f>
        <v>1724.4179999999999</v>
      </c>
      <c r="AR21" s="123">
        <f t="shared" ref="AR21:AU21" si="40">MAX(AR30:AR395)</f>
        <v>385.17669830645161</v>
      </c>
      <c r="AS21" s="123"/>
      <c r="AT21" s="123">
        <f t="shared" si="40"/>
        <v>102.79192193548387</v>
      </c>
      <c r="AU21" s="123">
        <f t="shared" si="40"/>
        <v>2203.4716678763439</v>
      </c>
      <c r="AX21" s="8" t="s">
        <v>4</v>
      </c>
      <c r="AY21" s="124">
        <f>MAX(AY30:AY394)</f>
        <v>1547.21</v>
      </c>
      <c r="AZ21" s="124">
        <f t="shared" ref="AZ21" si="41">MAX(AZ30:AZ394)</f>
        <v>364.63997371182796</v>
      </c>
      <c r="BA21" s="125"/>
      <c r="BB21" s="124">
        <f>MAX(BB30:BB394)</f>
        <v>100.63527967741935</v>
      </c>
      <c r="BC21" s="124">
        <f t="shared" ref="BC21" si="42">MAX(BC30:BC394)</f>
        <v>1977.4933001763441</v>
      </c>
    </row>
    <row r="22" spans="1:56" x14ac:dyDescent="0.3">
      <c r="B22" s="8" t="s">
        <v>15</v>
      </c>
      <c r="C22" s="9">
        <f>MAX(C31:C394)</f>
        <v>1451.96</v>
      </c>
      <c r="D22" s="9">
        <f t="shared" ref="D22:G22" si="43">MAX(D31:D394)</f>
        <v>254</v>
      </c>
      <c r="E22" s="33"/>
      <c r="F22" s="9">
        <f>MAX(F31:F394)</f>
        <v>82</v>
      </c>
      <c r="G22" s="9">
        <f t="shared" si="43"/>
        <v>1766.96</v>
      </c>
      <c r="J22" s="8" t="s">
        <v>15</v>
      </c>
      <c r="K22" s="9">
        <f>MAX(K31:K394)</f>
        <v>1448.5329999999999</v>
      </c>
      <c r="L22" s="9">
        <f t="shared" ref="L22" si="44">MAX(L31:L394)</f>
        <v>309.71199999999999</v>
      </c>
      <c r="M22" s="33"/>
      <c r="N22" s="9">
        <f>MAX(N61:N394)</f>
        <v>87.222999999999999</v>
      </c>
      <c r="O22" s="9">
        <f t="shared" ref="O22" si="45">MAX(O31:O394)</f>
        <v>1815.4109999999998</v>
      </c>
      <c r="R22" s="8" t="s">
        <v>15</v>
      </c>
      <c r="S22" s="60">
        <f>MAX(S31:S394)</f>
        <v>1483.4441277419355</v>
      </c>
      <c r="T22" s="9">
        <f t="shared" ref="T22" si="46">MAX(T31:T394)</f>
        <v>296.73602774193546</v>
      </c>
      <c r="U22" s="33"/>
      <c r="V22" s="9">
        <f>MAX(V61:V394)</f>
        <v>98.315374623655913</v>
      </c>
      <c r="W22" s="9">
        <f t="shared" ref="W22" si="47">MAX(W31:W394)</f>
        <v>1851.3575359139786</v>
      </c>
      <c r="Z22" s="8" t="s">
        <v>15</v>
      </c>
      <c r="AA22" s="60">
        <f>MAX(AA31:AA394)</f>
        <v>1580.4726075268818</v>
      </c>
      <c r="AB22" s="9">
        <f t="shared" ref="AB22" si="48">MAX(AB31:AB394)</f>
        <v>351.42912591397851</v>
      </c>
      <c r="AC22" s="33"/>
      <c r="AD22" s="9">
        <f>MAX(AD61:AD394)</f>
        <v>96.704183225806446</v>
      </c>
      <c r="AE22" s="9">
        <f t="shared" ref="AE22" si="49">MAX(AE31:AE394)</f>
        <v>2009.2925178494622</v>
      </c>
      <c r="AH22" s="8" t="s">
        <v>15</v>
      </c>
      <c r="AI22" s="60">
        <f>MAX(AI31:AI394)</f>
        <v>1551.0004692473119</v>
      </c>
      <c r="AJ22" s="9">
        <f t="shared" ref="AJ22" si="50">MAX(AJ31:AJ394)</f>
        <v>375.3895035483871</v>
      </c>
      <c r="AK22" s="33"/>
      <c r="AL22" s="9">
        <f>MAX(AL61:AL394)</f>
        <v>103.77</v>
      </c>
      <c r="AM22" s="9">
        <f t="shared" ref="AM22" si="51">MAX(AM31:AM394)</f>
        <v>1993.0024330107528</v>
      </c>
      <c r="AP22" s="8" t="s">
        <v>15</v>
      </c>
      <c r="AQ22" s="123">
        <f>MAX(AQ31:AQ395)</f>
        <v>1724.4179999999999</v>
      </c>
      <c r="AR22" s="123">
        <f t="shared" ref="AR22:AU22" si="52">MAX(AR31:AR395)</f>
        <v>385.17669830645161</v>
      </c>
      <c r="AS22" s="123"/>
      <c r="AT22" s="123">
        <f t="shared" si="52"/>
        <v>102.79192193548387</v>
      </c>
      <c r="AU22" s="123">
        <f t="shared" si="52"/>
        <v>2203.4716678763439</v>
      </c>
      <c r="AX22" s="8" t="s">
        <v>15</v>
      </c>
      <c r="AY22" s="124">
        <f>MAX(AY31:AY394)</f>
        <v>1547.21</v>
      </c>
      <c r="AZ22" s="124">
        <f t="shared" ref="AZ22" si="53">MAX(AZ31:AZ394)</f>
        <v>364.63997371182796</v>
      </c>
      <c r="BA22" s="125"/>
      <c r="BB22" s="124">
        <f>MAX(BB61:BB394)</f>
        <v>100.63527967741935</v>
      </c>
      <c r="BC22" s="124">
        <f t="shared" ref="BC22" si="54">MAX(BC31:BC394)</f>
        <v>1977.4933001763441</v>
      </c>
    </row>
    <row r="23" spans="1:56" x14ac:dyDescent="0.3">
      <c r="B23"/>
      <c r="AQ23" s="43"/>
      <c r="AY23" s="43"/>
    </row>
    <row r="24" spans="1:56" x14ac:dyDescent="0.3">
      <c r="B24"/>
      <c r="AQ24" s="43"/>
      <c r="AY24" s="43"/>
    </row>
    <row r="25" spans="1:56" x14ac:dyDescent="0.3">
      <c r="B25"/>
      <c r="AQ25" s="43"/>
      <c r="AY25" s="43"/>
    </row>
    <row r="26" spans="1:56" x14ac:dyDescent="0.3">
      <c r="B26"/>
      <c r="AQ26" s="43"/>
      <c r="AY26" s="43"/>
    </row>
    <row r="27" spans="1:56" ht="25.5" x14ac:dyDescent="0.65">
      <c r="A27" s="17"/>
      <c r="B27" s="13" t="s">
        <v>35</v>
      </c>
      <c r="C27" s="12"/>
      <c r="D27" s="133" t="s">
        <v>43</v>
      </c>
      <c r="E27" s="133"/>
      <c r="F27" s="133"/>
      <c r="H27" s="17"/>
      <c r="J27" s="13" t="s">
        <v>34</v>
      </c>
      <c r="K27" s="12"/>
      <c r="L27" s="133" t="s">
        <v>43</v>
      </c>
      <c r="M27" s="133"/>
      <c r="N27" s="133"/>
      <c r="P27" s="17"/>
      <c r="R27" s="13" t="s">
        <v>37</v>
      </c>
      <c r="S27" s="61"/>
      <c r="T27" s="129" t="s">
        <v>44</v>
      </c>
      <c r="U27" s="129"/>
      <c r="V27" s="129"/>
      <c r="X27" s="17"/>
      <c r="Y27" s="17"/>
      <c r="Z27" s="13" t="s">
        <v>45</v>
      </c>
      <c r="AA27" s="61"/>
      <c r="AB27" s="129" t="s">
        <v>44</v>
      </c>
      <c r="AC27" s="129"/>
      <c r="AD27" s="129"/>
      <c r="AF27" s="17"/>
      <c r="AH27" s="13" t="s">
        <v>52</v>
      </c>
      <c r="AI27" s="61"/>
      <c r="AJ27" s="129" t="s">
        <v>44</v>
      </c>
      <c r="AK27" s="129"/>
      <c r="AL27" s="129"/>
      <c r="AN27" s="17"/>
      <c r="AO27" s="17"/>
      <c r="AP27" s="13" t="s">
        <v>60</v>
      </c>
      <c r="AQ27" s="61"/>
      <c r="AR27" s="129" t="s">
        <v>44</v>
      </c>
      <c r="AS27" s="129"/>
      <c r="AT27" s="129"/>
      <c r="AV27" s="17"/>
      <c r="AW27" s="17"/>
      <c r="AX27" s="13" t="s">
        <v>61</v>
      </c>
      <c r="AY27" s="61"/>
      <c r="AZ27" s="129" t="s">
        <v>44</v>
      </c>
      <c r="BA27" s="129"/>
      <c r="BB27" s="129"/>
      <c r="BD27" s="17"/>
    </row>
    <row r="28" spans="1:56" ht="13.5" customHeight="1" x14ac:dyDescent="0.3">
      <c r="A28" s="17"/>
      <c r="B28" s="128" t="s">
        <v>0</v>
      </c>
      <c r="C28" s="127" t="s">
        <v>24</v>
      </c>
      <c r="D28" s="131" t="s">
        <v>25</v>
      </c>
      <c r="E28" s="132"/>
      <c r="F28" s="127" t="s">
        <v>26</v>
      </c>
      <c r="G28" s="128" t="s">
        <v>20</v>
      </c>
      <c r="H28" s="31" t="s">
        <v>21</v>
      </c>
      <c r="I28" s="14"/>
      <c r="J28" s="128" t="s">
        <v>0</v>
      </c>
      <c r="K28" s="127" t="s">
        <v>30</v>
      </c>
      <c r="L28" s="131" t="s">
        <v>31</v>
      </c>
      <c r="M28" s="132"/>
      <c r="N28" s="127" t="s">
        <v>32</v>
      </c>
      <c r="O28" s="128" t="s">
        <v>33</v>
      </c>
      <c r="P28" s="31" t="s">
        <v>21</v>
      </c>
      <c r="Q28" s="14"/>
      <c r="R28" s="128" t="s">
        <v>0</v>
      </c>
      <c r="S28" s="130" t="s">
        <v>38</v>
      </c>
      <c r="T28" s="131" t="s">
        <v>39</v>
      </c>
      <c r="U28" s="132"/>
      <c r="V28" s="127" t="s">
        <v>40</v>
      </c>
      <c r="W28" s="128" t="s">
        <v>41</v>
      </c>
      <c r="X28" s="31" t="s">
        <v>44</v>
      </c>
      <c r="Y28" s="17"/>
      <c r="Z28" s="128" t="s">
        <v>0</v>
      </c>
      <c r="AA28" s="130" t="s">
        <v>46</v>
      </c>
      <c r="AB28" s="131" t="s">
        <v>47</v>
      </c>
      <c r="AC28" s="132"/>
      <c r="AD28" s="127" t="s">
        <v>48</v>
      </c>
      <c r="AE28" s="128" t="s">
        <v>49</v>
      </c>
      <c r="AF28" s="31" t="s">
        <v>44</v>
      </c>
      <c r="AH28" s="128" t="s">
        <v>0</v>
      </c>
      <c r="AI28" s="130" t="s">
        <v>53</v>
      </c>
      <c r="AJ28" s="131" t="s">
        <v>54</v>
      </c>
      <c r="AK28" s="132"/>
      <c r="AL28" s="127" t="s">
        <v>55</v>
      </c>
      <c r="AM28" s="128" t="s">
        <v>56</v>
      </c>
      <c r="AN28" s="31" t="s">
        <v>44</v>
      </c>
      <c r="AO28" s="17"/>
      <c r="AP28" s="128" t="s">
        <v>0</v>
      </c>
      <c r="AQ28" s="130" t="s">
        <v>65</v>
      </c>
      <c r="AR28" s="131" t="s">
        <v>62</v>
      </c>
      <c r="AS28" s="132"/>
      <c r="AT28" s="127" t="s">
        <v>63</v>
      </c>
      <c r="AU28" s="128" t="s">
        <v>64</v>
      </c>
      <c r="AV28" s="31" t="s">
        <v>44</v>
      </c>
      <c r="AW28" s="17"/>
      <c r="AX28" s="128" t="s">
        <v>0</v>
      </c>
      <c r="AY28" s="130" t="s">
        <v>67</v>
      </c>
      <c r="AZ28" s="131" t="s">
        <v>66</v>
      </c>
      <c r="BA28" s="132"/>
      <c r="BB28" s="127" t="s">
        <v>68</v>
      </c>
      <c r="BC28" s="128" t="s">
        <v>69</v>
      </c>
      <c r="BD28" s="31" t="s">
        <v>44</v>
      </c>
    </row>
    <row r="29" spans="1:56" ht="13.5" customHeight="1" x14ac:dyDescent="0.3">
      <c r="A29" s="17"/>
      <c r="B29" s="128"/>
      <c r="C29" s="127"/>
      <c r="D29" s="34" t="s">
        <v>27</v>
      </c>
      <c r="E29" s="34" t="s">
        <v>28</v>
      </c>
      <c r="F29" s="127"/>
      <c r="G29" s="128"/>
      <c r="H29" s="17">
        <f>SUM(H30:H394)</f>
        <v>1</v>
      </c>
      <c r="J29" s="128"/>
      <c r="K29" s="127"/>
      <c r="L29" s="34" t="s">
        <v>27</v>
      </c>
      <c r="M29" s="34" t="s">
        <v>28</v>
      </c>
      <c r="N29" s="127"/>
      <c r="O29" s="128"/>
      <c r="P29" s="17">
        <f>SUM(P30:P394)</f>
        <v>3</v>
      </c>
      <c r="R29" s="128"/>
      <c r="S29" s="130"/>
      <c r="T29" s="34" t="s">
        <v>27</v>
      </c>
      <c r="U29" s="34" t="s">
        <v>28</v>
      </c>
      <c r="V29" s="127"/>
      <c r="W29" s="128"/>
      <c r="X29" s="17">
        <f>SUM(X30:X394)</f>
        <v>98</v>
      </c>
      <c r="Y29" s="17"/>
      <c r="Z29" s="128"/>
      <c r="AA29" s="130"/>
      <c r="AB29" s="34" t="s">
        <v>27</v>
      </c>
      <c r="AC29" s="34" t="s">
        <v>28</v>
      </c>
      <c r="AD29" s="127"/>
      <c r="AE29" s="128"/>
      <c r="AF29" s="17">
        <f>SUM(AF30:AF394)</f>
        <v>121</v>
      </c>
      <c r="AH29" s="128"/>
      <c r="AI29" s="130"/>
      <c r="AJ29" s="34" t="s">
        <v>27</v>
      </c>
      <c r="AK29" s="34" t="s">
        <v>28</v>
      </c>
      <c r="AL29" s="127"/>
      <c r="AM29" s="128"/>
      <c r="AN29" s="17">
        <f>SUM(AN30:AN394)</f>
        <v>157</v>
      </c>
      <c r="AO29" s="17"/>
      <c r="AP29" s="128"/>
      <c r="AQ29" s="130"/>
      <c r="AR29" s="34" t="s">
        <v>27</v>
      </c>
      <c r="AS29" s="34" t="s">
        <v>28</v>
      </c>
      <c r="AT29" s="127"/>
      <c r="AU29" s="128"/>
      <c r="AV29" s="17">
        <f>SUM(AV30:AV394)</f>
        <v>155</v>
      </c>
      <c r="AW29" s="17"/>
      <c r="AX29" s="128"/>
      <c r="AY29" s="130"/>
      <c r="AZ29" s="34" t="s">
        <v>27</v>
      </c>
      <c r="BA29" s="34" t="s">
        <v>28</v>
      </c>
      <c r="BB29" s="127"/>
      <c r="BC29" s="128"/>
      <c r="BD29" s="17">
        <f>SUM(BD30:BD394)</f>
        <v>94</v>
      </c>
    </row>
    <row r="30" spans="1:56" x14ac:dyDescent="0.3">
      <c r="A30" s="17"/>
      <c r="B30" s="1">
        <v>43466</v>
      </c>
      <c r="C30" s="35">
        <v>650</v>
      </c>
      <c r="D30" s="35">
        <v>128</v>
      </c>
      <c r="E30" s="35"/>
      <c r="F30" s="35">
        <v>36</v>
      </c>
      <c r="G30" s="7">
        <f t="shared" ref="G30:G61" si="55">SUM(C30:F30)</f>
        <v>814</v>
      </c>
      <c r="H30" s="17">
        <f t="shared" ref="H30:H61" si="56">IF(G30&gt;1476,1,0)</f>
        <v>0</v>
      </c>
      <c r="J30" s="1">
        <v>43831</v>
      </c>
      <c r="K30" s="101">
        <v>439.26100000000002</v>
      </c>
      <c r="L30" s="101">
        <v>87.22</v>
      </c>
      <c r="M30" s="101"/>
      <c r="N30" s="45">
        <v>27.663</v>
      </c>
      <c r="O30" s="7">
        <f t="shared" ref="O30:O93" si="57">SUM(K30:N30)</f>
        <v>554.14400000000001</v>
      </c>
      <c r="P30" s="17">
        <f>IF(O30&gt;1476,1,0)</f>
        <v>0</v>
      </c>
      <c r="R30" s="1">
        <v>44197</v>
      </c>
      <c r="S30" s="43">
        <v>450.65025161290322</v>
      </c>
      <c r="T30" s="44">
        <v>83.607435483870958</v>
      </c>
      <c r="V30" s="82">
        <v>31.767789677419355</v>
      </c>
      <c r="W30" s="7">
        <f t="shared" ref="W30:W93" si="58">SUM(S30:V30)</f>
        <v>566.02547677419352</v>
      </c>
      <c r="X30" s="17">
        <f>IF(W30&gt;1476,1,0)</f>
        <v>0</v>
      </c>
      <c r="Y30" s="17"/>
      <c r="Z30" s="1">
        <v>44562</v>
      </c>
      <c r="AA30" s="101">
        <v>591.20998795698927</v>
      </c>
      <c r="AB30" s="101">
        <v>134.29979612903225</v>
      </c>
      <c r="AC30" s="101"/>
      <c r="AD30" s="101">
        <v>32.921539354838707</v>
      </c>
      <c r="AE30" s="101">
        <f t="shared" ref="AE30:AE93" si="59">SUM(AA30:AD30)</f>
        <v>758.43132344086018</v>
      </c>
      <c r="AF30" s="17">
        <f>IF(AE30&gt;1476,1,0)</f>
        <v>0</v>
      </c>
      <c r="AH30" s="1">
        <v>44927</v>
      </c>
      <c r="AI30" s="44">
        <v>655.13004032258061</v>
      </c>
      <c r="AJ30" s="44">
        <v>146.95991892473117</v>
      </c>
      <c r="AK30" s="44"/>
      <c r="AL30" s="44">
        <v>38.361660967741933</v>
      </c>
      <c r="AM30" s="44">
        <f t="shared" ref="AM30:AM93" si="60">SUM(AI30:AL30)</f>
        <v>840.45162021505371</v>
      </c>
      <c r="AN30" s="17">
        <f>IF(AM30&gt;1476,1,0)</f>
        <v>0</v>
      </c>
      <c r="AO30" s="17"/>
      <c r="AP30" s="1">
        <v>45292</v>
      </c>
      <c r="AQ30" s="44">
        <v>482.20482247311827</v>
      </c>
      <c r="AR30" s="44">
        <v>100.30888397849462</v>
      </c>
      <c r="AS30" s="44"/>
      <c r="AT30" s="44">
        <v>31.99496559139785</v>
      </c>
      <c r="AU30" s="44">
        <f t="shared" ref="AU30:AU93" si="61">SUM(AQ30:AT30)</f>
        <v>614.50867204301073</v>
      </c>
      <c r="AV30" s="17">
        <f>IF(AU30&gt;1476,1,0)</f>
        <v>0</v>
      </c>
      <c r="AW30" s="17"/>
      <c r="AX30" s="1">
        <v>45658</v>
      </c>
      <c r="AY30" s="44">
        <v>488.86700000000002</v>
      </c>
      <c r="AZ30" s="44">
        <v>122.411072</v>
      </c>
      <c r="BA30" s="44"/>
      <c r="BB30" s="44">
        <v>27.133787526881722</v>
      </c>
      <c r="BC30" s="44">
        <f t="shared" ref="BC30:BC93" si="62">SUM(AY30:BB30)</f>
        <v>638.41185952688181</v>
      </c>
      <c r="BD30" s="17">
        <f>IF(BC30&gt;1476,1,0)</f>
        <v>0</v>
      </c>
    </row>
    <row r="31" spans="1:56" x14ac:dyDescent="0.3">
      <c r="A31" s="17"/>
      <c r="B31" s="1">
        <v>43467</v>
      </c>
      <c r="C31" s="35">
        <v>799</v>
      </c>
      <c r="D31" s="35">
        <v>144</v>
      </c>
      <c r="E31" s="35"/>
      <c r="F31" s="35">
        <v>48</v>
      </c>
      <c r="G31" s="7">
        <f t="shared" si="55"/>
        <v>991</v>
      </c>
      <c r="H31" s="17">
        <f t="shared" si="56"/>
        <v>0</v>
      </c>
      <c r="J31" s="1">
        <v>43832</v>
      </c>
      <c r="K31" s="101">
        <v>545.52600000000007</v>
      </c>
      <c r="L31" s="101">
        <v>111.002</v>
      </c>
      <c r="M31" s="101"/>
      <c r="N31" s="45">
        <v>40.341000000000001</v>
      </c>
      <c r="O31" s="7">
        <f t="shared" si="57"/>
        <v>696.86900000000003</v>
      </c>
      <c r="P31" s="17">
        <f t="shared" ref="P31:P94" si="63">IF(O31&gt;1476,1,0)</f>
        <v>0</v>
      </c>
      <c r="R31" s="1">
        <f>R30+1</f>
        <v>44198</v>
      </c>
      <c r="S31" s="43">
        <v>555.94460430107517</v>
      </c>
      <c r="T31" s="44">
        <v>106.79435666666666</v>
      </c>
      <c r="V31" s="82">
        <v>44.175959999999996</v>
      </c>
      <c r="W31" s="7">
        <f t="shared" si="58"/>
        <v>706.91492096774186</v>
      </c>
      <c r="X31" s="17">
        <f t="shared" ref="X31:X94" si="64">IF(W31&gt;1476,1,0)</f>
        <v>0</v>
      </c>
      <c r="Y31" s="17"/>
      <c r="Z31" s="1">
        <f>Z30+1</f>
        <v>44563</v>
      </c>
      <c r="AA31" s="101">
        <v>679.70034473118278</v>
      </c>
      <c r="AB31" s="101">
        <v>152.70916989247311</v>
      </c>
      <c r="AC31" s="101"/>
      <c r="AD31" s="101">
        <v>40.532427096774192</v>
      </c>
      <c r="AE31" s="101">
        <f t="shared" si="59"/>
        <v>872.94194172043012</v>
      </c>
      <c r="AF31" s="17">
        <f t="shared" ref="AF31:AF94" si="65">IF(AE31&gt;1476,1,0)</f>
        <v>0</v>
      </c>
      <c r="AH31" s="1">
        <f>AH30+1</f>
        <v>44928</v>
      </c>
      <c r="AI31" s="44">
        <v>827.24981720430105</v>
      </c>
      <c r="AJ31" s="44">
        <v>169.13330064516128</v>
      </c>
      <c r="AK31" s="44"/>
      <c r="AL31" s="44">
        <v>41.141772903225807</v>
      </c>
      <c r="AM31" s="44">
        <f t="shared" si="60"/>
        <v>1037.5248907526882</v>
      </c>
      <c r="AN31" s="17">
        <f t="shared" ref="AN31:AN94" si="66">IF(AM31&gt;1476,1,0)</f>
        <v>0</v>
      </c>
      <c r="AO31" s="17"/>
      <c r="AP31" s="1">
        <f>AP30+1</f>
        <v>45293</v>
      </c>
      <c r="AQ31" s="44">
        <v>539.90671580645164</v>
      </c>
      <c r="AR31" s="44">
        <v>110.8799370967742</v>
      </c>
      <c r="AS31" s="44"/>
      <c r="AT31" s="44">
        <v>37.741989892473121</v>
      </c>
      <c r="AU31" s="44">
        <f t="shared" si="61"/>
        <v>688.52864279569894</v>
      </c>
      <c r="AV31" s="17">
        <f t="shared" ref="AV31:AV94" si="67">IF(AU31&gt;1476,1,0)</f>
        <v>0</v>
      </c>
      <c r="AW31" s="17"/>
      <c r="AX31" s="1">
        <f>AX30+1</f>
        <v>45659</v>
      </c>
      <c r="AY31" s="44">
        <v>571.13199999999995</v>
      </c>
      <c r="AZ31" s="44">
        <v>150.92124179999999</v>
      </c>
      <c r="BA31" s="44"/>
      <c r="BB31" s="44">
        <v>46.320258924731185</v>
      </c>
      <c r="BC31" s="44">
        <f t="shared" si="62"/>
        <v>768.37350072473112</v>
      </c>
      <c r="BD31" s="17">
        <f t="shared" ref="BD31:BD94" si="68">IF(BC31&gt;1476,1,0)</f>
        <v>0</v>
      </c>
    </row>
    <row r="32" spans="1:56" x14ac:dyDescent="0.3">
      <c r="A32" s="17"/>
      <c r="B32" s="1">
        <v>43468</v>
      </c>
      <c r="C32" s="35">
        <v>715</v>
      </c>
      <c r="D32" s="35">
        <v>140</v>
      </c>
      <c r="E32" s="35"/>
      <c r="F32" s="35">
        <v>51</v>
      </c>
      <c r="G32" s="7">
        <f t="shared" si="55"/>
        <v>906</v>
      </c>
      <c r="H32" s="17">
        <f t="shared" si="56"/>
        <v>0</v>
      </c>
      <c r="J32" s="1">
        <v>43833</v>
      </c>
      <c r="K32" s="101">
        <v>641.01700000000005</v>
      </c>
      <c r="L32" s="101">
        <v>148.94299999999998</v>
      </c>
      <c r="M32" s="101"/>
      <c r="N32" s="45">
        <v>49.537999999999997</v>
      </c>
      <c r="O32" s="7">
        <f t="shared" si="57"/>
        <v>839.49800000000005</v>
      </c>
      <c r="P32" s="17">
        <f t="shared" si="63"/>
        <v>0</v>
      </c>
      <c r="R32" s="1">
        <f t="shared" ref="R32:R95" si="69">R31+1</f>
        <v>44199</v>
      </c>
      <c r="S32" s="43">
        <v>636.80492043010747</v>
      </c>
      <c r="T32" s="44">
        <v>125.87304408602149</v>
      </c>
      <c r="V32" s="82">
        <v>46.806209032258067</v>
      </c>
      <c r="W32" s="7">
        <f t="shared" si="58"/>
        <v>809.48417354838705</v>
      </c>
      <c r="X32" s="17">
        <f t="shared" si="64"/>
        <v>0</v>
      </c>
      <c r="Y32" s="17"/>
      <c r="Z32" s="1">
        <f t="shared" ref="Z32:Z95" si="70">Z31+1</f>
        <v>44564</v>
      </c>
      <c r="AA32" s="101">
        <v>830.71039462365593</v>
      </c>
      <c r="AB32" s="101">
        <v>176.72708215053763</v>
      </c>
      <c r="AC32" s="101"/>
      <c r="AD32" s="101">
        <v>49.100841290322577</v>
      </c>
      <c r="AE32" s="101">
        <f t="shared" si="59"/>
        <v>1056.538318064516</v>
      </c>
      <c r="AF32" s="17">
        <f t="shared" si="65"/>
        <v>0</v>
      </c>
      <c r="AH32" s="1">
        <f t="shared" ref="AH32:AH95" si="71">AH31+1</f>
        <v>44929</v>
      </c>
      <c r="AI32" s="44">
        <v>834.24107258064521</v>
      </c>
      <c r="AJ32" s="44">
        <v>169.99449655913978</v>
      </c>
      <c r="AK32" s="44"/>
      <c r="AL32" s="44">
        <v>52.978555268817203</v>
      </c>
      <c r="AM32" s="44">
        <f t="shared" si="60"/>
        <v>1057.2141244086022</v>
      </c>
      <c r="AN32" s="17">
        <f t="shared" si="66"/>
        <v>0</v>
      </c>
      <c r="AO32" s="17"/>
      <c r="AP32" s="1">
        <f t="shared" ref="AP32:AP95" si="72">AP31+1</f>
        <v>45294</v>
      </c>
      <c r="AQ32" s="44">
        <v>641.66025354838712</v>
      </c>
      <c r="AR32" s="44">
        <v>122.50320623655914</v>
      </c>
      <c r="AS32" s="44"/>
      <c r="AT32" s="44">
        <v>48.670280430107525</v>
      </c>
      <c r="AU32" s="44">
        <f t="shared" si="61"/>
        <v>812.83374021505369</v>
      </c>
      <c r="AV32" s="17">
        <f t="shared" si="67"/>
        <v>0</v>
      </c>
      <c r="AW32" s="17"/>
      <c r="AX32" s="1">
        <f t="shared" ref="AX32:AX95" si="73">AX31+1</f>
        <v>45660</v>
      </c>
      <c r="AY32" s="44">
        <v>612.73800000000006</v>
      </c>
      <c r="AZ32" s="44">
        <v>158.54805450000001</v>
      </c>
      <c r="BA32" s="44"/>
      <c r="BB32" s="44">
        <v>51.356816236559141</v>
      </c>
      <c r="BC32" s="44">
        <f t="shared" si="62"/>
        <v>822.64287073655919</v>
      </c>
      <c r="BD32" s="17">
        <f t="shared" si="68"/>
        <v>0</v>
      </c>
    </row>
    <row r="33" spans="1:56" x14ac:dyDescent="0.3">
      <c r="A33" s="17"/>
      <c r="B33" s="1">
        <v>43469</v>
      </c>
      <c r="C33" s="35">
        <v>750</v>
      </c>
      <c r="D33" s="35">
        <v>139</v>
      </c>
      <c r="E33" s="35"/>
      <c r="F33" s="35">
        <v>51</v>
      </c>
      <c r="G33" s="7">
        <f t="shared" si="55"/>
        <v>940</v>
      </c>
      <c r="H33" s="17">
        <f t="shared" si="56"/>
        <v>0</v>
      </c>
      <c r="J33" s="1">
        <v>43834</v>
      </c>
      <c r="K33" s="101">
        <v>624.36750000000006</v>
      </c>
      <c r="L33" s="101">
        <v>145.947</v>
      </c>
      <c r="M33" s="101"/>
      <c r="N33" s="45">
        <v>49.601999999999997</v>
      </c>
      <c r="O33" s="7">
        <f t="shared" si="57"/>
        <v>819.91650000000004</v>
      </c>
      <c r="P33" s="17">
        <f t="shared" si="63"/>
        <v>0</v>
      </c>
      <c r="R33" s="1">
        <f t="shared" si="69"/>
        <v>44200</v>
      </c>
      <c r="S33" s="43">
        <v>720.68435483870962</v>
      </c>
      <c r="T33" s="44">
        <v>134.12376419354837</v>
      </c>
      <c r="V33" s="82">
        <v>57.891212903225806</v>
      </c>
      <c r="W33" s="7">
        <f t="shared" si="58"/>
        <v>912.69933193548377</v>
      </c>
      <c r="X33" s="17">
        <f t="shared" si="64"/>
        <v>0</v>
      </c>
      <c r="Y33" s="17"/>
      <c r="Z33" s="1">
        <f t="shared" si="70"/>
        <v>44565</v>
      </c>
      <c r="AA33" s="101">
        <v>861.39921139784951</v>
      </c>
      <c r="AB33" s="101">
        <v>190.32394795698926</v>
      </c>
      <c r="AC33" s="101"/>
      <c r="AD33" s="101">
        <v>55.688794838709676</v>
      </c>
      <c r="AE33" s="101">
        <f t="shared" si="59"/>
        <v>1107.4119541935486</v>
      </c>
      <c r="AF33" s="17">
        <f t="shared" si="65"/>
        <v>0</v>
      </c>
      <c r="AH33" s="1">
        <f t="shared" si="71"/>
        <v>44930</v>
      </c>
      <c r="AI33" s="44">
        <v>765.96454301075266</v>
      </c>
      <c r="AJ33" s="44">
        <v>176.05718709677419</v>
      </c>
      <c r="AK33" s="44"/>
      <c r="AL33" s="44">
        <v>52.719639139784945</v>
      </c>
      <c r="AM33" s="44">
        <f t="shared" si="60"/>
        <v>994.74136924731181</v>
      </c>
      <c r="AN33" s="17">
        <f t="shared" si="66"/>
        <v>0</v>
      </c>
      <c r="AO33" s="17"/>
      <c r="AP33" s="1">
        <f t="shared" si="72"/>
        <v>45295</v>
      </c>
      <c r="AQ33" s="44">
        <v>720.17839548387099</v>
      </c>
      <c r="AR33" s="44">
        <v>129.83306731182796</v>
      </c>
      <c r="AS33" s="44"/>
      <c r="AT33" s="44">
        <v>52.492649677419358</v>
      </c>
      <c r="AU33" s="44">
        <f t="shared" si="61"/>
        <v>902.5041124731182</v>
      </c>
      <c r="AV33" s="17">
        <f t="shared" si="67"/>
        <v>0</v>
      </c>
      <c r="AW33" s="17"/>
      <c r="AX33" s="1">
        <f t="shared" si="73"/>
        <v>45661</v>
      </c>
      <c r="AY33" s="44">
        <v>572.60900000000004</v>
      </c>
      <c r="AZ33" s="44">
        <v>145.847691</v>
      </c>
      <c r="BA33" s="44"/>
      <c r="BB33" s="44">
        <v>48.862965806451612</v>
      </c>
      <c r="BC33" s="44">
        <f t="shared" si="62"/>
        <v>767.31965680645169</v>
      </c>
      <c r="BD33" s="17">
        <f t="shared" si="68"/>
        <v>0</v>
      </c>
    </row>
    <row r="34" spans="1:56" x14ac:dyDescent="0.3">
      <c r="A34" s="17"/>
      <c r="B34" s="1">
        <v>43470</v>
      </c>
      <c r="C34" s="35">
        <v>718</v>
      </c>
      <c r="D34" s="35">
        <v>141</v>
      </c>
      <c r="E34" s="35"/>
      <c r="F34" s="35">
        <v>50</v>
      </c>
      <c r="G34" s="7">
        <f t="shared" si="55"/>
        <v>909</v>
      </c>
      <c r="H34" s="17">
        <f t="shared" si="56"/>
        <v>0</v>
      </c>
      <c r="J34" s="1">
        <v>43835</v>
      </c>
      <c r="K34" s="101">
        <v>639.05849999999998</v>
      </c>
      <c r="L34" s="101">
        <v>130.95999999999998</v>
      </c>
      <c r="M34" s="101"/>
      <c r="N34" s="45">
        <v>43.548999999999999</v>
      </c>
      <c r="O34" s="7">
        <f t="shared" si="57"/>
        <v>813.56749999999988</v>
      </c>
      <c r="P34" s="17">
        <f t="shared" si="63"/>
        <v>0</v>
      </c>
      <c r="R34" s="1">
        <f t="shared" si="69"/>
        <v>44201</v>
      </c>
      <c r="S34" s="43">
        <v>656.72069032258059</v>
      </c>
      <c r="T34" s="44">
        <v>137.82615677419355</v>
      </c>
      <c r="V34" s="82">
        <v>57.687483870967739</v>
      </c>
      <c r="W34" s="7">
        <f t="shared" si="58"/>
        <v>852.23433096774193</v>
      </c>
      <c r="X34" s="17">
        <f t="shared" si="64"/>
        <v>0</v>
      </c>
      <c r="Y34" s="17"/>
      <c r="Z34" s="1">
        <f t="shared" si="70"/>
        <v>44566</v>
      </c>
      <c r="AA34" s="101">
        <v>700.67592924731184</v>
      </c>
      <c r="AB34" s="101">
        <v>153.4574593548387</v>
      </c>
      <c r="AC34" s="101"/>
      <c r="AD34" s="101">
        <v>47.024949677419357</v>
      </c>
      <c r="AE34" s="101">
        <f t="shared" si="59"/>
        <v>901.15833827956988</v>
      </c>
      <c r="AF34" s="17">
        <f t="shared" si="65"/>
        <v>0</v>
      </c>
      <c r="AH34" s="1">
        <f t="shared" si="71"/>
        <v>44931</v>
      </c>
      <c r="AI34" s="44">
        <v>678.07493279569894</v>
      </c>
      <c r="AJ34" s="44">
        <v>141.26830408602152</v>
      </c>
      <c r="AK34" s="44"/>
      <c r="AL34" s="44">
        <v>49.642852473118282</v>
      </c>
      <c r="AM34" s="44">
        <f t="shared" si="60"/>
        <v>868.98608935483878</v>
      </c>
      <c r="AN34" s="17">
        <f t="shared" si="66"/>
        <v>0</v>
      </c>
      <c r="AO34" s="17"/>
      <c r="AP34" s="1">
        <f t="shared" si="72"/>
        <v>45296</v>
      </c>
      <c r="AQ34" s="44">
        <v>721.84873483870967</v>
      </c>
      <c r="AR34" s="44">
        <v>157.39542290322581</v>
      </c>
      <c r="AS34" s="44"/>
      <c r="AT34" s="44">
        <v>56.305320215053762</v>
      </c>
      <c r="AU34" s="44">
        <f t="shared" si="61"/>
        <v>935.54947795698922</v>
      </c>
      <c r="AV34" s="17">
        <f t="shared" si="67"/>
        <v>0</v>
      </c>
      <c r="AW34" s="17"/>
      <c r="AX34" s="1">
        <f t="shared" si="73"/>
        <v>45662</v>
      </c>
      <c r="AY34" s="44">
        <v>516.13699999999994</v>
      </c>
      <c r="AZ34" s="44">
        <v>126.23622</v>
      </c>
      <c r="BA34" s="44"/>
      <c r="BB34" s="44">
        <v>42.698367311827958</v>
      </c>
      <c r="BC34" s="44">
        <f t="shared" si="62"/>
        <v>685.0715873118279</v>
      </c>
      <c r="BD34" s="17">
        <f t="shared" si="68"/>
        <v>0</v>
      </c>
    </row>
    <row r="35" spans="1:56" x14ac:dyDescent="0.3">
      <c r="A35" s="17"/>
      <c r="B35" s="1">
        <v>43471</v>
      </c>
      <c r="C35" s="35">
        <v>692</v>
      </c>
      <c r="D35" s="35">
        <v>130</v>
      </c>
      <c r="E35" s="35"/>
      <c r="F35" s="35">
        <v>40</v>
      </c>
      <c r="G35" s="7">
        <f t="shared" si="55"/>
        <v>862</v>
      </c>
      <c r="H35" s="17">
        <f t="shared" si="56"/>
        <v>0</v>
      </c>
      <c r="J35" s="1">
        <v>43836</v>
      </c>
      <c r="K35" s="101">
        <v>698.80200000000002</v>
      </c>
      <c r="L35" s="101">
        <v>134.15300000000002</v>
      </c>
      <c r="M35" s="101"/>
      <c r="N35" s="45">
        <v>57.741999999999997</v>
      </c>
      <c r="O35" s="7">
        <f t="shared" si="57"/>
        <v>890.697</v>
      </c>
      <c r="P35" s="17">
        <f t="shared" si="63"/>
        <v>0</v>
      </c>
      <c r="R35" s="1">
        <f t="shared" si="69"/>
        <v>44202</v>
      </c>
      <c r="S35" s="43">
        <v>647.75703225806456</v>
      </c>
      <c r="T35" s="44">
        <v>129.54637387096773</v>
      </c>
      <c r="V35" s="82">
        <v>54.513600000000004</v>
      </c>
      <c r="W35" s="7">
        <f t="shared" si="58"/>
        <v>831.81700612903228</v>
      </c>
      <c r="X35" s="17">
        <f t="shared" si="64"/>
        <v>0</v>
      </c>
      <c r="Y35" s="17"/>
      <c r="Z35" s="1">
        <f t="shared" si="70"/>
        <v>44567</v>
      </c>
      <c r="AA35" s="101">
        <v>605.64241440860212</v>
      </c>
      <c r="AB35" s="101">
        <v>125.05463311827957</v>
      </c>
      <c r="AC35" s="101"/>
      <c r="AD35" s="101">
        <v>46.805136774193549</v>
      </c>
      <c r="AE35" s="101">
        <f t="shared" si="59"/>
        <v>777.5021843010752</v>
      </c>
      <c r="AF35" s="17">
        <f t="shared" si="65"/>
        <v>0</v>
      </c>
      <c r="AH35" s="1">
        <f t="shared" si="71"/>
        <v>44932</v>
      </c>
      <c r="AI35" s="44">
        <v>658.31030913978498</v>
      </c>
      <c r="AJ35" s="44">
        <v>140.46180430107526</v>
      </c>
      <c r="AK35" s="44"/>
      <c r="AL35" s="44">
        <v>52.817811505376341</v>
      </c>
      <c r="AM35" s="44">
        <f t="shared" si="60"/>
        <v>851.58992494623658</v>
      </c>
      <c r="AN35" s="17">
        <f t="shared" si="66"/>
        <v>0</v>
      </c>
      <c r="AO35" s="17"/>
      <c r="AP35" s="1">
        <f t="shared" si="72"/>
        <v>45297</v>
      </c>
      <c r="AQ35" s="44">
        <v>725.67507182795703</v>
      </c>
      <c r="AR35" s="44">
        <v>149.30568462365591</v>
      </c>
      <c r="AS35" s="44"/>
      <c r="AT35" s="44">
        <v>57.18143698924731</v>
      </c>
      <c r="AU35" s="44">
        <f t="shared" si="61"/>
        <v>932.16219344086028</v>
      </c>
      <c r="AV35" s="17">
        <f t="shared" si="67"/>
        <v>0</v>
      </c>
      <c r="AW35" s="17"/>
      <c r="AX35" s="1">
        <f t="shared" si="73"/>
        <v>45663</v>
      </c>
      <c r="AY35" s="44">
        <v>617.02499999999998</v>
      </c>
      <c r="AZ35" s="44">
        <v>157.10313959999999</v>
      </c>
      <c r="BA35" s="44"/>
      <c r="BB35" s="44">
        <v>51.830180967741939</v>
      </c>
      <c r="BC35" s="44">
        <f t="shared" si="62"/>
        <v>825.95832056774191</v>
      </c>
      <c r="BD35" s="17">
        <f t="shared" si="68"/>
        <v>0</v>
      </c>
    </row>
    <row r="36" spans="1:56" x14ac:dyDescent="0.3">
      <c r="A36" s="17"/>
      <c r="B36" s="1">
        <v>43472</v>
      </c>
      <c r="C36" s="35">
        <v>748</v>
      </c>
      <c r="D36" s="35">
        <v>150</v>
      </c>
      <c r="E36" s="35"/>
      <c r="F36" s="35">
        <v>46</v>
      </c>
      <c r="G36" s="7">
        <f t="shared" si="55"/>
        <v>944</v>
      </c>
      <c r="H36" s="17">
        <f t="shared" si="56"/>
        <v>0</v>
      </c>
      <c r="J36" s="1">
        <v>43837</v>
      </c>
      <c r="K36" s="101">
        <v>645.42450000000008</v>
      </c>
      <c r="L36" s="101">
        <v>118.542</v>
      </c>
      <c r="M36" s="101"/>
      <c r="N36" s="45">
        <v>55.122</v>
      </c>
      <c r="O36" s="7">
        <f t="shared" si="57"/>
        <v>819.08850000000007</v>
      </c>
      <c r="P36" s="17">
        <f t="shared" si="63"/>
        <v>0</v>
      </c>
      <c r="R36" s="1">
        <f t="shared" si="69"/>
        <v>44203</v>
      </c>
      <c r="S36" s="43">
        <v>638.51228387096774</v>
      </c>
      <c r="T36" s="44">
        <v>144.19713677419355</v>
      </c>
      <c r="V36" s="82">
        <v>55.194483870967744</v>
      </c>
      <c r="W36" s="7">
        <f t="shared" si="58"/>
        <v>837.90390451612905</v>
      </c>
      <c r="X36" s="17">
        <f t="shared" si="64"/>
        <v>0</v>
      </c>
      <c r="Y36" s="17"/>
      <c r="Z36" s="1">
        <f t="shared" si="70"/>
        <v>44568</v>
      </c>
      <c r="AA36" s="101">
        <v>766.59577419354844</v>
      </c>
      <c r="AB36" s="101">
        <v>137.10821677419355</v>
      </c>
      <c r="AC36" s="101"/>
      <c r="AD36" s="101">
        <v>52.415190967741935</v>
      </c>
      <c r="AE36" s="101">
        <f t="shared" si="59"/>
        <v>956.11918193548399</v>
      </c>
      <c r="AF36" s="17">
        <f t="shared" si="65"/>
        <v>0</v>
      </c>
      <c r="AH36" s="1">
        <f t="shared" si="71"/>
        <v>44933</v>
      </c>
      <c r="AI36" s="44">
        <v>570.19124999999997</v>
      </c>
      <c r="AJ36" s="44">
        <v>127.20603655913979</v>
      </c>
      <c r="AK36" s="44"/>
      <c r="AL36" s="44">
        <v>48.724779032258063</v>
      </c>
      <c r="AM36" s="44">
        <f t="shared" si="60"/>
        <v>746.12206559139781</v>
      </c>
      <c r="AN36" s="17">
        <f t="shared" si="66"/>
        <v>0</v>
      </c>
      <c r="AO36" s="17"/>
      <c r="AP36" s="1">
        <f t="shared" si="72"/>
        <v>45298</v>
      </c>
      <c r="AQ36" s="44">
        <v>641.0130478494624</v>
      </c>
      <c r="AR36" s="44">
        <v>148.36551483870969</v>
      </c>
      <c r="AS36" s="44"/>
      <c r="AT36" s="44">
        <v>49.3578111827957</v>
      </c>
      <c r="AU36" s="44">
        <f t="shared" si="61"/>
        <v>838.73637387096778</v>
      </c>
      <c r="AV36" s="17">
        <f t="shared" si="67"/>
        <v>0</v>
      </c>
      <c r="AW36" s="17"/>
      <c r="AX36" s="1">
        <f t="shared" si="73"/>
        <v>45664</v>
      </c>
      <c r="AY36" s="44">
        <v>583.048</v>
      </c>
      <c r="AZ36" s="44">
        <v>154.9597302</v>
      </c>
      <c r="BA36" s="44"/>
      <c r="BB36" s="44">
        <v>51.094077096774193</v>
      </c>
      <c r="BC36" s="44">
        <f t="shared" si="62"/>
        <v>789.10180729677415</v>
      </c>
      <c r="BD36" s="17">
        <f t="shared" si="68"/>
        <v>0</v>
      </c>
    </row>
    <row r="37" spans="1:56" x14ac:dyDescent="0.3">
      <c r="A37" s="17"/>
      <c r="B37" s="1">
        <v>43473</v>
      </c>
      <c r="C37" s="35">
        <v>718</v>
      </c>
      <c r="D37" s="35">
        <v>136</v>
      </c>
      <c r="E37" s="35"/>
      <c r="F37" s="35">
        <v>51</v>
      </c>
      <c r="G37" s="7">
        <f t="shared" si="55"/>
        <v>905</v>
      </c>
      <c r="H37" s="17">
        <f t="shared" si="56"/>
        <v>0</v>
      </c>
      <c r="J37" s="1">
        <v>43838</v>
      </c>
      <c r="K37" s="101">
        <v>727.69299999999998</v>
      </c>
      <c r="L37" s="101">
        <v>139.715</v>
      </c>
      <c r="M37" s="101"/>
      <c r="N37" s="45">
        <v>55.883000000000003</v>
      </c>
      <c r="O37" s="7">
        <f t="shared" si="57"/>
        <v>923.29100000000005</v>
      </c>
      <c r="P37" s="17">
        <f t="shared" si="63"/>
        <v>0</v>
      </c>
      <c r="R37" s="1">
        <f t="shared" si="69"/>
        <v>44204</v>
      </c>
      <c r="S37" s="43">
        <v>618.66730709677415</v>
      </c>
      <c r="T37" s="44">
        <v>134.13414376344085</v>
      </c>
      <c r="V37" s="82">
        <v>57.414058064516134</v>
      </c>
      <c r="W37" s="7">
        <f t="shared" si="58"/>
        <v>810.21550892473113</v>
      </c>
      <c r="X37" s="17">
        <f t="shared" si="64"/>
        <v>0</v>
      </c>
      <c r="Y37" s="17"/>
      <c r="Z37" s="1">
        <f t="shared" si="70"/>
        <v>44569</v>
      </c>
      <c r="AA37" s="101">
        <v>709.73744838709672</v>
      </c>
      <c r="AB37" s="101">
        <v>148.66674623655913</v>
      </c>
      <c r="AC37" s="101"/>
      <c r="AD37" s="101">
        <v>51.612069677419356</v>
      </c>
      <c r="AE37" s="101">
        <f t="shared" si="59"/>
        <v>910.01626430107513</v>
      </c>
      <c r="AF37" s="17">
        <f t="shared" si="65"/>
        <v>0</v>
      </c>
      <c r="AH37" s="1">
        <f t="shared" si="71"/>
        <v>44934</v>
      </c>
      <c r="AI37" s="44">
        <v>518.30484408602149</v>
      </c>
      <c r="AJ37" s="44">
        <v>110.37786086021505</v>
      </c>
      <c r="AK37" s="44"/>
      <c r="AL37" s="44">
        <v>40.968083333333333</v>
      </c>
      <c r="AM37" s="44">
        <f t="shared" si="60"/>
        <v>669.65078827956984</v>
      </c>
      <c r="AN37" s="17">
        <f t="shared" si="66"/>
        <v>0</v>
      </c>
      <c r="AO37" s="17"/>
      <c r="AP37" s="1">
        <f t="shared" si="72"/>
        <v>45299</v>
      </c>
      <c r="AQ37" s="44">
        <v>712.4800005376344</v>
      </c>
      <c r="AR37" s="44">
        <v>179.41454559139785</v>
      </c>
      <c r="AS37" s="44"/>
      <c r="AT37" s="44">
        <v>57.899141505376342</v>
      </c>
      <c r="AU37" s="44">
        <f t="shared" si="61"/>
        <v>949.79368763440857</v>
      </c>
      <c r="AV37" s="17">
        <f t="shared" si="67"/>
        <v>0</v>
      </c>
      <c r="AW37" s="17"/>
      <c r="AX37" s="1">
        <f t="shared" si="73"/>
        <v>45665</v>
      </c>
      <c r="AY37" s="44">
        <v>658.20899999999995</v>
      </c>
      <c r="AZ37" s="44">
        <v>172.10904479999999</v>
      </c>
      <c r="BA37" s="44"/>
      <c r="BB37" s="44">
        <v>61.32461806451613</v>
      </c>
      <c r="BC37" s="44">
        <f t="shared" si="62"/>
        <v>891.64266286451607</v>
      </c>
      <c r="BD37" s="17">
        <f t="shared" si="68"/>
        <v>0</v>
      </c>
    </row>
    <row r="38" spans="1:56" x14ac:dyDescent="0.3">
      <c r="A38" s="17"/>
      <c r="B38" s="1">
        <v>43474</v>
      </c>
      <c r="C38" s="35">
        <v>724</v>
      </c>
      <c r="D38" s="35">
        <v>129</v>
      </c>
      <c r="E38" s="35"/>
      <c r="F38" s="35">
        <v>53</v>
      </c>
      <c r="G38" s="7">
        <f t="shared" si="55"/>
        <v>906</v>
      </c>
      <c r="H38" s="17">
        <f t="shared" si="56"/>
        <v>0</v>
      </c>
      <c r="J38" s="1">
        <v>43839</v>
      </c>
      <c r="K38" s="101">
        <v>905.45550000000003</v>
      </c>
      <c r="L38" s="101">
        <v>160.578</v>
      </c>
      <c r="M38" s="101"/>
      <c r="N38" s="45">
        <v>64.965000000000003</v>
      </c>
      <c r="O38" s="7">
        <f t="shared" si="57"/>
        <v>1130.9984999999999</v>
      </c>
      <c r="P38" s="17">
        <f t="shared" si="63"/>
        <v>0</v>
      </c>
      <c r="R38" s="1">
        <f t="shared" si="69"/>
        <v>44205</v>
      </c>
      <c r="S38" s="43">
        <v>630.58033139784948</v>
      </c>
      <c r="T38" s="44">
        <v>130.4493964516129</v>
      </c>
      <c r="V38" s="82">
        <v>52.022744516129038</v>
      </c>
      <c r="W38" s="7">
        <f t="shared" si="58"/>
        <v>813.05247236559137</v>
      </c>
      <c r="X38" s="17">
        <f t="shared" si="64"/>
        <v>0</v>
      </c>
      <c r="Y38" s="17"/>
      <c r="Z38" s="1">
        <f t="shared" si="70"/>
        <v>44570</v>
      </c>
      <c r="AA38" s="101">
        <v>693.04797075268812</v>
      </c>
      <c r="AB38" s="101">
        <v>140.4033888172043</v>
      </c>
      <c r="AC38" s="101"/>
      <c r="AD38" s="101">
        <v>42.09792387096774</v>
      </c>
      <c r="AE38" s="101">
        <f t="shared" si="59"/>
        <v>875.54928344086022</v>
      </c>
      <c r="AF38" s="17">
        <f t="shared" si="65"/>
        <v>0</v>
      </c>
      <c r="AH38" s="1">
        <f t="shared" si="71"/>
        <v>44935</v>
      </c>
      <c r="AI38" s="44">
        <v>620.49499193548388</v>
      </c>
      <c r="AJ38" s="44">
        <v>144.34308451612904</v>
      </c>
      <c r="AK38" s="44"/>
      <c r="AL38" s="44">
        <v>50.414206774193545</v>
      </c>
      <c r="AM38" s="44">
        <f t="shared" si="60"/>
        <v>815.25228322580642</v>
      </c>
      <c r="AN38" s="17">
        <f t="shared" si="66"/>
        <v>0</v>
      </c>
      <c r="AO38" s="17"/>
      <c r="AP38" s="1">
        <f t="shared" si="72"/>
        <v>45300</v>
      </c>
      <c r="AQ38" s="44">
        <v>819.45385677419358</v>
      </c>
      <c r="AR38" s="44">
        <v>206.05506623655913</v>
      </c>
      <c r="AS38" s="44"/>
      <c r="AT38" s="44">
        <v>66.307922795698929</v>
      </c>
      <c r="AU38" s="44">
        <f t="shared" si="61"/>
        <v>1091.8168458064517</v>
      </c>
      <c r="AV38" s="17">
        <f t="shared" si="67"/>
        <v>0</v>
      </c>
      <c r="AW38" s="17"/>
      <c r="AX38" s="1">
        <f t="shared" si="73"/>
        <v>45666</v>
      </c>
      <c r="AY38" s="44">
        <v>661.178</v>
      </c>
      <c r="AZ38" s="44">
        <v>186.0681568</v>
      </c>
      <c r="BA38" s="44"/>
      <c r="BB38" s="44">
        <v>61.523300967741939</v>
      </c>
      <c r="BC38" s="44">
        <f t="shared" si="62"/>
        <v>908.76945776774198</v>
      </c>
      <c r="BD38" s="17">
        <f t="shared" si="68"/>
        <v>0</v>
      </c>
    </row>
    <row r="39" spans="1:56" x14ac:dyDescent="0.3">
      <c r="A39" s="17"/>
      <c r="B39" s="1">
        <v>43475</v>
      </c>
      <c r="C39" s="35">
        <v>707</v>
      </c>
      <c r="D39" s="35">
        <v>129</v>
      </c>
      <c r="E39" s="35"/>
      <c r="F39" s="35">
        <v>54</v>
      </c>
      <c r="G39" s="7">
        <f t="shared" si="55"/>
        <v>890</v>
      </c>
      <c r="H39" s="17">
        <f t="shared" si="56"/>
        <v>0</v>
      </c>
      <c r="J39" s="1">
        <v>43840</v>
      </c>
      <c r="K39" s="101">
        <v>892.72299999999996</v>
      </c>
      <c r="L39" s="101">
        <v>152.11600000000001</v>
      </c>
      <c r="M39" s="101"/>
      <c r="N39" s="45">
        <v>64.805000000000007</v>
      </c>
      <c r="O39" s="7">
        <f t="shared" si="57"/>
        <v>1109.644</v>
      </c>
      <c r="P39" s="17">
        <f t="shared" si="63"/>
        <v>0</v>
      </c>
      <c r="R39" s="1">
        <f t="shared" si="69"/>
        <v>44206</v>
      </c>
      <c r="S39" s="43">
        <v>727.57002666666665</v>
      </c>
      <c r="T39" s="44">
        <v>125.96542225806449</v>
      </c>
      <c r="V39" s="82">
        <v>56.873639999999995</v>
      </c>
      <c r="W39" s="7">
        <f t="shared" si="58"/>
        <v>910.40908892473112</v>
      </c>
      <c r="X39" s="17">
        <f t="shared" si="64"/>
        <v>0</v>
      </c>
      <c r="Y39" s="17"/>
      <c r="Z39" s="1">
        <f t="shared" si="70"/>
        <v>44571</v>
      </c>
      <c r="AA39" s="101">
        <v>818.19042344086017</v>
      </c>
      <c r="AB39" s="101">
        <v>166.19809935483872</v>
      </c>
      <c r="AC39" s="101"/>
      <c r="AD39" s="101">
        <v>51.588479999999997</v>
      </c>
      <c r="AE39" s="101">
        <f t="shared" si="59"/>
        <v>1035.9770027956988</v>
      </c>
      <c r="AF39" s="17">
        <f t="shared" si="65"/>
        <v>0</v>
      </c>
      <c r="AH39" s="1">
        <f t="shared" si="71"/>
        <v>44936</v>
      </c>
      <c r="AI39" s="44">
        <v>657.50456989247311</v>
      </c>
      <c r="AJ39" s="44">
        <v>143.74464451612903</v>
      </c>
      <c r="AK39" s="44"/>
      <c r="AL39" s="44">
        <v>50.769137634408601</v>
      </c>
      <c r="AM39" s="44">
        <f t="shared" si="60"/>
        <v>852.01835204301074</v>
      </c>
      <c r="AN39" s="17">
        <f t="shared" si="66"/>
        <v>0</v>
      </c>
      <c r="AO39" s="17"/>
      <c r="AP39" s="1">
        <f t="shared" si="72"/>
        <v>45301</v>
      </c>
      <c r="AQ39" s="44">
        <v>760.76337451612903</v>
      </c>
      <c r="AR39" s="44">
        <v>180.0521905376344</v>
      </c>
      <c r="AS39" s="44"/>
      <c r="AT39" s="44">
        <v>66.569787956989245</v>
      </c>
      <c r="AU39" s="44">
        <f t="shared" si="61"/>
        <v>1007.3853530107526</v>
      </c>
      <c r="AV39" s="17">
        <f t="shared" si="67"/>
        <v>0</v>
      </c>
      <c r="AW39" s="17"/>
      <c r="AX39" s="1">
        <f t="shared" si="73"/>
        <v>45667</v>
      </c>
      <c r="AY39" s="44">
        <v>608.47500000000002</v>
      </c>
      <c r="AZ39" s="44">
        <v>160.5944739</v>
      </c>
      <c r="BA39" s="44"/>
      <c r="BB39" s="44">
        <v>56.175148064516129</v>
      </c>
      <c r="BC39" s="44">
        <f t="shared" si="62"/>
        <v>825.24462196451623</v>
      </c>
      <c r="BD39" s="17">
        <f t="shared" si="68"/>
        <v>0</v>
      </c>
    </row>
    <row r="40" spans="1:56" x14ac:dyDescent="0.3">
      <c r="A40" s="17"/>
      <c r="B40" s="1">
        <v>43476</v>
      </c>
      <c r="C40" s="35">
        <v>702</v>
      </c>
      <c r="D40" s="35">
        <v>141</v>
      </c>
      <c r="E40" s="35"/>
      <c r="F40" s="35">
        <v>52</v>
      </c>
      <c r="G40" s="7">
        <f t="shared" si="55"/>
        <v>895</v>
      </c>
      <c r="H40" s="17">
        <f t="shared" si="56"/>
        <v>0</v>
      </c>
      <c r="J40" s="1">
        <v>43841</v>
      </c>
      <c r="K40" s="101">
        <v>764.42200000000003</v>
      </c>
      <c r="L40" s="101">
        <v>139.71800000000002</v>
      </c>
      <c r="M40" s="101"/>
      <c r="N40" s="45">
        <v>55.591999999999999</v>
      </c>
      <c r="O40" s="7">
        <f t="shared" si="57"/>
        <v>959.73200000000008</v>
      </c>
      <c r="P40" s="17">
        <f t="shared" si="63"/>
        <v>0</v>
      </c>
      <c r="R40" s="1">
        <f t="shared" si="69"/>
        <v>44207</v>
      </c>
      <c r="S40" s="43">
        <v>834.48429247311822</v>
      </c>
      <c r="T40" s="44">
        <v>167.57919387096771</v>
      </c>
      <c r="V40" s="82">
        <v>65.018512258064519</v>
      </c>
      <c r="W40" s="7">
        <f t="shared" si="58"/>
        <v>1067.0819986021504</v>
      </c>
      <c r="X40" s="17">
        <f t="shared" si="64"/>
        <v>0</v>
      </c>
      <c r="Y40" s="17"/>
      <c r="Z40" s="1">
        <f t="shared" si="70"/>
        <v>44572</v>
      </c>
      <c r="AA40" s="101">
        <v>846.44728838709682</v>
      </c>
      <c r="AB40" s="101">
        <v>175.62073462365592</v>
      </c>
      <c r="AC40" s="101"/>
      <c r="AD40" s="101">
        <v>59.38808516129032</v>
      </c>
      <c r="AE40" s="101">
        <f t="shared" si="59"/>
        <v>1081.4561081720431</v>
      </c>
      <c r="AF40" s="17">
        <f t="shared" si="65"/>
        <v>0</v>
      </c>
      <c r="AH40" s="1">
        <f t="shared" si="71"/>
        <v>44937</v>
      </c>
      <c r="AI40" s="44">
        <v>660.87159946236557</v>
      </c>
      <c r="AJ40" s="44">
        <v>150.0143223655914</v>
      </c>
      <c r="AK40" s="44"/>
      <c r="AL40" s="44">
        <v>54.026086774193551</v>
      </c>
      <c r="AM40" s="44">
        <f t="shared" si="60"/>
        <v>864.91200860215054</v>
      </c>
      <c r="AN40" s="17">
        <f t="shared" si="66"/>
        <v>0</v>
      </c>
      <c r="AO40" s="17"/>
      <c r="AP40" s="1">
        <f t="shared" si="72"/>
        <v>45302</v>
      </c>
      <c r="AQ40" s="44">
        <v>656.50839182795698</v>
      </c>
      <c r="AR40" s="44">
        <v>144.82179795698926</v>
      </c>
      <c r="AS40" s="44"/>
      <c r="AT40" s="44">
        <v>63.476977204301072</v>
      </c>
      <c r="AU40" s="44">
        <f t="shared" si="61"/>
        <v>864.80716698924732</v>
      </c>
      <c r="AV40" s="17">
        <f t="shared" si="67"/>
        <v>0</v>
      </c>
      <c r="AW40" s="17"/>
      <c r="AX40" s="1">
        <f t="shared" si="73"/>
        <v>45668</v>
      </c>
      <c r="AY40" s="44">
        <v>596.61</v>
      </c>
      <c r="AZ40" s="44">
        <v>146.7334242</v>
      </c>
      <c r="BA40" s="44"/>
      <c r="BB40" s="44">
        <v>48.721824946236559</v>
      </c>
      <c r="BC40" s="44">
        <f t="shared" si="62"/>
        <v>792.06524914623662</v>
      </c>
      <c r="BD40" s="17">
        <f t="shared" si="68"/>
        <v>0</v>
      </c>
    </row>
    <row r="41" spans="1:56" x14ac:dyDescent="0.3">
      <c r="A41" s="17"/>
      <c r="B41" s="1">
        <v>43477</v>
      </c>
      <c r="C41" s="35">
        <v>756</v>
      </c>
      <c r="D41" s="35">
        <v>158</v>
      </c>
      <c r="E41" s="35"/>
      <c r="F41" s="35">
        <v>50</v>
      </c>
      <c r="G41" s="7">
        <f t="shared" si="55"/>
        <v>964</v>
      </c>
      <c r="H41" s="17">
        <f t="shared" si="56"/>
        <v>0</v>
      </c>
      <c r="J41" s="1">
        <v>43842</v>
      </c>
      <c r="K41" s="101">
        <v>616.53250000000003</v>
      </c>
      <c r="L41" s="101">
        <v>110.931</v>
      </c>
      <c r="M41" s="101"/>
      <c r="N41" s="45">
        <v>41.161000000000001</v>
      </c>
      <c r="O41" s="7">
        <f t="shared" si="57"/>
        <v>768.62450000000013</v>
      </c>
      <c r="P41" s="17">
        <f t="shared" si="63"/>
        <v>0</v>
      </c>
      <c r="R41" s="1">
        <f t="shared" si="69"/>
        <v>44208</v>
      </c>
      <c r="S41" s="43">
        <v>729.8739262365591</v>
      </c>
      <c r="T41" s="44">
        <v>155.26383419354838</v>
      </c>
      <c r="V41" s="82">
        <v>61.428592258064519</v>
      </c>
      <c r="W41" s="7">
        <f t="shared" si="58"/>
        <v>946.56635268817206</v>
      </c>
      <c r="X41" s="17">
        <f t="shared" si="64"/>
        <v>0</v>
      </c>
      <c r="Y41" s="17"/>
      <c r="Z41" s="1">
        <f t="shared" si="70"/>
        <v>44573</v>
      </c>
      <c r="AA41" s="101">
        <v>721.6515137634409</v>
      </c>
      <c r="AB41" s="101">
        <v>155.8133776344086</v>
      </c>
      <c r="AC41" s="101"/>
      <c r="AD41" s="101">
        <v>55.832477419354838</v>
      </c>
      <c r="AE41" s="101">
        <f t="shared" si="59"/>
        <v>933.2973688172043</v>
      </c>
      <c r="AF41" s="17">
        <f t="shared" si="65"/>
        <v>0</v>
      </c>
      <c r="AH41" s="1">
        <f t="shared" si="71"/>
        <v>44938</v>
      </c>
      <c r="AI41" s="44">
        <v>657.69880107526876</v>
      </c>
      <c r="AJ41" s="44">
        <v>146.6810759139785</v>
      </c>
      <c r="AK41" s="44"/>
      <c r="AL41" s="44">
        <v>56.599065806451613</v>
      </c>
      <c r="AM41" s="44">
        <f t="shared" si="60"/>
        <v>860.9789427956988</v>
      </c>
      <c r="AN41" s="17">
        <f t="shared" si="66"/>
        <v>0</v>
      </c>
      <c r="AO41" s="17"/>
      <c r="AP41" s="1">
        <f t="shared" si="72"/>
        <v>45303</v>
      </c>
      <c r="AQ41" s="44">
        <v>665.32136236559143</v>
      </c>
      <c r="AR41" s="44">
        <v>134.36279107526883</v>
      </c>
      <c r="AS41" s="44"/>
      <c r="AT41" s="44">
        <v>62.123468387096771</v>
      </c>
      <c r="AU41" s="44">
        <f t="shared" si="61"/>
        <v>861.80762182795695</v>
      </c>
      <c r="AV41" s="17">
        <f t="shared" si="67"/>
        <v>0</v>
      </c>
      <c r="AW41" s="17"/>
      <c r="AX41" s="1">
        <f t="shared" si="73"/>
        <v>45669</v>
      </c>
      <c r="AY41" s="44">
        <v>626.798</v>
      </c>
      <c r="AZ41" s="44">
        <v>163.09494179999999</v>
      </c>
      <c r="BA41" s="44"/>
      <c r="BB41" s="44">
        <v>48.257145806451611</v>
      </c>
      <c r="BC41" s="44">
        <f t="shared" si="62"/>
        <v>838.15008760645162</v>
      </c>
      <c r="BD41" s="17">
        <f t="shared" si="68"/>
        <v>0</v>
      </c>
    </row>
    <row r="42" spans="1:56" x14ac:dyDescent="0.3">
      <c r="A42" s="17"/>
      <c r="B42" s="1">
        <v>43478</v>
      </c>
      <c r="C42" s="35">
        <v>679</v>
      </c>
      <c r="D42" s="35">
        <v>128</v>
      </c>
      <c r="E42" s="35"/>
      <c r="F42" s="35">
        <v>43</v>
      </c>
      <c r="G42" s="7">
        <f t="shared" si="55"/>
        <v>850</v>
      </c>
      <c r="H42" s="17">
        <f t="shared" si="56"/>
        <v>0</v>
      </c>
      <c r="J42" s="1">
        <v>43843</v>
      </c>
      <c r="K42" s="101">
        <v>661.58500000000004</v>
      </c>
      <c r="L42" s="101">
        <v>113.32</v>
      </c>
      <c r="M42" s="101"/>
      <c r="N42" s="45">
        <v>52.351999999999997</v>
      </c>
      <c r="O42" s="7">
        <f t="shared" si="57"/>
        <v>827.25699999999995</v>
      </c>
      <c r="P42" s="17">
        <f t="shared" si="63"/>
        <v>0</v>
      </c>
      <c r="R42" s="1">
        <f t="shared" si="69"/>
        <v>44209</v>
      </c>
      <c r="S42" s="43">
        <v>696.58866774193541</v>
      </c>
      <c r="T42" s="44">
        <v>130.07988376344085</v>
      </c>
      <c r="V42" s="82">
        <v>58.569952258064511</v>
      </c>
      <c r="W42" s="7">
        <f t="shared" si="58"/>
        <v>885.2385037634408</v>
      </c>
      <c r="X42" s="17">
        <f t="shared" si="64"/>
        <v>0</v>
      </c>
      <c r="Y42" s="17"/>
      <c r="Z42" s="1">
        <f t="shared" si="70"/>
        <v>44574</v>
      </c>
      <c r="AA42" s="101">
        <v>725.14848559139784</v>
      </c>
      <c r="AB42" s="101">
        <v>155.354648172043</v>
      </c>
      <c r="AC42" s="101"/>
      <c r="AD42" s="101">
        <v>55.925763870967742</v>
      </c>
      <c r="AE42" s="101">
        <f t="shared" si="59"/>
        <v>936.4288976344086</v>
      </c>
      <c r="AF42" s="17">
        <f t="shared" si="65"/>
        <v>0</v>
      </c>
      <c r="AH42" s="1">
        <f t="shared" si="71"/>
        <v>44939</v>
      </c>
      <c r="AI42" s="44">
        <v>661.99429838709682</v>
      </c>
      <c r="AJ42" s="44">
        <v>148.9171823655914</v>
      </c>
      <c r="AK42" s="44"/>
      <c r="AL42" s="44">
        <v>55.13511086021505</v>
      </c>
      <c r="AM42" s="44">
        <f t="shared" si="60"/>
        <v>866.04659161290328</v>
      </c>
      <c r="AN42" s="17">
        <f t="shared" si="66"/>
        <v>0</v>
      </c>
      <c r="AO42" s="17"/>
      <c r="AP42" s="1">
        <f t="shared" si="72"/>
        <v>45304</v>
      </c>
      <c r="AQ42" s="44">
        <v>702.11251709677424</v>
      </c>
      <c r="AR42" s="44">
        <v>149.53588870967741</v>
      </c>
      <c r="AS42" s="44"/>
      <c r="AT42" s="44">
        <v>62.525426021505375</v>
      </c>
      <c r="AU42" s="44">
        <f t="shared" si="61"/>
        <v>914.17383182795697</v>
      </c>
      <c r="AV42" s="17">
        <f t="shared" si="67"/>
        <v>0</v>
      </c>
      <c r="AW42" s="17"/>
      <c r="AX42" s="1">
        <f t="shared" si="73"/>
        <v>45670</v>
      </c>
      <c r="AY42" s="44">
        <v>724.91399999999999</v>
      </c>
      <c r="AZ42" s="44">
        <v>194.02766500000001</v>
      </c>
      <c r="BA42" s="44"/>
      <c r="BB42" s="44">
        <v>61.561300430107529</v>
      </c>
      <c r="BC42" s="44">
        <f t="shared" si="62"/>
        <v>980.50296543010757</v>
      </c>
      <c r="BD42" s="17">
        <f t="shared" si="68"/>
        <v>0</v>
      </c>
    </row>
    <row r="43" spans="1:56" x14ac:dyDescent="0.3">
      <c r="A43" s="17"/>
      <c r="B43" s="1">
        <v>43479</v>
      </c>
      <c r="C43" s="35">
        <v>652</v>
      </c>
      <c r="D43" s="35">
        <v>114</v>
      </c>
      <c r="E43" s="35"/>
      <c r="F43" s="35">
        <v>49</v>
      </c>
      <c r="G43" s="7">
        <f t="shared" si="55"/>
        <v>815</v>
      </c>
      <c r="H43" s="17">
        <f t="shared" si="56"/>
        <v>0</v>
      </c>
      <c r="J43" s="1">
        <v>43844</v>
      </c>
      <c r="K43" s="101">
        <v>742.875</v>
      </c>
      <c r="L43" s="101">
        <v>148.54400000000001</v>
      </c>
      <c r="M43" s="101"/>
      <c r="N43" s="45">
        <v>57.576000000000001</v>
      </c>
      <c r="O43" s="7">
        <f t="shared" si="57"/>
        <v>948.995</v>
      </c>
      <c r="P43" s="17">
        <f t="shared" si="63"/>
        <v>0</v>
      </c>
      <c r="R43" s="1">
        <f t="shared" si="69"/>
        <v>44210</v>
      </c>
      <c r="S43" s="43">
        <v>592.8257367741935</v>
      </c>
      <c r="T43" s="44">
        <v>122.92109440860214</v>
      </c>
      <c r="V43" s="82">
        <v>55.638398709677425</v>
      </c>
      <c r="W43" s="7">
        <f t="shared" si="58"/>
        <v>771.38522989247303</v>
      </c>
      <c r="X43" s="17">
        <f t="shared" si="64"/>
        <v>0</v>
      </c>
      <c r="Y43" s="17"/>
      <c r="Z43" s="1">
        <f t="shared" si="70"/>
        <v>44575</v>
      </c>
      <c r="AA43" s="101">
        <v>773.52829440860216</v>
      </c>
      <c r="AB43" s="101">
        <v>160.6663617204301</v>
      </c>
      <c r="AC43" s="101"/>
      <c r="AD43" s="101">
        <v>56.341799999999999</v>
      </c>
      <c r="AE43" s="101">
        <f t="shared" si="59"/>
        <v>990.53645612903233</v>
      </c>
      <c r="AF43" s="17">
        <f t="shared" si="65"/>
        <v>0</v>
      </c>
      <c r="AH43" s="1">
        <f t="shared" si="71"/>
        <v>44940</v>
      </c>
      <c r="AI43" s="44">
        <v>779.53404569892473</v>
      </c>
      <c r="AJ43" s="44">
        <v>178.14636473118279</v>
      </c>
      <c r="AK43" s="44"/>
      <c r="AL43" s="44">
        <v>58.862424301075272</v>
      </c>
      <c r="AM43" s="44">
        <f t="shared" si="60"/>
        <v>1016.5428347311828</v>
      </c>
      <c r="AN43" s="17">
        <f t="shared" si="66"/>
        <v>0</v>
      </c>
      <c r="AO43" s="17"/>
      <c r="AP43" s="1">
        <f t="shared" si="72"/>
        <v>45305</v>
      </c>
      <c r="AQ43" s="44">
        <v>833.90168258064512</v>
      </c>
      <c r="AR43" s="44">
        <v>159.04046537634409</v>
      </c>
      <c r="AS43" s="44"/>
      <c r="AT43" s="44">
        <v>60.995185161290323</v>
      </c>
      <c r="AU43" s="44">
        <f t="shared" si="61"/>
        <v>1053.9373331182794</v>
      </c>
      <c r="AV43" s="17">
        <f t="shared" si="67"/>
        <v>0</v>
      </c>
      <c r="AW43" s="17"/>
      <c r="AX43" s="1">
        <f t="shared" si="73"/>
        <v>45671</v>
      </c>
      <c r="AY43" s="44">
        <v>685.53399999999999</v>
      </c>
      <c r="AZ43" s="44">
        <v>181.30203</v>
      </c>
      <c r="BA43" s="44"/>
      <c r="BB43" s="44">
        <v>59.759040215053766</v>
      </c>
      <c r="BC43" s="44">
        <f t="shared" si="62"/>
        <v>926.59507021505374</v>
      </c>
      <c r="BD43" s="17">
        <f t="shared" si="68"/>
        <v>0</v>
      </c>
    </row>
    <row r="44" spans="1:56" x14ac:dyDescent="0.3">
      <c r="A44" s="17"/>
      <c r="B44" s="1">
        <v>43480</v>
      </c>
      <c r="C44" s="35">
        <v>650</v>
      </c>
      <c r="D44" s="35">
        <v>128</v>
      </c>
      <c r="E44" s="35"/>
      <c r="F44" s="35">
        <v>49</v>
      </c>
      <c r="G44" s="7">
        <f t="shared" si="55"/>
        <v>827</v>
      </c>
      <c r="H44" s="17">
        <f t="shared" si="56"/>
        <v>0</v>
      </c>
      <c r="J44" s="1">
        <v>43845</v>
      </c>
      <c r="K44" s="101">
        <v>867.25900000000001</v>
      </c>
      <c r="L44" s="101">
        <v>177.61</v>
      </c>
      <c r="M44" s="101"/>
      <c r="N44" s="45">
        <v>63.585999999999999</v>
      </c>
      <c r="O44" s="7">
        <f t="shared" si="57"/>
        <v>1108.4550000000002</v>
      </c>
      <c r="P44" s="17">
        <f t="shared" si="63"/>
        <v>0</v>
      </c>
      <c r="R44" s="1">
        <f t="shared" si="69"/>
        <v>44211</v>
      </c>
      <c r="S44" s="43">
        <v>583.80898387096772</v>
      </c>
      <c r="T44" s="44">
        <v>106.15705107526881</v>
      </c>
      <c r="V44" s="82">
        <v>51.360089032258067</v>
      </c>
      <c r="W44" s="7">
        <f t="shared" si="58"/>
        <v>741.32612397849459</v>
      </c>
      <c r="X44" s="17">
        <f t="shared" si="64"/>
        <v>0</v>
      </c>
      <c r="Y44" s="17"/>
      <c r="Z44" s="1">
        <f t="shared" si="70"/>
        <v>44576</v>
      </c>
      <c r="AA44" s="101">
        <v>734.37865892473121</v>
      </c>
      <c r="AB44" s="101">
        <v>174.562128172043</v>
      </c>
      <c r="AC44" s="101"/>
      <c r="AD44" s="101">
        <v>49.894312258064517</v>
      </c>
      <c r="AE44" s="101">
        <f t="shared" si="59"/>
        <v>958.83509935483869</v>
      </c>
      <c r="AF44" s="17">
        <f t="shared" si="65"/>
        <v>0</v>
      </c>
      <c r="AH44" s="1">
        <f t="shared" si="71"/>
        <v>44941</v>
      </c>
      <c r="AI44" s="44">
        <v>680.92436827956988</v>
      </c>
      <c r="AJ44" s="44">
        <v>147.96804365591399</v>
      </c>
      <c r="AK44" s="44"/>
      <c r="AL44" s="44">
        <v>53.247180752688173</v>
      </c>
      <c r="AM44" s="44">
        <f t="shared" si="60"/>
        <v>882.13959268817212</v>
      </c>
      <c r="AN44" s="17">
        <f t="shared" si="66"/>
        <v>0</v>
      </c>
      <c r="AO44" s="17"/>
      <c r="AP44" s="1">
        <f t="shared" si="72"/>
        <v>45306</v>
      </c>
      <c r="AQ44" s="44">
        <v>722.31915279569887</v>
      </c>
      <c r="AR44" s="44">
        <v>165.01965999999999</v>
      </c>
      <c r="AS44" s="44"/>
      <c r="AT44" s="44">
        <v>59.16859483870968</v>
      </c>
      <c r="AU44" s="44">
        <f t="shared" si="61"/>
        <v>946.50740763440854</v>
      </c>
      <c r="AV44" s="17">
        <f t="shared" si="67"/>
        <v>0</v>
      </c>
      <c r="AW44" s="17"/>
      <c r="AX44" s="1">
        <f t="shared" si="73"/>
        <v>45672</v>
      </c>
      <c r="AY44" s="44">
        <v>778.72199999999998</v>
      </c>
      <c r="AZ44" s="44">
        <v>208.65343279999999</v>
      </c>
      <c r="BA44" s="44"/>
      <c r="BB44" s="44">
        <v>60.413716666666666</v>
      </c>
      <c r="BC44" s="44">
        <f t="shared" si="62"/>
        <v>1047.7891494666667</v>
      </c>
      <c r="BD44" s="17">
        <f t="shared" si="68"/>
        <v>0</v>
      </c>
    </row>
    <row r="45" spans="1:56" x14ac:dyDescent="0.3">
      <c r="A45" s="17"/>
      <c r="B45" s="1">
        <v>43481</v>
      </c>
      <c r="C45" s="35">
        <v>731</v>
      </c>
      <c r="D45" s="35">
        <v>153</v>
      </c>
      <c r="E45" s="35"/>
      <c r="F45" s="35">
        <v>55</v>
      </c>
      <c r="G45" s="7">
        <f t="shared" si="55"/>
        <v>939</v>
      </c>
      <c r="H45" s="17">
        <f t="shared" si="56"/>
        <v>0</v>
      </c>
      <c r="J45" s="1">
        <v>43846</v>
      </c>
      <c r="K45" s="101">
        <v>756.09699999999998</v>
      </c>
      <c r="L45" s="101">
        <v>150.91300000000001</v>
      </c>
      <c r="M45" s="101"/>
      <c r="N45" s="45">
        <v>62.713000000000001</v>
      </c>
      <c r="O45" s="7">
        <f t="shared" si="57"/>
        <v>969.72299999999996</v>
      </c>
      <c r="P45" s="17">
        <f t="shared" si="63"/>
        <v>0</v>
      </c>
      <c r="R45" s="1">
        <f t="shared" si="69"/>
        <v>44212</v>
      </c>
      <c r="S45" s="43">
        <v>594.48729290322581</v>
      </c>
      <c r="T45" s="44">
        <v>114.57903408602149</v>
      </c>
      <c r="V45" s="82">
        <v>51.281814193548385</v>
      </c>
      <c r="W45" s="7">
        <f t="shared" si="58"/>
        <v>760.34814118279564</v>
      </c>
      <c r="X45" s="17">
        <f t="shared" si="64"/>
        <v>0</v>
      </c>
      <c r="Y45" s="17"/>
      <c r="Z45" s="1">
        <f t="shared" si="70"/>
        <v>44577</v>
      </c>
      <c r="AA45" s="101">
        <v>753.79575376344087</v>
      </c>
      <c r="AB45" s="101">
        <v>174.58288516129033</v>
      </c>
      <c r="AC45" s="101"/>
      <c r="AD45" s="101">
        <v>49.063312258064514</v>
      </c>
      <c r="AE45" s="101">
        <f t="shared" si="59"/>
        <v>977.44195118279572</v>
      </c>
      <c r="AF45" s="17">
        <f t="shared" si="65"/>
        <v>0</v>
      </c>
      <c r="AH45" s="1">
        <f t="shared" si="71"/>
        <v>44942</v>
      </c>
      <c r="AI45" s="44">
        <v>729.90264247311825</v>
      </c>
      <c r="AJ45" s="44">
        <v>156.9800352688172</v>
      </c>
      <c r="AK45" s="44"/>
      <c r="AL45" s="44">
        <v>59.754606129032261</v>
      </c>
      <c r="AM45" s="44">
        <f t="shared" si="60"/>
        <v>946.63728387096774</v>
      </c>
      <c r="AN45" s="17">
        <f t="shared" si="66"/>
        <v>0</v>
      </c>
      <c r="AO45" s="17"/>
      <c r="AP45" s="1">
        <f t="shared" si="72"/>
        <v>45307</v>
      </c>
      <c r="AQ45" s="44">
        <v>769.75414881720428</v>
      </c>
      <c r="AR45" s="44">
        <v>160.59281505376345</v>
      </c>
      <c r="AS45" s="44"/>
      <c r="AT45" s="44">
        <v>56.381832258064513</v>
      </c>
      <c r="AU45" s="44">
        <f t="shared" si="61"/>
        <v>986.72879612903228</v>
      </c>
      <c r="AV45" s="17">
        <f t="shared" si="67"/>
        <v>0</v>
      </c>
      <c r="AW45" s="17"/>
      <c r="AX45" s="1">
        <f t="shared" si="73"/>
        <v>45673</v>
      </c>
      <c r="AY45" s="44">
        <v>804.51</v>
      </c>
      <c r="AZ45" s="44">
        <v>205.3706688</v>
      </c>
      <c r="BA45" s="44"/>
      <c r="BB45" s="44">
        <v>62.471116129032261</v>
      </c>
      <c r="BC45" s="44">
        <f t="shared" si="62"/>
        <v>1072.3517849290322</v>
      </c>
      <c r="BD45" s="17">
        <f t="shared" si="68"/>
        <v>0</v>
      </c>
    </row>
    <row r="46" spans="1:56" x14ac:dyDescent="0.3">
      <c r="A46" s="17"/>
      <c r="B46" s="1">
        <v>43482</v>
      </c>
      <c r="C46" s="35">
        <v>655</v>
      </c>
      <c r="D46" s="35">
        <v>129</v>
      </c>
      <c r="E46" s="35"/>
      <c r="F46" s="35">
        <v>52</v>
      </c>
      <c r="G46" s="7">
        <f t="shared" si="55"/>
        <v>836</v>
      </c>
      <c r="H46" s="17">
        <f t="shared" si="56"/>
        <v>0</v>
      </c>
      <c r="J46" s="1">
        <v>43847</v>
      </c>
      <c r="K46" s="101">
        <v>711.04449999999997</v>
      </c>
      <c r="L46" s="101">
        <v>131.511</v>
      </c>
      <c r="M46" s="101"/>
      <c r="N46" s="45">
        <v>55.289000000000001</v>
      </c>
      <c r="O46" s="7">
        <f t="shared" si="57"/>
        <v>897.84449999999993</v>
      </c>
      <c r="P46" s="17">
        <f t="shared" si="63"/>
        <v>0</v>
      </c>
      <c r="R46" s="1">
        <f t="shared" si="69"/>
        <v>44213</v>
      </c>
      <c r="S46" s="43">
        <v>643.152356344086</v>
      </c>
      <c r="T46" s="44">
        <v>111.71323483870967</v>
      </c>
      <c r="V46" s="82">
        <v>53.43812516129033</v>
      </c>
      <c r="W46" s="7">
        <f t="shared" si="58"/>
        <v>808.30371634408607</v>
      </c>
      <c r="X46" s="17">
        <f t="shared" si="64"/>
        <v>0</v>
      </c>
      <c r="Y46" s="17"/>
      <c r="Z46" s="1">
        <f t="shared" si="70"/>
        <v>44578</v>
      </c>
      <c r="AA46" s="101">
        <v>784.21909634408598</v>
      </c>
      <c r="AB46" s="101">
        <v>176.12720516129033</v>
      </c>
      <c r="AC46" s="101"/>
      <c r="AD46" s="101">
        <v>54.516816774193551</v>
      </c>
      <c r="AE46" s="101">
        <f t="shared" si="59"/>
        <v>1014.8631182795699</v>
      </c>
      <c r="AF46" s="17">
        <f t="shared" si="65"/>
        <v>0</v>
      </c>
      <c r="AH46" s="1">
        <f t="shared" si="71"/>
        <v>44943</v>
      </c>
      <c r="AI46" s="44">
        <v>694.91328225806456</v>
      </c>
      <c r="AJ46" s="44">
        <v>155.73811139784945</v>
      </c>
      <c r="AK46" s="44"/>
      <c r="AL46" s="44">
        <v>58.267996021505375</v>
      </c>
      <c r="AM46" s="44">
        <f t="shared" si="60"/>
        <v>908.91938967741942</v>
      </c>
      <c r="AN46" s="17">
        <f t="shared" si="66"/>
        <v>0</v>
      </c>
      <c r="AO46" s="17"/>
      <c r="AP46" s="1">
        <f t="shared" si="72"/>
        <v>45308</v>
      </c>
      <c r="AQ46" s="44">
        <v>661.66266892473118</v>
      </c>
      <c r="AR46" s="44">
        <v>149.20382440860215</v>
      </c>
      <c r="AS46" s="44"/>
      <c r="AT46" s="44">
        <v>56.686802795698924</v>
      </c>
      <c r="AU46" s="44">
        <f t="shared" si="61"/>
        <v>867.55329612903222</v>
      </c>
      <c r="AV46" s="17">
        <f t="shared" si="67"/>
        <v>0</v>
      </c>
      <c r="AW46" s="17"/>
      <c r="AX46" s="1">
        <f t="shared" si="73"/>
        <v>45674</v>
      </c>
      <c r="AY46" s="44">
        <v>704.56100000000004</v>
      </c>
      <c r="AZ46" s="44">
        <v>184.79646</v>
      </c>
      <c r="BA46" s="44"/>
      <c r="BB46" s="44">
        <v>60.908795376344088</v>
      </c>
      <c r="BC46" s="44">
        <f t="shared" si="62"/>
        <v>950.26625537634413</v>
      </c>
      <c r="BD46" s="17">
        <f t="shared" si="68"/>
        <v>0</v>
      </c>
    </row>
    <row r="47" spans="1:56" x14ac:dyDescent="0.3">
      <c r="A47" s="17"/>
      <c r="B47" s="1">
        <v>43483</v>
      </c>
      <c r="C47" s="35">
        <v>593</v>
      </c>
      <c r="D47" s="35">
        <v>108</v>
      </c>
      <c r="E47" s="35"/>
      <c r="F47" s="35">
        <v>50</v>
      </c>
      <c r="G47" s="7">
        <f t="shared" si="55"/>
        <v>751</v>
      </c>
      <c r="H47" s="17">
        <f t="shared" si="56"/>
        <v>0</v>
      </c>
      <c r="J47" s="1">
        <v>43848</v>
      </c>
      <c r="K47" s="101">
        <v>679.70350000000008</v>
      </c>
      <c r="L47" s="101">
        <v>129.685</v>
      </c>
      <c r="M47" s="101"/>
      <c r="N47" s="45">
        <v>52.107999999999997</v>
      </c>
      <c r="O47" s="7">
        <f t="shared" si="57"/>
        <v>861.49649999999997</v>
      </c>
      <c r="P47" s="17">
        <f t="shared" si="63"/>
        <v>0</v>
      </c>
      <c r="R47" s="1">
        <f t="shared" si="69"/>
        <v>44214</v>
      </c>
      <c r="S47" s="43">
        <v>641.89577849462364</v>
      </c>
      <c r="T47" s="44">
        <v>123.3632640860215</v>
      </c>
      <c r="V47" s="82">
        <v>57.29718193548387</v>
      </c>
      <c r="W47" s="7">
        <f t="shared" si="58"/>
        <v>822.55622451612908</v>
      </c>
      <c r="X47" s="17">
        <f t="shared" si="64"/>
        <v>0</v>
      </c>
      <c r="Y47" s="17"/>
      <c r="Z47" s="1">
        <f t="shared" si="70"/>
        <v>44579</v>
      </c>
      <c r="AA47" s="101">
        <v>599.65414946236558</v>
      </c>
      <c r="AB47" s="101">
        <v>146.5267006451613</v>
      </c>
      <c r="AC47" s="101"/>
      <c r="AD47" s="101">
        <v>54.155465806451616</v>
      </c>
      <c r="AE47" s="101">
        <f t="shared" si="59"/>
        <v>800.33631591397852</v>
      </c>
      <c r="AF47" s="17">
        <f t="shared" si="65"/>
        <v>0</v>
      </c>
      <c r="AH47" s="1">
        <f t="shared" si="71"/>
        <v>44944</v>
      </c>
      <c r="AI47" s="44">
        <v>567.30659677419351</v>
      </c>
      <c r="AJ47" s="44">
        <v>115.32196193548387</v>
      </c>
      <c r="AK47" s="44"/>
      <c r="AL47" s="44">
        <v>51.996831612903229</v>
      </c>
      <c r="AM47" s="44">
        <f t="shared" si="60"/>
        <v>734.62539032258053</v>
      </c>
      <c r="AN47" s="17">
        <f t="shared" si="66"/>
        <v>0</v>
      </c>
      <c r="AO47" s="17"/>
      <c r="AP47" s="1">
        <f t="shared" si="72"/>
        <v>45309</v>
      </c>
      <c r="AQ47" s="44">
        <v>706.96401978494623</v>
      </c>
      <c r="AR47" s="44">
        <v>152.96144774193547</v>
      </c>
      <c r="AS47" s="44"/>
      <c r="AT47" s="44">
        <v>62.190281720430107</v>
      </c>
      <c r="AU47" s="44">
        <f t="shared" si="61"/>
        <v>922.11574924731178</v>
      </c>
      <c r="AV47" s="17">
        <f t="shared" si="67"/>
        <v>0</v>
      </c>
      <c r="AW47" s="17"/>
      <c r="AX47" s="1">
        <f t="shared" si="73"/>
        <v>45675</v>
      </c>
      <c r="AY47" s="44">
        <v>608.06200000000001</v>
      </c>
      <c r="AZ47" s="44">
        <v>166.15891590000001</v>
      </c>
      <c r="BA47" s="44"/>
      <c r="BB47" s="44">
        <v>51.104934086021508</v>
      </c>
      <c r="BC47" s="44">
        <f t="shared" si="62"/>
        <v>825.32584998602158</v>
      </c>
      <c r="BD47" s="17">
        <f t="shared" si="68"/>
        <v>0</v>
      </c>
    </row>
    <row r="48" spans="1:56" x14ac:dyDescent="0.3">
      <c r="A48" s="17"/>
      <c r="B48" s="1">
        <v>43484</v>
      </c>
      <c r="C48" s="35">
        <v>549</v>
      </c>
      <c r="D48" s="35">
        <v>105</v>
      </c>
      <c r="E48" s="35"/>
      <c r="F48" s="35">
        <v>44</v>
      </c>
      <c r="G48" s="7">
        <f t="shared" si="55"/>
        <v>698</v>
      </c>
      <c r="H48" s="17">
        <f t="shared" si="56"/>
        <v>0</v>
      </c>
      <c r="J48" s="1">
        <v>43849</v>
      </c>
      <c r="K48" s="101">
        <v>662.56399999999996</v>
      </c>
      <c r="L48" s="101">
        <v>121.121</v>
      </c>
      <c r="M48" s="101"/>
      <c r="N48" s="45">
        <v>41.762</v>
      </c>
      <c r="O48" s="7">
        <f t="shared" si="57"/>
        <v>825.44699999999989</v>
      </c>
      <c r="P48" s="17">
        <f t="shared" si="63"/>
        <v>0</v>
      </c>
      <c r="R48" s="1">
        <f t="shared" si="69"/>
        <v>44215</v>
      </c>
      <c r="S48" s="43">
        <v>569.68887999999993</v>
      </c>
      <c r="T48" s="44">
        <v>113.49644494623655</v>
      </c>
      <c r="V48" s="82">
        <v>55.640543225806454</v>
      </c>
      <c r="W48" s="7">
        <f t="shared" si="58"/>
        <v>738.82586817204299</v>
      </c>
      <c r="X48" s="17">
        <f t="shared" si="64"/>
        <v>0</v>
      </c>
      <c r="Y48" s="17"/>
      <c r="Z48" s="1">
        <f t="shared" si="70"/>
        <v>44580</v>
      </c>
      <c r="AA48" s="101">
        <v>633.03831010752685</v>
      </c>
      <c r="AB48" s="101">
        <v>127.16977032258065</v>
      </c>
      <c r="AC48" s="101"/>
      <c r="AD48" s="101">
        <v>55.349961290322582</v>
      </c>
      <c r="AE48" s="101">
        <f t="shared" si="59"/>
        <v>815.55804172043008</v>
      </c>
      <c r="AF48" s="17">
        <f t="shared" si="65"/>
        <v>0</v>
      </c>
      <c r="AH48" s="1">
        <f t="shared" si="71"/>
        <v>44945</v>
      </c>
      <c r="AI48" s="44">
        <v>634.74216935483867</v>
      </c>
      <c r="AJ48" s="44">
        <v>117.38111032258064</v>
      </c>
      <c r="AK48" s="44"/>
      <c r="AL48" s="44">
        <v>52.320476774193551</v>
      </c>
      <c r="AM48" s="44">
        <f t="shared" si="60"/>
        <v>804.4437564516129</v>
      </c>
      <c r="AN48" s="17">
        <f t="shared" si="66"/>
        <v>0</v>
      </c>
      <c r="AO48" s="17"/>
      <c r="AP48" s="1">
        <f t="shared" si="72"/>
        <v>45310</v>
      </c>
      <c r="AQ48" s="44">
        <v>816.24830892473119</v>
      </c>
      <c r="AR48" s="44">
        <v>176.20696741935484</v>
      </c>
      <c r="AS48" s="44"/>
      <c r="AT48" s="44">
        <v>61.09001698924731</v>
      </c>
      <c r="AU48" s="44">
        <f t="shared" si="61"/>
        <v>1053.5452933333333</v>
      </c>
      <c r="AV48" s="17">
        <f t="shared" si="67"/>
        <v>0</v>
      </c>
      <c r="AW48" s="17"/>
      <c r="AX48" s="1">
        <f t="shared" si="73"/>
        <v>45676</v>
      </c>
      <c r="AY48" s="44">
        <v>562.31799999999998</v>
      </c>
      <c r="AZ48" s="44">
        <v>156.33743999999999</v>
      </c>
      <c r="BA48" s="44"/>
      <c r="BB48" s="44">
        <v>45.064105268817201</v>
      </c>
      <c r="BC48" s="44">
        <f t="shared" si="62"/>
        <v>763.71954526881723</v>
      </c>
      <c r="BD48" s="17">
        <f t="shared" si="68"/>
        <v>0</v>
      </c>
    </row>
    <row r="49" spans="1:56" x14ac:dyDescent="0.3">
      <c r="A49" s="17"/>
      <c r="B49" s="1">
        <v>43485</v>
      </c>
      <c r="C49" s="35">
        <v>580</v>
      </c>
      <c r="D49" s="35">
        <v>118</v>
      </c>
      <c r="E49" s="35"/>
      <c r="F49" s="35">
        <v>40</v>
      </c>
      <c r="G49" s="7">
        <f t="shared" si="55"/>
        <v>738</v>
      </c>
      <c r="H49" s="17">
        <f t="shared" si="56"/>
        <v>0</v>
      </c>
      <c r="J49" s="1">
        <v>43850</v>
      </c>
      <c r="K49" s="101">
        <v>705.16800000000001</v>
      </c>
      <c r="L49" s="101">
        <v>123.867</v>
      </c>
      <c r="M49" s="101"/>
      <c r="N49" s="45">
        <v>52.847000000000001</v>
      </c>
      <c r="O49" s="7">
        <f t="shared" si="57"/>
        <v>881.88199999999995</v>
      </c>
      <c r="P49" s="17">
        <f t="shared" si="63"/>
        <v>0</v>
      </c>
      <c r="R49" s="1">
        <f t="shared" si="69"/>
        <v>44216</v>
      </c>
      <c r="S49" s="43">
        <v>571.21093204301064</v>
      </c>
      <c r="T49" s="44">
        <v>111.72465236559138</v>
      </c>
      <c r="V49" s="82">
        <v>53.871317419354838</v>
      </c>
      <c r="W49" s="7">
        <f t="shared" si="58"/>
        <v>736.80690182795684</v>
      </c>
      <c r="X49" s="17">
        <f t="shared" si="64"/>
        <v>0</v>
      </c>
      <c r="Y49" s="17"/>
      <c r="Z49" s="1">
        <f t="shared" si="70"/>
        <v>44581</v>
      </c>
      <c r="AA49" s="101">
        <v>581.71850473118275</v>
      </c>
      <c r="AB49" s="101">
        <v>116.21630709677419</v>
      </c>
      <c r="AC49" s="101"/>
      <c r="AD49" s="101">
        <v>49.908251612903229</v>
      </c>
      <c r="AE49" s="101">
        <f t="shared" si="59"/>
        <v>747.84306344086019</v>
      </c>
      <c r="AF49" s="17">
        <f t="shared" si="65"/>
        <v>0</v>
      </c>
      <c r="AH49" s="1">
        <f t="shared" si="71"/>
        <v>44946</v>
      </c>
      <c r="AI49" s="44">
        <v>622.14488978494626</v>
      </c>
      <c r="AJ49" s="44">
        <v>118.03317397849462</v>
      </c>
      <c r="AK49" s="44"/>
      <c r="AL49" s="44">
        <v>50.640758387096774</v>
      </c>
      <c r="AM49" s="44">
        <f t="shared" si="60"/>
        <v>790.81882215053759</v>
      </c>
      <c r="AN49" s="17">
        <f t="shared" si="66"/>
        <v>0</v>
      </c>
      <c r="AO49" s="17"/>
      <c r="AP49" s="1">
        <f t="shared" si="72"/>
        <v>45311</v>
      </c>
      <c r="AQ49" s="44">
        <v>694.62647064516125</v>
      </c>
      <c r="AR49" s="44">
        <v>152.28305870967742</v>
      </c>
      <c r="AS49" s="44"/>
      <c r="AT49" s="44">
        <v>57.261181935483869</v>
      </c>
      <c r="AU49" s="44">
        <f t="shared" si="61"/>
        <v>904.17071129032252</v>
      </c>
      <c r="AV49" s="17">
        <f t="shared" si="67"/>
        <v>0</v>
      </c>
      <c r="AW49" s="17"/>
      <c r="AX49" s="1">
        <f t="shared" si="73"/>
        <v>45677</v>
      </c>
      <c r="AY49" s="44">
        <v>645.096</v>
      </c>
      <c r="AZ49" s="44">
        <v>172.0826275</v>
      </c>
      <c r="BA49" s="44"/>
      <c r="BB49" s="44">
        <v>54.600884623655915</v>
      </c>
      <c r="BC49" s="44">
        <f t="shared" si="62"/>
        <v>871.77951212365588</v>
      </c>
      <c r="BD49" s="17">
        <f t="shared" si="68"/>
        <v>0</v>
      </c>
    </row>
    <row r="50" spans="1:56" x14ac:dyDescent="0.3">
      <c r="A50" s="17"/>
      <c r="B50" s="1">
        <v>43486</v>
      </c>
      <c r="C50" s="35">
        <v>690</v>
      </c>
      <c r="D50" s="35">
        <v>133</v>
      </c>
      <c r="E50" s="35"/>
      <c r="F50" s="35">
        <v>50</v>
      </c>
      <c r="G50" s="7">
        <f t="shared" si="55"/>
        <v>873</v>
      </c>
      <c r="H50" s="17">
        <f t="shared" si="56"/>
        <v>0</v>
      </c>
      <c r="J50" s="1">
        <v>43851</v>
      </c>
      <c r="K50" s="101">
        <v>671.86850000000004</v>
      </c>
      <c r="L50" s="101">
        <v>122.251</v>
      </c>
      <c r="M50" s="101"/>
      <c r="N50" s="45">
        <v>55.1</v>
      </c>
      <c r="O50" s="7">
        <f t="shared" si="57"/>
        <v>849.21950000000004</v>
      </c>
      <c r="P50" s="17">
        <f t="shared" si="63"/>
        <v>0</v>
      </c>
      <c r="R50" s="1">
        <f t="shared" si="69"/>
        <v>44217</v>
      </c>
      <c r="S50" s="43">
        <v>663.04938688172035</v>
      </c>
      <c r="T50" s="44">
        <v>123.96112731182794</v>
      </c>
      <c r="V50" s="82">
        <v>57.050562580645163</v>
      </c>
      <c r="W50" s="7">
        <f t="shared" si="58"/>
        <v>844.06107677419345</v>
      </c>
      <c r="X50" s="17">
        <f t="shared" si="64"/>
        <v>0</v>
      </c>
      <c r="Y50" s="17"/>
      <c r="Z50" s="1">
        <f t="shared" si="70"/>
        <v>44582</v>
      </c>
      <c r="AA50" s="101">
        <v>530.86718322580646</v>
      </c>
      <c r="AB50" s="101">
        <v>112.45617849462366</v>
      </c>
      <c r="AC50" s="101"/>
      <c r="AD50" s="101">
        <v>46.667887741935481</v>
      </c>
      <c r="AE50" s="101">
        <f t="shared" si="59"/>
        <v>689.99124946236554</v>
      </c>
      <c r="AF50" s="17">
        <f t="shared" si="65"/>
        <v>0</v>
      </c>
      <c r="AH50" s="1">
        <f t="shared" si="71"/>
        <v>44947</v>
      </c>
      <c r="AI50" s="44">
        <v>591.77545698924735</v>
      </c>
      <c r="AJ50" s="44">
        <v>129.37028731182795</v>
      </c>
      <c r="AK50" s="44"/>
      <c r="AL50" s="44">
        <v>50.813369139784946</v>
      </c>
      <c r="AM50" s="44">
        <f t="shared" si="60"/>
        <v>771.95911344086028</v>
      </c>
      <c r="AN50" s="17">
        <f t="shared" si="66"/>
        <v>0</v>
      </c>
      <c r="AO50" s="17"/>
      <c r="AP50" s="1">
        <f t="shared" si="72"/>
        <v>45312</v>
      </c>
      <c r="AQ50" s="44">
        <v>533.5921421505376</v>
      </c>
      <c r="AR50" s="44">
        <v>121.9796447311828</v>
      </c>
      <c r="AS50" s="44"/>
      <c r="AT50" s="44">
        <v>50.238238494623658</v>
      </c>
      <c r="AU50" s="44">
        <f t="shared" si="61"/>
        <v>705.81002537634413</v>
      </c>
      <c r="AV50" s="17">
        <f t="shared" si="67"/>
        <v>0</v>
      </c>
      <c r="AW50" s="17"/>
      <c r="AX50" s="1">
        <f t="shared" si="73"/>
        <v>45678</v>
      </c>
      <c r="AY50" s="44">
        <v>712.005</v>
      </c>
      <c r="AZ50" s="44">
        <v>159.28942129999999</v>
      </c>
      <c r="BA50" s="44"/>
      <c r="BB50" s="44">
        <v>58.223861935483868</v>
      </c>
      <c r="BC50" s="44">
        <f t="shared" si="62"/>
        <v>929.51828323548386</v>
      </c>
      <c r="BD50" s="17">
        <f t="shared" si="68"/>
        <v>0</v>
      </c>
    </row>
    <row r="51" spans="1:56" x14ac:dyDescent="0.3">
      <c r="A51" s="17"/>
      <c r="B51" s="1">
        <v>43487</v>
      </c>
      <c r="C51" s="35">
        <v>738</v>
      </c>
      <c r="D51" s="35">
        <v>159</v>
      </c>
      <c r="E51" s="35"/>
      <c r="F51" s="35">
        <v>54</v>
      </c>
      <c r="G51" s="7">
        <f t="shared" si="55"/>
        <v>951</v>
      </c>
      <c r="H51" s="17">
        <f t="shared" si="56"/>
        <v>0</v>
      </c>
      <c r="J51" s="1">
        <v>43852</v>
      </c>
      <c r="K51" s="101">
        <v>705.65800000000002</v>
      </c>
      <c r="L51" s="101">
        <v>125.794</v>
      </c>
      <c r="M51" s="101"/>
      <c r="N51" s="45">
        <v>55.982999999999997</v>
      </c>
      <c r="O51" s="7">
        <f t="shared" si="57"/>
        <v>887.43499999999995</v>
      </c>
      <c r="P51" s="17">
        <f t="shared" si="63"/>
        <v>0</v>
      </c>
      <c r="R51" s="1">
        <f t="shared" si="69"/>
        <v>44218</v>
      </c>
      <c r="S51" s="43">
        <v>640.53092881720431</v>
      </c>
      <c r="T51" s="44">
        <v>131.51849215053761</v>
      </c>
      <c r="V51" s="82">
        <v>56.831821935483873</v>
      </c>
      <c r="W51" s="7">
        <f t="shared" si="58"/>
        <v>828.88124290322583</v>
      </c>
      <c r="X51" s="17">
        <f t="shared" si="64"/>
        <v>0</v>
      </c>
      <c r="Y51" s="17"/>
      <c r="Z51" s="1">
        <f t="shared" si="70"/>
        <v>44583</v>
      </c>
      <c r="AA51" s="101">
        <v>627.91726086021504</v>
      </c>
      <c r="AB51" s="101">
        <v>135.37915956989247</v>
      </c>
      <c r="AC51" s="101"/>
      <c r="AD51" s="101">
        <v>50.242796129032257</v>
      </c>
      <c r="AE51" s="101">
        <f t="shared" si="59"/>
        <v>813.53921655913973</v>
      </c>
      <c r="AF51" s="17">
        <f t="shared" si="65"/>
        <v>0</v>
      </c>
      <c r="AH51" s="1">
        <f t="shared" si="71"/>
        <v>44948</v>
      </c>
      <c r="AI51" s="44">
        <v>588.61226344086026</v>
      </c>
      <c r="AJ51" s="44">
        <v>95.397556344086027</v>
      </c>
      <c r="AK51" s="44"/>
      <c r="AL51" s="44">
        <v>47.352523548387097</v>
      </c>
      <c r="AM51" s="44">
        <f t="shared" si="60"/>
        <v>731.36234333333346</v>
      </c>
      <c r="AN51" s="17">
        <f t="shared" si="66"/>
        <v>0</v>
      </c>
      <c r="AO51" s="17"/>
      <c r="AP51" s="1">
        <f t="shared" si="72"/>
        <v>45313</v>
      </c>
      <c r="AQ51" s="44">
        <v>544.4259794623656</v>
      </c>
      <c r="AR51" s="44">
        <v>119.93429161290322</v>
      </c>
      <c r="AS51" s="44"/>
      <c r="AT51" s="44">
        <v>53.606923655913981</v>
      </c>
      <c r="AU51" s="44">
        <f t="shared" si="61"/>
        <v>717.96719473118287</v>
      </c>
      <c r="AV51" s="17">
        <f t="shared" si="67"/>
        <v>0</v>
      </c>
      <c r="AW51" s="17"/>
      <c r="AX51" s="1">
        <f t="shared" si="73"/>
        <v>45679</v>
      </c>
      <c r="AY51" s="44">
        <v>664.70299999999997</v>
      </c>
      <c r="AZ51" s="44">
        <v>149.2794164</v>
      </c>
      <c r="BA51" s="44"/>
      <c r="BB51" s="44">
        <v>53.912551505376342</v>
      </c>
      <c r="BC51" s="44">
        <f t="shared" si="62"/>
        <v>867.89496790537623</v>
      </c>
      <c r="BD51" s="17">
        <f t="shared" si="68"/>
        <v>0</v>
      </c>
    </row>
    <row r="52" spans="1:56" x14ac:dyDescent="0.3">
      <c r="A52" s="17"/>
      <c r="B52" s="1">
        <v>43488</v>
      </c>
      <c r="C52" s="35">
        <v>698</v>
      </c>
      <c r="D52" s="35">
        <v>124</v>
      </c>
      <c r="E52" s="35"/>
      <c r="F52" s="35">
        <v>52</v>
      </c>
      <c r="G52" s="7">
        <f t="shared" si="55"/>
        <v>874</v>
      </c>
      <c r="H52" s="17">
        <f t="shared" si="56"/>
        <v>0</v>
      </c>
      <c r="J52" s="1">
        <v>43853</v>
      </c>
      <c r="K52" s="101">
        <v>704.18849999999998</v>
      </c>
      <c r="L52" s="101">
        <v>162.06299999999999</v>
      </c>
      <c r="M52" s="101"/>
      <c r="N52" s="45">
        <v>58.899000000000001</v>
      </c>
      <c r="O52" s="7">
        <f t="shared" si="57"/>
        <v>925.15049999999997</v>
      </c>
      <c r="P52" s="17">
        <f t="shared" si="63"/>
        <v>0</v>
      </c>
      <c r="R52" s="1">
        <f t="shared" si="69"/>
        <v>44219</v>
      </c>
      <c r="S52" s="43">
        <v>594.52893591397844</v>
      </c>
      <c r="T52" s="44">
        <v>133.37124537634406</v>
      </c>
      <c r="V52" s="82">
        <v>56.367534193548387</v>
      </c>
      <c r="W52" s="7">
        <f t="shared" si="58"/>
        <v>784.26771548387092</v>
      </c>
      <c r="X52" s="17">
        <f t="shared" si="64"/>
        <v>0</v>
      </c>
      <c r="Y52" s="17"/>
      <c r="Z52" s="1">
        <f t="shared" si="70"/>
        <v>44584</v>
      </c>
      <c r="AA52" s="101">
        <v>612.45833419354835</v>
      </c>
      <c r="AB52" s="101">
        <v>134.97232258064517</v>
      </c>
      <c r="AC52" s="101"/>
      <c r="AD52" s="101">
        <v>41.568228387096774</v>
      </c>
      <c r="AE52" s="101">
        <f t="shared" si="59"/>
        <v>788.99888516129022</v>
      </c>
      <c r="AF52" s="17">
        <f t="shared" si="65"/>
        <v>0</v>
      </c>
      <c r="AH52" s="1">
        <f t="shared" si="71"/>
        <v>44949</v>
      </c>
      <c r="AI52" s="44">
        <v>676.77827956989245</v>
      </c>
      <c r="AJ52" s="44">
        <v>138.17421913978495</v>
      </c>
      <c r="AK52" s="44"/>
      <c r="AL52" s="44">
        <v>56.327203870967743</v>
      </c>
      <c r="AM52" s="44">
        <f t="shared" si="60"/>
        <v>871.27970258064522</v>
      </c>
      <c r="AN52" s="17">
        <f t="shared" si="66"/>
        <v>0</v>
      </c>
      <c r="AO52" s="17"/>
      <c r="AP52" s="1">
        <f t="shared" si="72"/>
        <v>45314</v>
      </c>
      <c r="AQ52" s="44">
        <v>569.21080806451607</v>
      </c>
      <c r="AR52" s="44">
        <v>133.63245333333333</v>
      </c>
      <c r="AS52" s="44"/>
      <c r="AT52" s="44">
        <v>53.646796129032261</v>
      </c>
      <c r="AU52" s="44">
        <f t="shared" si="61"/>
        <v>756.49005752688163</v>
      </c>
      <c r="AV52" s="17">
        <f t="shared" si="67"/>
        <v>0</v>
      </c>
      <c r="AW52" s="17"/>
      <c r="AX52" s="1">
        <f t="shared" si="73"/>
        <v>45680</v>
      </c>
      <c r="AY52" s="44">
        <v>617.04999999999995</v>
      </c>
      <c r="AZ52" s="44">
        <v>171.2685783</v>
      </c>
      <c r="BA52" s="44"/>
      <c r="BB52" s="44">
        <v>49.744553333333336</v>
      </c>
      <c r="BC52" s="44">
        <f t="shared" si="62"/>
        <v>838.06313163333323</v>
      </c>
      <c r="BD52" s="17">
        <f t="shared" si="68"/>
        <v>0</v>
      </c>
    </row>
    <row r="53" spans="1:56" x14ac:dyDescent="0.3">
      <c r="A53" s="17"/>
      <c r="B53" s="1">
        <v>43489</v>
      </c>
      <c r="C53" s="35">
        <v>720</v>
      </c>
      <c r="D53" s="35">
        <v>125</v>
      </c>
      <c r="E53" s="35"/>
      <c r="F53" s="35">
        <v>50</v>
      </c>
      <c r="G53" s="7">
        <f t="shared" si="55"/>
        <v>895</v>
      </c>
      <c r="H53" s="17">
        <f t="shared" si="56"/>
        <v>0</v>
      </c>
      <c r="J53" s="1">
        <v>43854</v>
      </c>
      <c r="K53" s="101">
        <v>850.60900000000004</v>
      </c>
      <c r="L53" s="101">
        <v>141.511</v>
      </c>
      <c r="M53" s="101"/>
      <c r="N53" s="45">
        <v>62.161999999999999</v>
      </c>
      <c r="O53" s="7">
        <f t="shared" si="57"/>
        <v>1054.2819999999999</v>
      </c>
      <c r="P53" s="17">
        <f t="shared" si="63"/>
        <v>0</v>
      </c>
      <c r="R53" s="1">
        <f t="shared" si="69"/>
        <v>44220</v>
      </c>
      <c r="S53" s="43">
        <v>581.04701118279559</v>
      </c>
      <c r="T53" s="44">
        <v>115.86506279569892</v>
      </c>
      <c r="V53" s="82">
        <v>48.882100645161294</v>
      </c>
      <c r="W53" s="7">
        <f t="shared" si="58"/>
        <v>745.79417462365575</v>
      </c>
      <c r="X53" s="17">
        <f t="shared" si="64"/>
        <v>0</v>
      </c>
      <c r="Y53" s="17"/>
      <c r="Z53" s="1">
        <f t="shared" si="70"/>
        <v>44585</v>
      </c>
      <c r="AA53" s="101">
        <v>737.20934258064517</v>
      </c>
      <c r="AB53" s="101">
        <v>151.2530670967742</v>
      </c>
      <c r="AC53" s="101"/>
      <c r="AD53" s="101">
        <v>55.490427096774191</v>
      </c>
      <c r="AE53" s="101">
        <f t="shared" si="59"/>
        <v>943.95283677419354</v>
      </c>
      <c r="AF53" s="17">
        <f t="shared" si="65"/>
        <v>0</v>
      </c>
      <c r="AH53" s="1">
        <f t="shared" si="71"/>
        <v>44950</v>
      </c>
      <c r="AI53" s="44">
        <v>753.74078494623654</v>
      </c>
      <c r="AJ53" s="44">
        <v>138.6804264516129</v>
      </c>
      <c r="AK53" s="44"/>
      <c r="AL53" s="44">
        <v>58.435212688172044</v>
      </c>
      <c r="AM53" s="44">
        <f t="shared" si="60"/>
        <v>950.85642408602143</v>
      </c>
      <c r="AN53" s="17">
        <f t="shared" si="66"/>
        <v>0</v>
      </c>
      <c r="AO53" s="17"/>
      <c r="AP53" s="1">
        <f t="shared" si="72"/>
        <v>45315</v>
      </c>
      <c r="AQ53" s="44">
        <v>708.83248333333336</v>
      </c>
      <c r="AR53" s="44">
        <v>142.82533774193547</v>
      </c>
      <c r="AS53" s="44"/>
      <c r="AT53" s="44">
        <v>61.994152258064517</v>
      </c>
      <c r="AU53" s="44">
        <f t="shared" si="61"/>
        <v>913.65197333333344</v>
      </c>
      <c r="AV53" s="17">
        <f t="shared" si="67"/>
        <v>0</v>
      </c>
      <c r="AW53" s="17"/>
      <c r="AX53" s="1">
        <f t="shared" si="73"/>
        <v>45681</v>
      </c>
      <c r="AY53" s="44">
        <v>694.423</v>
      </c>
      <c r="AZ53" s="44">
        <v>169.8931584</v>
      </c>
      <c r="BA53" s="44"/>
      <c r="BB53" s="44">
        <v>54.774596451612901</v>
      </c>
      <c r="BC53" s="44">
        <f t="shared" si="62"/>
        <v>919.09075485161281</v>
      </c>
      <c r="BD53" s="17">
        <f t="shared" si="68"/>
        <v>0</v>
      </c>
    </row>
    <row r="54" spans="1:56" x14ac:dyDescent="0.3">
      <c r="A54" s="17"/>
      <c r="B54" s="1">
        <v>43490</v>
      </c>
      <c r="C54" s="35">
        <v>805</v>
      </c>
      <c r="D54" s="35">
        <v>145</v>
      </c>
      <c r="E54" s="35"/>
      <c r="F54" s="35">
        <v>52</v>
      </c>
      <c r="G54" s="7">
        <f t="shared" si="55"/>
        <v>1002</v>
      </c>
      <c r="H54" s="17">
        <f t="shared" si="56"/>
        <v>0</v>
      </c>
      <c r="J54" s="1">
        <v>43855</v>
      </c>
      <c r="K54" s="101">
        <v>708.10599999999999</v>
      </c>
      <c r="L54" s="101">
        <v>137.50400000000002</v>
      </c>
      <c r="M54" s="101"/>
      <c r="N54" s="45">
        <v>55.912999999999997</v>
      </c>
      <c r="O54" s="7">
        <f t="shared" si="57"/>
        <v>901.52300000000002</v>
      </c>
      <c r="P54" s="17">
        <f t="shared" si="63"/>
        <v>0</v>
      </c>
      <c r="R54" s="1">
        <f t="shared" si="69"/>
        <v>44221</v>
      </c>
      <c r="S54" s="43">
        <v>726.37174903225798</v>
      </c>
      <c r="T54" s="44">
        <v>157.84211935483867</v>
      </c>
      <c r="V54" s="82">
        <v>61.447892903225807</v>
      </c>
      <c r="W54" s="7">
        <f t="shared" si="58"/>
        <v>945.66176129032249</v>
      </c>
      <c r="X54" s="17">
        <f t="shared" si="64"/>
        <v>0</v>
      </c>
      <c r="Y54" s="17"/>
      <c r="Z54" s="1">
        <f t="shared" si="70"/>
        <v>44586</v>
      </c>
      <c r="AA54" s="101">
        <v>762.92390172043008</v>
      </c>
      <c r="AB54" s="101">
        <v>167.59089333333333</v>
      </c>
      <c r="AC54" s="101"/>
      <c r="AD54" s="101">
        <v>63.603131612903226</v>
      </c>
      <c r="AE54" s="101">
        <f t="shared" si="59"/>
        <v>994.11792666666668</v>
      </c>
      <c r="AF54" s="17">
        <f t="shared" si="65"/>
        <v>0</v>
      </c>
      <c r="AH54" s="1">
        <f t="shared" si="71"/>
        <v>44951</v>
      </c>
      <c r="AI54" s="44">
        <v>783.31088172043007</v>
      </c>
      <c r="AJ54" s="44">
        <v>172.33785032258064</v>
      </c>
      <c r="AK54" s="44"/>
      <c r="AL54" s="44">
        <v>63.04715623655914</v>
      </c>
      <c r="AM54" s="44">
        <f t="shared" si="60"/>
        <v>1018.6958882795698</v>
      </c>
      <c r="AN54" s="17">
        <f t="shared" si="66"/>
        <v>0</v>
      </c>
      <c r="AO54" s="17"/>
      <c r="AP54" s="1">
        <f t="shared" si="72"/>
        <v>45316</v>
      </c>
      <c r="AQ54" s="44">
        <v>625.1366958064516</v>
      </c>
      <c r="AR54" s="44">
        <v>139.3753322580645</v>
      </c>
      <c r="AS54" s="44"/>
      <c r="AT54" s="44">
        <v>57.029490537634409</v>
      </c>
      <c r="AU54" s="44">
        <f t="shared" si="61"/>
        <v>821.54151860215052</v>
      </c>
      <c r="AV54" s="17">
        <f t="shared" si="67"/>
        <v>0</v>
      </c>
      <c r="AW54" s="17"/>
      <c r="AX54" s="1">
        <f t="shared" si="73"/>
        <v>45682</v>
      </c>
      <c r="AY54" s="44">
        <v>631.52099999999996</v>
      </c>
      <c r="AZ54" s="44">
        <v>158.0197982</v>
      </c>
      <c r="BA54" s="44"/>
      <c r="BB54" s="44">
        <v>47.094362258064514</v>
      </c>
      <c r="BC54" s="44">
        <f t="shared" si="62"/>
        <v>836.63516045806443</v>
      </c>
      <c r="BD54" s="17">
        <f t="shared" si="68"/>
        <v>0</v>
      </c>
    </row>
    <row r="55" spans="1:56" x14ac:dyDescent="0.3">
      <c r="A55" s="17"/>
      <c r="B55" s="1">
        <v>43491</v>
      </c>
      <c r="C55" s="35">
        <v>727</v>
      </c>
      <c r="D55" s="35">
        <v>126</v>
      </c>
      <c r="E55" s="35"/>
      <c r="F55" s="35">
        <v>50</v>
      </c>
      <c r="G55" s="7">
        <f t="shared" si="55"/>
        <v>903</v>
      </c>
      <c r="H55" s="17">
        <f t="shared" si="56"/>
        <v>0</v>
      </c>
      <c r="J55" s="1">
        <v>43856</v>
      </c>
      <c r="K55" s="101">
        <v>623.87800000000004</v>
      </c>
      <c r="L55" s="101">
        <v>131.39600000000002</v>
      </c>
      <c r="M55" s="101"/>
      <c r="N55" s="45">
        <v>44.43</v>
      </c>
      <c r="O55" s="7">
        <f t="shared" si="57"/>
        <v>799.70400000000006</v>
      </c>
      <c r="P55" s="17">
        <f t="shared" si="63"/>
        <v>0</v>
      </c>
      <c r="R55" s="1">
        <f t="shared" si="69"/>
        <v>44222</v>
      </c>
      <c r="S55" s="43">
        <v>754.40061849462359</v>
      </c>
      <c r="T55" s="44">
        <v>174.61965612903225</v>
      </c>
      <c r="V55" s="82">
        <v>64.52420129032258</v>
      </c>
      <c r="W55" s="7">
        <f t="shared" si="58"/>
        <v>993.54447591397843</v>
      </c>
      <c r="X55" s="17">
        <f t="shared" si="64"/>
        <v>0</v>
      </c>
      <c r="Y55" s="17"/>
      <c r="Z55" s="1">
        <f t="shared" si="70"/>
        <v>44587</v>
      </c>
      <c r="AA55" s="101">
        <v>758.00482107526886</v>
      </c>
      <c r="AB55" s="101">
        <v>153.50520043010752</v>
      </c>
      <c r="AC55" s="101"/>
      <c r="AD55" s="101">
        <v>62.201690322580646</v>
      </c>
      <c r="AE55" s="101">
        <f t="shared" si="59"/>
        <v>973.71171182795706</v>
      </c>
      <c r="AF55" s="17">
        <f t="shared" si="65"/>
        <v>0</v>
      </c>
      <c r="AH55" s="1">
        <f t="shared" si="71"/>
        <v>44952</v>
      </c>
      <c r="AI55" s="44">
        <v>856.94691129032253</v>
      </c>
      <c r="AJ55" s="44">
        <v>142.21100795698925</v>
      </c>
      <c r="AK55" s="44"/>
      <c r="AL55" s="44">
        <v>66.810070645161289</v>
      </c>
      <c r="AM55" s="44">
        <f t="shared" si="60"/>
        <v>1065.967989892473</v>
      </c>
      <c r="AN55" s="17">
        <f t="shared" si="66"/>
        <v>0</v>
      </c>
      <c r="AO55" s="17"/>
      <c r="AP55" s="1">
        <f t="shared" si="72"/>
        <v>45317</v>
      </c>
      <c r="AQ55" s="44">
        <v>618.42079365591394</v>
      </c>
      <c r="AR55" s="44">
        <v>131.86008559139785</v>
      </c>
      <c r="AS55" s="44"/>
      <c r="AT55" s="44">
        <v>61.972599569892473</v>
      </c>
      <c r="AU55" s="44">
        <f t="shared" si="61"/>
        <v>812.25347881720427</v>
      </c>
      <c r="AV55" s="17">
        <f t="shared" si="67"/>
        <v>0</v>
      </c>
      <c r="AW55" s="17"/>
      <c r="AX55" s="1">
        <f t="shared" si="73"/>
        <v>45683</v>
      </c>
      <c r="AY55" s="44">
        <v>535.94500000000005</v>
      </c>
      <c r="AZ55" s="44">
        <v>139.23164850000001</v>
      </c>
      <c r="BA55" s="44"/>
      <c r="BB55" s="44">
        <v>40.84507924731183</v>
      </c>
      <c r="BC55" s="44">
        <f t="shared" si="62"/>
        <v>716.02172774731184</v>
      </c>
      <c r="BD55" s="17">
        <f t="shared" si="68"/>
        <v>0</v>
      </c>
    </row>
    <row r="56" spans="1:56" x14ac:dyDescent="0.3">
      <c r="A56" s="17"/>
      <c r="B56" s="1">
        <v>43492</v>
      </c>
      <c r="C56" s="35">
        <v>653</v>
      </c>
      <c r="D56" s="35">
        <v>119</v>
      </c>
      <c r="E56" s="35"/>
      <c r="F56" s="35">
        <v>41</v>
      </c>
      <c r="G56" s="7">
        <f t="shared" si="55"/>
        <v>813</v>
      </c>
      <c r="H56" s="17">
        <f t="shared" si="56"/>
        <v>0</v>
      </c>
      <c r="J56" s="1">
        <v>43857</v>
      </c>
      <c r="K56" s="101">
        <v>693.41499999999996</v>
      </c>
      <c r="L56" s="101">
        <v>134.73099999999999</v>
      </c>
      <c r="M56" s="101"/>
      <c r="N56" s="45">
        <v>57.256</v>
      </c>
      <c r="O56" s="7">
        <f t="shared" si="57"/>
        <v>885.40199999999993</v>
      </c>
      <c r="P56" s="17">
        <f t="shared" si="63"/>
        <v>0</v>
      </c>
      <c r="R56" s="1">
        <f t="shared" si="69"/>
        <v>44223</v>
      </c>
      <c r="S56" s="43">
        <v>863.03682279569887</v>
      </c>
      <c r="T56" s="44">
        <v>176.52742107526879</v>
      </c>
      <c r="V56" s="82">
        <v>68.12055483870968</v>
      </c>
      <c r="W56" s="7">
        <f t="shared" si="58"/>
        <v>1107.6847987096774</v>
      </c>
      <c r="X56" s="17">
        <f t="shared" si="64"/>
        <v>0</v>
      </c>
      <c r="Y56" s="17"/>
      <c r="Z56" s="1">
        <f t="shared" si="70"/>
        <v>44588</v>
      </c>
      <c r="AA56" s="101">
        <v>611.38290344086022</v>
      </c>
      <c r="AB56" s="101">
        <v>131.04198666666667</v>
      </c>
      <c r="AC56" s="101"/>
      <c r="AD56" s="101">
        <v>53.082135483870971</v>
      </c>
      <c r="AE56" s="101">
        <f t="shared" si="59"/>
        <v>795.50702559139779</v>
      </c>
      <c r="AF56" s="17">
        <f t="shared" si="65"/>
        <v>0</v>
      </c>
      <c r="AH56" s="1">
        <f t="shared" si="71"/>
        <v>44953</v>
      </c>
      <c r="AI56" s="44">
        <v>758.59549731182801</v>
      </c>
      <c r="AJ56" s="44">
        <v>160.1138017204301</v>
      </c>
      <c r="AK56" s="44"/>
      <c r="AL56" s="44">
        <v>65.832662258064516</v>
      </c>
      <c r="AM56" s="44">
        <f t="shared" si="60"/>
        <v>984.54196129032255</v>
      </c>
      <c r="AN56" s="17">
        <f t="shared" si="66"/>
        <v>0</v>
      </c>
      <c r="AO56" s="17"/>
      <c r="AP56" s="1">
        <f t="shared" si="72"/>
        <v>45318</v>
      </c>
      <c r="AQ56" s="44">
        <v>619.9600662365591</v>
      </c>
      <c r="AR56" s="44">
        <v>162.57908924731183</v>
      </c>
      <c r="AS56" s="44"/>
      <c r="AT56" s="44">
        <v>56.379676989247315</v>
      </c>
      <c r="AU56" s="44">
        <f t="shared" si="61"/>
        <v>838.91883247311819</v>
      </c>
      <c r="AV56" s="17">
        <f t="shared" si="67"/>
        <v>0</v>
      </c>
      <c r="AW56" s="17"/>
      <c r="AX56" s="1">
        <f t="shared" si="73"/>
        <v>45684</v>
      </c>
      <c r="AY56" s="44">
        <v>694.029</v>
      </c>
      <c r="AZ56" s="44">
        <v>186.3935055</v>
      </c>
      <c r="BA56" s="44"/>
      <c r="BB56" s="44">
        <v>56.942737204301075</v>
      </c>
      <c r="BC56" s="44">
        <f t="shared" si="62"/>
        <v>937.36524270430107</v>
      </c>
      <c r="BD56" s="17">
        <f t="shared" si="68"/>
        <v>0</v>
      </c>
    </row>
    <row r="57" spans="1:56" x14ac:dyDescent="0.3">
      <c r="A57" s="17"/>
      <c r="B57" s="1">
        <v>43493</v>
      </c>
      <c r="C57" s="35">
        <v>739</v>
      </c>
      <c r="D57" s="35">
        <v>136</v>
      </c>
      <c r="E57" s="35"/>
      <c r="F57" s="35">
        <v>48</v>
      </c>
      <c r="G57" s="7">
        <f t="shared" si="55"/>
        <v>923</v>
      </c>
      <c r="H57" s="17">
        <f t="shared" si="56"/>
        <v>0</v>
      </c>
      <c r="J57" s="1">
        <v>43858</v>
      </c>
      <c r="K57" s="101">
        <v>735.04</v>
      </c>
      <c r="L57" s="101">
        <v>153.76499999999999</v>
      </c>
      <c r="M57" s="101"/>
      <c r="N57" s="45">
        <v>60.314</v>
      </c>
      <c r="O57" s="7">
        <f t="shared" si="57"/>
        <v>949.11899999999991</v>
      </c>
      <c r="P57" s="17">
        <f t="shared" si="63"/>
        <v>0</v>
      </c>
      <c r="R57" s="1">
        <f t="shared" si="69"/>
        <v>44224</v>
      </c>
      <c r="S57" s="43">
        <v>796.37781440860215</v>
      </c>
      <c r="T57" s="44">
        <v>176.26689387096772</v>
      </c>
      <c r="V57" s="82">
        <v>68.331789677419351</v>
      </c>
      <c r="W57" s="7">
        <f t="shared" si="58"/>
        <v>1040.9764979569891</v>
      </c>
      <c r="X57" s="17">
        <f t="shared" si="64"/>
        <v>0</v>
      </c>
      <c r="Y57" s="17"/>
      <c r="Z57" s="1">
        <f t="shared" si="70"/>
        <v>44589</v>
      </c>
      <c r="AA57" s="101">
        <v>630.4272933333333</v>
      </c>
      <c r="AB57" s="101">
        <v>123.79157032258064</v>
      </c>
      <c r="AC57" s="101"/>
      <c r="AD57" s="101">
        <v>49.695944516129032</v>
      </c>
      <c r="AE57" s="101">
        <f t="shared" si="59"/>
        <v>803.91480817204297</v>
      </c>
      <c r="AF57" s="17">
        <f t="shared" si="65"/>
        <v>0</v>
      </c>
      <c r="AH57" s="1">
        <f t="shared" si="71"/>
        <v>44954</v>
      </c>
      <c r="AI57" s="44">
        <v>640.04617473118276</v>
      </c>
      <c r="AJ57" s="44">
        <v>135.62280559139785</v>
      </c>
      <c r="AK57" s="44"/>
      <c r="AL57" s="44">
        <v>58.219449247311829</v>
      </c>
      <c r="AM57" s="44">
        <f t="shared" si="60"/>
        <v>833.88842956989242</v>
      </c>
      <c r="AN57" s="17">
        <f t="shared" si="66"/>
        <v>0</v>
      </c>
      <c r="AO57" s="17"/>
      <c r="AP57" s="1">
        <f t="shared" si="72"/>
        <v>45319</v>
      </c>
      <c r="AQ57" s="44">
        <v>590.67832645161286</v>
      </c>
      <c r="AR57" s="44">
        <v>123.99953279569893</v>
      </c>
      <c r="AS57" s="44"/>
      <c r="AT57" s="44">
        <v>50.000081290322584</v>
      </c>
      <c r="AU57" s="44">
        <f t="shared" si="61"/>
        <v>764.6779405376343</v>
      </c>
      <c r="AV57" s="17">
        <f t="shared" si="67"/>
        <v>0</v>
      </c>
      <c r="AW57" s="17"/>
      <c r="AX57" s="1">
        <f t="shared" si="73"/>
        <v>45685</v>
      </c>
      <c r="AY57" s="44">
        <v>684.95899999999995</v>
      </c>
      <c r="AZ57" s="44">
        <v>179.87232399999999</v>
      </c>
      <c r="BA57" s="44"/>
      <c r="BB57" s="44">
        <v>63.069336236559138</v>
      </c>
      <c r="BC57" s="44">
        <f t="shared" si="62"/>
        <v>927.90066023655913</v>
      </c>
      <c r="BD57" s="17">
        <f t="shared" si="68"/>
        <v>0</v>
      </c>
    </row>
    <row r="58" spans="1:56" x14ac:dyDescent="0.3">
      <c r="A58" s="17"/>
      <c r="B58" s="1">
        <v>43494</v>
      </c>
      <c r="C58" s="35">
        <v>824</v>
      </c>
      <c r="D58" s="35">
        <v>169</v>
      </c>
      <c r="E58" s="35"/>
      <c r="F58" s="35">
        <v>56</v>
      </c>
      <c r="G58" s="7">
        <f t="shared" si="55"/>
        <v>1049</v>
      </c>
      <c r="H58" s="17">
        <f t="shared" si="56"/>
        <v>0</v>
      </c>
      <c r="J58" s="1">
        <v>43859</v>
      </c>
      <c r="K58" s="101">
        <v>821.22699999999998</v>
      </c>
      <c r="L58" s="101">
        <v>161.92599999999999</v>
      </c>
      <c r="M58" s="101"/>
      <c r="N58" s="45">
        <v>63.881999999999998</v>
      </c>
      <c r="O58" s="7">
        <f t="shared" si="57"/>
        <v>1047.0350000000001</v>
      </c>
      <c r="P58" s="17">
        <f t="shared" si="63"/>
        <v>0</v>
      </c>
      <c r="R58" s="1">
        <f t="shared" si="69"/>
        <v>44225</v>
      </c>
      <c r="S58" s="43">
        <v>801.74559849462366</v>
      </c>
      <c r="T58" s="44">
        <v>180.79757612903225</v>
      </c>
      <c r="V58" s="82">
        <v>71.925998709677415</v>
      </c>
      <c r="W58" s="7">
        <f t="shared" si="58"/>
        <v>1054.4691733333334</v>
      </c>
      <c r="X58" s="17">
        <f t="shared" si="64"/>
        <v>0</v>
      </c>
      <c r="Y58" s="17"/>
      <c r="Z58" s="1">
        <f t="shared" si="70"/>
        <v>44590</v>
      </c>
      <c r="AA58" s="101">
        <v>656.1647561290323</v>
      </c>
      <c r="AB58" s="101">
        <v>143.386168172043</v>
      </c>
      <c r="AC58" s="101"/>
      <c r="AD58" s="101">
        <v>44.558756129032261</v>
      </c>
      <c r="AE58" s="101">
        <f t="shared" si="59"/>
        <v>844.10968043010757</v>
      </c>
      <c r="AF58" s="17">
        <f t="shared" si="65"/>
        <v>0</v>
      </c>
      <c r="AH58" s="1">
        <f t="shared" si="71"/>
        <v>44955</v>
      </c>
      <c r="AI58" s="44">
        <v>601.7836989247312</v>
      </c>
      <c r="AJ58" s="44">
        <v>127.90099913978494</v>
      </c>
      <c r="AK58" s="44"/>
      <c r="AL58" s="44">
        <v>48.494990967741934</v>
      </c>
      <c r="AM58" s="44">
        <f t="shared" si="60"/>
        <v>778.17968903225812</v>
      </c>
      <c r="AN58" s="17">
        <f t="shared" si="66"/>
        <v>0</v>
      </c>
      <c r="AO58" s="17"/>
      <c r="AP58" s="1">
        <f t="shared" si="72"/>
        <v>45320</v>
      </c>
      <c r="AQ58" s="44">
        <v>610.02540795698928</v>
      </c>
      <c r="AR58" s="44">
        <v>123.49736193548387</v>
      </c>
      <c r="AS58" s="44"/>
      <c r="AT58" s="44">
        <v>53.992716774193546</v>
      </c>
      <c r="AU58" s="44">
        <f t="shared" si="61"/>
        <v>787.51548666666679</v>
      </c>
      <c r="AV58" s="17">
        <f t="shared" si="67"/>
        <v>0</v>
      </c>
      <c r="AW58" s="17"/>
      <c r="AX58" s="1">
        <f t="shared" si="73"/>
        <v>45686</v>
      </c>
      <c r="AY58" s="44">
        <v>753.07799999999997</v>
      </c>
      <c r="AZ58" s="44">
        <v>164.94593599999999</v>
      </c>
      <c r="BA58" s="44"/>
      <c r="BB58" s="44">
        <v>61.440787849462367</v>
      </c>
      <c r="BC58" s="44">
        <f t="shared" si="62"/>
        <v>979.4647238494623</v>
      </c>
      <c r="BD58" s="17">
        <f t="shared" si="68"/>
        <v>0</v>
      </c>
    </row>
    <row r="59" spans="1:56" x14ac:dyDescent="0.3">
      <c r="A59" s="17"/>
      <c r="B59" s="1">
        <v>43495</v>
      </c>
      <c r="C59" s="35">
        <v>829</v>
      </c>
      <c r="D59" s="35">
        <v>165</v>
      </c>
      <c r="E59" s="35"/>
      <c r="F59" s="35">
        <v>58</v>
      </c>
      <c r="G59" s="7">
        <f t="shared" si="55"/>
        <v>1052</v>
      </c>
      <c r="H59" s="17">
        <f t="shared" si="56"/>
        <v>0</v>
      </c>
      <c r="J59" s="1">
        <v>43860</v>
      </c>
      <c r="K59" s="101">
        <v>713.98250000000007</v>
      </c>
      <c r="L59" s="101">
        <v>139.80599999999998</v>
      </c>
      <c r="M59" s="101"/>
      <c r="N59" s="45">
        <v>61.195</v>
      </c>
      <c r="O59" s="7">
        <f t="shared" si="57"/>
        <v>914.98350000000016</v>
      </c>
      <c r="P59" s="17">
        <f t="shared" si="63"/>
        <v>0</v>
      </c>
      <c r="R59" s="1">
        <f t="shared" si="69"/>
        <v>44226</v>
      </c>
      <c r="S59" s="43">
        <v>621.13257333333331</v>
      </c>
      <c r="T59" s="44">
        <v>162.89281806451612</v>
      </c>
      <c r="V59" s="82">
        <v>60.448548387096771</v>
      </c>
      <c r="W59" s="7">
        <f t="shared" si="58"/>
        <v>844.47393978494631</v>
      </c>
      <c r="X59" s="17">
        <f t="shared" si="64"/>
        <v>0</v>
      </c>
      <c r="Y59" s="17"/>
      <c r="Z59" s="1">
        <f t="shared" si="70"/>
        <v>44591</v>
      </c>
      <c r="AA59" s="101">
        <v>663.77813956989246</v>
      </c>
      <c r="AB59" s="101">
        <v>147.56351225806452</v>
      </c>
      <c r="AC59" s="101"/>
      <c r="AD59" s="101">
        <v>46.919868387096777</v>
      </c>
      <c r="AE59" s="101">
        <f t="shared" si="59"/>
        <v>858.26152021505379</v>
      </c>
      <c r="AF59" s="17">
        <f t="shared" si="65"/>
        <v>0</v>
      </c>
      <c r="AH59" s="1">
        <f t="shared" si="71"/>
        <v>44956</v>
      </c>
      <c r="AI59" s="44">
        <v>738.42533602150536</v>
      </c>
      <c r="AJ59" s="44">
        <v>163.69907935483872</v>
      </c>
      <c r="AK59" s="44"/>
      <c r="AL59" s="44">
        <v>59.498926451612903</v>
      </c>
      <c r="AM59" s="44">
        <f t="shared" si="60"/>
        <v>961.62334182795701</v>
      </c>
      <c r="AN59" s="17">
        <f t="shared" si="66"/>
        <v>0</v>
      </c>
      <c r="AO59" s="17"/>
      <c r="AP59" s="1">
        <f t="shared" si="72"/>
        <v>45321</v>
      </c>
      <c r="AQ59" s="44">
        <v>727.89507881720431</v>
      </c>
      <c r="AR59" s="44">
        <v>134.76106451612904</v>
      </c>
      <c r="AS59" s="44"/>
      <c r="AT59" s="44">
        <v>59.666461935483873</v>
      </c>
      <c r="AU59" s="44">
        <f t="shared" si="61"/>
        <v>922.32260526881726</v>
      </c>
      <c r="AV59" s="17">
        <f t="shared" si="67"/>
        <v>0</v>
      </c>
      <c r="AW59" s="17"/>
      <c r="AX59" s="1">
        <f t="shared" si="73"/>
        <v>45687</v>
      </c>
      <c r="AY59" s="44">
        <v>671.20699999999999</v>
      </c>
      <c r="AZ59" s="44">
        <v>155.97024730000001</v>
      </c>
      <c r="BA59" s="44"/>
      <c r="BB59" s="44">
        <v>58.774311290322579</v>
      </c>
      <c r="BC59" s="44">
        <f t="shared" si="62"/>
        <v>885.95155859032252</v>
      </c>
      <c r="BD59" s="17">
        <f t="shared" si="68"/>
        <v>0</v>
      </c>
    </row>
    <row r="60" spans="1:56" s="58" customFormat="1" x14ac:dyDescent="0.3">
      <c r="A60" s="68"/>
      <c r="B60" s="69">
        <v>43496</v>
      </c>
      <c r="C60" s="79">
        <v>829</v>
      </c>
      <c r="D60" s="79">
        <v>144</v>
      </c>
      <c r="E60" s="79"/>
      <c r="F60" s="79">
        <v>55</v>
      </c>
      <c r="G60" s="74">
        <f t="shared" si="55"/>
        <v>1028</v>
      </c>
      <c r="H60" s="68">
        <f t="shared" si="56"/>
        <v>0</v>
      </c>
      <c r="J60" s="69">
        <v>43861</v>
      </c>
      <c r="K60" s="103">
        <v>693.41499999999996</v>
      </c>
      <c r="L60" s="103">
        <v>129.583</v>
      </c>
      <c r="M60" s="103"/>
      <c r="N60" s="104">
        <v>60.564999999999998</v>
      </c>
      <c r="O60" s="74">
        <f t="shared" si="57"/>
        <v>883.56299999999987</v>
      </c>
      <c r="P60" s="17">
        <f t="shared" si="63"/>
        <v>0</v>
      </c>
      <c r="R60" s="38">
        <f t="shared" si="69"/>
        <v>44227</v>
      </c>
      <c r="S60" s="78">
        <v>594.7944101075268</v>
      </c>
      <c r="T60" s="80">
        <v>122.56611311827956</v>
      </c>
      <c r="V60" s="88">
        <v>52.349783225806455</v>
      </c>
      <c r="W60" s="74">
        <f t="shared" si="58"/>
        <v>769.71030645161284</v>
      </c>
      <c r="X60" s="17">
        <f t="shared" si="64"/>
        <v>0</v>
      </c>
      <c r="Y60" s="17"/>
      <c r="Z60" s="38">
        <f t="shared" si="70"/>
        <v>44592</v>
      </c>
      <c r="AA60" s="101">
        <v>790.86011548387091</v>
      </c>
      <c r="AB60" s="101">
        <v>168.89443225806451</v>
      </c>
      <c r="AC60" s="101"/>
      <c r="AD60" s="101">
        <v>53.7555135483871</v>
      </c>
      <c r="AE60" s="101">
        <f t="shared" si="59"/>
        <v>1013.5100612903225</v>
      </c>
      <c r="AF60" s="17">
        <f t="shared" si="65"/>
        <v>0</v>
      </c>
      <c r="AH60" s="38">
        <f t="shared" si="71"/>
        <v>44957</v>
      </c>
      <c r="AI60" s="44">
        <v>731.91965860215055</v>
      </c>
      <c r="AJ60" s="44">
        <v>159.15072086021505</v>
      </c>
      <c r="AK60" s="44"/>
      <c r="AL60" s="44">
        <v>63.691210107526885</v>
      </c>
      <c r="AM60" s="44">
        <f t="shared" si="60"/>
        <v>954.76158956989252</v>
      </c>
      <c r="AN60" s="17">
        <f t="shared" si="66"/>
        <v>0</v>
      </c>
      <c r="AO60" s="17"/>
      <c r="AP60" s="38">
        <f t="shared" si="72"/>
        <v>45322</v>
      </c>
      <c r="AQ60" s="44">
        <v>753.01722655913977</v>
      </c>
      <c r="AR60" s="44">
        <v>145.21599698924732</v>
      </c>
      <c r="AS60" s="44"/>
      <c r="AT60" s="44">
        <v>64.445770537634402</v>
      </c>
      <c r="AU60" s="44">
        <f t="shared" si="61"/>
        <v>962.67899408602148</v>
      </c>
      <c r="AV60" s="17">
        <f t="shared" si="67"/>
        <v>0</v>
      </c>
      <c r="AW60" s="17"/>
      <c r="AX60" s="38">
        <f t="shared" si="73"/>
        <v>45688</v>
      </c>
      <c r="AY60" s="44">
        <v>708.37199999999996</v>
      </c>
      <c r="AZ60" s="44">
        <v>171.24928750000001</v>
      </c>
      <c r="BA60" s="44"/>
      <c r="BB60" s="44">
        <v>61.424502365591401</v>
      </c>
      <c r="BC60" s="44">
        <f t="shared" si="62"/>
        <v>941.04578986559136</v>
      </c>
      <c r="BD60" s="17">
        <f t="shared" si="68"/>
        <v>0</v>
      </c>
    </row>
    <row r="61" spans="1:56" x14ac:dyDescent="0.3">
      <c r="A61" s="17"/>
      <c r="B61" s="1">
        <v>43497</v>
      </c>
      <c r="C61" s="35">
        <v>748</v>
      </c>
      <c r="D61" s="35">
        <v>137</v>
      </c>
      <c r="E61" s="35"/>
      <c r="F61" s="35">
        <v>56</v>
      </c>
      <c r="G61" s="7">
        <f t="shared" si="55"/>
        <v>941</v>
      </c>
      <c r="H61" s="17">
        <f t="shared" si="56"/>
        <v>0</v>
      </c>
      <c r="J61" s="1">
        <v>43862</v>
      </c>
      <c r="K61" s="45">
        <v>604.78</v>
      </c>
      <c r="L61" s="101">
        <v>122.58399999999999</v>
      </c>
      <c r="M61" s="45"/>
      <c r="N61" s="45">
        <v>50.75</v>
      </c>
      <c r="O61" s="7">
        <f t="shared" si="57"/>
        <v>778.11399999999992</v>
      </c>
      <c r="P61" s="17">
        <f t="shared" si="63"/>
        <v>0</v>
      </c>
      <c r="R61" s="51">
        <f t="shared" si="69"/>
        <v>44228</v>
      </c>
      <c r="S61" s="43">
        <v>616.4093069248172</v>
      </c>
      <c r="T61" s="44">
        <v>129.60300000000001</v>
      </c>
      <c r="V61" s="82">
        <v>62.126944734731183</v>
      </c>
      <c r="W61" s="7">
        <f t="shared" ref="W61:W88" si="74">SUM(S61:V61)</f>
        <v>808.13925165954845</v>
      </c>
      <c r="X61" s="17">
        <f t="shared" si="64"/>
        <v>0</v>
      </c>
      <c r="Y61" s="17"/>
      <c r="Z61" s="51">
        <f t="shared" si="70"/>
        <v>44593</v>
      </c>
      <c r="AA61" s="101">
        <v>762.96587010752694</v>
      </c>
      <c r="AB61" s="101">
        <v>166.9029432258065</v>
      </c>
      <c r="AC61" s="101"/>
      <c r="AD61" s="101">
        <v>58.585476989247304</v>
      </c>
      <c r="AE61" s="101">
        <f t="shared" si="59"/>
        <v>988.45429032258085</v>
      </c>
      <c r="AF61" s="17">
        <f t="shared" si="65"/>
        <v>0</v>
      </c>
      <c r="AG61">
        <v>1000</v>
      </c>
      <c r="AH61" s="51">
        <f t="shared" si="71"/>
        <v>44958</v>
      </c>
      <c r="AI61" s="44">
        <v>678.3165638709678</v>
      </c>
      <c r="AJ61" s="44">
        <v>139.76501978494625</v>
      </c>
      <c r="AK61" s="44"/>
      <c r="AL61" s="44">
        <v>61.626642903225807</v>
      </c>
      <c r="AM61" s="44">
        <f t="shared" si="60"/>
        <v>879.70822655913992</v>
      </c>
      <c r="AN61" s="17">
        <f t="shared" si="66"/>
        <v>0</v>
      </c>
      <c r="AO61" s="17"/>
      <c r="AP61" s="51">
        <f t="shared" si="72"/>
        <v>45323</v>
      </c>
      <c r="AQ61" s="44">
        <v>669.81500000000005</v>
      </c>
      <c r="AR61" s="44">
        <v>141.2875737</v>
      </c>
      <c r="AS61" s="44"/>
      <c r="AT61" s="44">
        <v>61.950557741935484</v>
      </c>
      <c r="AU61" s="44">
        <f t="shared" si="61"/>
        <v>873.05313144193542</v>
      </c>
      <c r="AV61" s="17">
        <f t="shared" si="67"/>
        <v>0</v>
      </c>
      <c r="AW61" s="17"/>
      <c r="AX61" s="51">
        <f t="shared" si="73"/>
        <v>45689</v>
      </c>
      <c r="AY61" s="44">
        <v>670.12800000000004</v>
      </c>
      <c r="AZ61" s="44">
        <v>155.8855614</v>
      </c>
      <c r="BA61" s="44"/>
      <c r="BB61" s="44">
        <v>55.887725806451613</v>
      </c>
      <c r="BC61" s="44">
        <f t="shared" si="62"/>
        <v>881.90128720645168</v>
      </c>
      <c r="BD61" s="17">
        <f t="shared" si="68"/>
        <v>0</v>
      </c>
    </row>
    <row r="62" spans="1:56" x14ac:dyDescent="0.3">
      <c r="A62" s="17"/>
      <c r="B62" s="1">
        <v>43498</v>
      </c>
      <c r="C62" s="35">
        <v>616</v>
      </c>
      <c r="D62" s="35">
        <v>105</v>
      </c>
      <c r="E62" s="35"/>
      <c r="F62" s="35">
        <v>45</v>
      </c>
      <c r="G62" s="7">
        <f t="shared" ref="G62:G93" si="75">SUM(C62:F62)</f>
        <v>766</v>
      </c>
      <c r="H62" s="17">
        <f t="shared" ref="H62:H79" si="76">IF(G62&gt;1476,1,0)</f>
        <v>0</v>
      </c>
      <c r="J62" s="1">
        <v>43863</v>
      </c>
      <c r="K62" s="45">
        <v>676.76599999999996</v>
      </c>
      <c r="L62" s="45">
        <v>119.46899999999999</v>
      </c>
      <c r="M62" s="45"/>
      <c r="N62" s="45">
        <v>42.905999999999999</v>
      </c>
      <c r="O62" s="7">
        <f t="shared" si="57"/>
        <v>839.14099999999985</v>
      </c>
      <c r="P62" s="17">
        <f t="shared" si="63"/>
        <v>0</v>
      </c>
      <c r="R62" s="1">
        <f t="shared" si="69"/>
        <v>44229</v>
      </c>
      <c r="S62" s="43">
        <v>581.00142483458069</v>
      </c>
      <c r="T62" s="44">
        <v>112.509</v>
      </c>
      <c r="V62" s="82">
        <v>59.012831222580644</v>
      </c>
      <c r="W62" s="7">
        <f t="shared" si="74"/>
        <v>752.52325605716135</v>
      </c>
      <c r="X62" s="17">
        <f t="shared" si="64"/>
        <v>0</v>
      </c>
      <c r="Y62" s="17"/>
      <c r="Z62" s="1">
        <f t="shared" si="70"/>
        <v>44594</v>
      </c>
      <c r="AA62" s="101">
        <v>794.69648924731189</v>
      </c>
      <c r="AB62" s="101">
        <v>144.96380612903226</v>
      </c>
      <c r="AC62" s="101"/>
      <c r="AD62" s="101">
        <v>57.628926881720425</v>
      </c>
      <c r="AE62" s="101">
        <f t="shared" si="59"/>
        <v>997.28922225806457</v>
      </c>
      <c r="AF62" s="17">
        <f t="shared" si="65"/>
        <v>0</v>
      </c>
      <c r="AH62" s="1">
        <f t="shared" si="71"/>
        <v>44959</v>
      </c>
      <c r="AI62" s="44">
        <v>583.65764516129036</v>
      </c>
      <c r="AJ62" s="44">
        <v>126.69356000000001</v>
      </c>
      <c r="AK62" s="44"/>
      <c r="AL62" s="44">
        <v>54.977427096774193</v>
      </c>
      <c r="AM62" s="44">
        <f t="shared" si="60"/>
        <v>765.32863225806454</v>
      </c>
      <c r="AN62" s="17">
        <f t="shared" si="66"/>
        <v>0</v>
      </c>
      <c r="AO62" s="17"/>
      <c r="AP62" s="1">
        <f t="shared" si="72"/>
        <v>45324</v>
      </c>
      <c r="AQ62" s="44">
        <v>957.73599999999999</v>
      </c>
      <c r="AR62" s="44">
        <v>175.29118030000001</v>
      </c>
      <c r="AS62" s="44"/>
      <c r="AT62" s="44">
        <v>69.209728602150534</v>
      </c>
      <c r="AU62" s="44">
        <f t="shared" si="61"/>
        <v>1202.2369089021506</v>
      </c>
      <c r="AV62" s="17">
        <f t="shared" si="67"/>
        <v>0</v>
      </c>
      <c r="AW62" s="17"/>
      <c r="AX62" s="1">
        <f t="shared" si="73"/>
        <v>45690</v>
      </c>
      <c r="AY62" s="44">
        <v>619.79899999999998</v>
      </c>
      <c r="AZ62" s="44">
        <v>161.947575</v>
      </c>
      <c r="BA62" s="44"/>
      <c r="BB62" s="44">
        <v>46.031161290322579</v>
      </c>
      <c r="BC62" s="44">
        <f t="shared" si="62"/>
        <v>827.77773629032254</v>
      </c>
      <c r="BD62" s="17">
        <f t="shared" si="68"/>
        <v>0</v>
      </c>
    </row>
    <row r="63" spans="1:56" x14ac:dyDescent="0.3">
      <c r="A63" s="17"/>
      <c r="B63" s="1">
        <v>43499</v>
      </c>
      <c r="C63" s="35">
        <v>501</v>
      </c>
      <c r="D63" s="35">
        <v>87</v>
      </c>
      <c r="E63" s="35"/>
      <c r="F63" s="35">
        <v>35</v>
      </c>
      <c r="G63" s="7">
        <f t="shared" si="75"/>
        <v>623</v>
      </c>
      <c r="H63" s="17">
        <f t="shared" si="76"/>
        <v>0</v>
      </c>
      <c r="J63" s="1">
        <v>43864</v>
      </c>
      <c r="K63" s="45">
        <v>657.66800000000001</v>
      </c>
      <c r="L63" s="45">
        <v>123.88</v>
      </c>
      <c r="M63" s="45"/>
      <c r="N63" s="45">
        <v>47.119</v>
      </c>
      <c r="O63" s="7">
        <f t="shared" si="57"/>
        <v>828.66700000000003</v>
      </c>
      <c r="P63" s="17">
        <f t="shared" si="63"/>
        <v>0</v>
      </c>
      <c r="R63" s="1">
        <f t="shared" si="69"/>
        <v>44230</v>
      </c>
      <c r="S63" s="43">
        <v>542.11449138761293</v>
      </c>
      <c r="T63" s="44">
        <v>107.78700000000001</v>
      </c>
      <c r="V63" s="82">
        <v>56.195248226236558</v>
      </c>
      <c r="W63" s="7">
        <f t="shared" si="74"/>
        <v>706.09673961384954</v>
      </c>
      <c r="X63" s="17">
        <f t="shared" si="64"/>
        <v>0</v>
      </c>
      <c r="Y63" s="17"/>
      <c r="Z63" s="1">
        <f t="shared" si="70"/>
        <v>44595</v>
      </c>
      <c r="AA63" s="101">
        <v>838.32698494623662</v>
      </c>
      <c r="AB63" s="101">
        <v>159.42882322580647</v>
      </c>
      <c r="AC63" s="101"/>
      <c r="AD63" s="101">
        <v>63.221313440860207</v>
      </c>
      <c r="AE63" s="101">
        <f t="shared" si="59"/>
        <v>1060.9771216129034</v>
      </c>
      <c r="AF63" s="17">
        <f t="shared" si="65"/>
        <v>0</v>
      </c>
      <c r="AH63" s="1">
        <f t="shared" si="71"/>
        <v>44960</v>
      </c>
      <c r="AI63" s="44">
        <v>558.05882322580646</v>
      </c>
      <c r="AJ63" s="44">
        <v>117.04018817204302</v>
      </c>
      <c r="AK63" s="44"/>
      <c r="AL63" s="44">
        <v>50.702548387096776</v>
      </c>
      <c r="AM63" s="44">
        <f t="shared" si="60"/>
        <v>725.80155978494622</v>
      </c>
      <c r="AN63" s="17">
        <f t="shared" si="66"/>
        <v>0</v>
      </c>
      <c r="AO63" s="17"/>
      <c r="AP63" s="1">
        <f t="shared" si="72"/>
        <v>45325</v>
      </c>
      <c r="AQ63" s="44">
        <v>770.73599999999999</v>
      </c>
      <c r="AR63" s="44">
        <v>161.54684159999999</v>
      </c>
      <c r="AS63" s="44"/>
      <c r="AT63" s="44">
        <v>64.795613655913982</v>
      </c>
      <c r="AU63" s="44">
        <f t="shared" si="61"/>
        <v>997.07845525591392</v>
      </c>
      <c r="AV63" s="17">
        <f t="shared" si="67"/>
        <v>0</v>
      </c>
      <c r="AW63" s="17"/>
      <c r="AX63" s="1">
        <f t="shared" si="73"/>
        <v>45691</v>
      </c>
      <c r="AY63" s="44">
        <v>750.3</v>
      </c>
      <c r="AZ63" s="44">
        <v>203.9292111</v>
      </c>
      <c r="BA63" s="44"/>
      <c r="BB63" s="44">
        <v>55.660790322580645</v>
      </c>
      <c r="BC63" s="44">
        <f t="shared" si="62"/>
        <v>1009.8900014225806</v>
      </c>
      <c r="BD63" s="17">
        <f t="shared" si="68"/>
        <v>0</v>
      </c>
    </row>
    <row r="64" spans="1:56" x14ac:dyDescent="0.3">
      <c r="A64" s="17"/>
      <c r="B64" s="1">
        <v>43500</v>
      </c>
      <c r="C64" s="35">
        <v>537</v>
      </c>
      <c r="D64" s="35">
        <v>88</v>
      </c>
      <c r="E64" s="35"/>
      <c r="F64" s="35">
        <v>35</v>
      </c>
      <c r="G64" s="7">
        <f t="shared" si="75"/>
        <v>660</v>
      </c>
      <c r="H64" s="17">
        <f t="shared" si="76"/>
        <v>0</v>
      </c>
      <c r="J64" s="1">
        <v>43865</v>
      </c>
      <c r="K64" s="45">
        <v>674.80700000000002</v>
      </c>
      <c r="L64" s="45">
        <v>141.053</v>
      </c>
      <c r="M64" s="45"/>
      <c r="N64" s="45">
        <v>54.442999999999998</v>
      </c>
      <c r="O64" s="7">
        <f t="shared" si="57"/>
        <v>870.303</v>
      </c>
      <c r="P64" s="17">
        <f t="shared" si="63"/>
        <v>0</v>
      </c>
      <c r="R64" s="1">
        <f t="shared" si="69"/>
        <v>44231</v>
      </c>
      <c r="S64" s="43">
        <v>497.43672237625805</v>
      </c>
      <c r="T64" s="44">
        <v>106.325</v>
      </c>
      <c r="V64" s="82">
        <v>52.084010122473117</v>
      </c>
      <c r="W64" s="7">
        <f t="shared" si="74"/>
        <v>655.84573249873119</v>
      </c>
      <c r="X64" s="17">
        <f t="shared" si="64"/>
        <v>0</v>
      </c>
      <c r="Y64" s="17"/>
      <c r="Z64" s="1">
        <f t="shared" si="70"/>
        <v>44596</v>
      </c>
      <c r="AA64" s="101">
        <v>726.2256911827958</v>
      </c>
      <c r="AB64" s="101">
        <v>154.27376451612903</v>
      </c>
      <c r="AC64" s="101"/>
      <c r="AD64" s="101">
        <v>63.890469569892467</v>
      </c>
      <c r="AE64" s="101">
        <f t="shared" si="59"/>
        <v>944.38992526881736</v>
      </c>
      <c r="AF64" s="17">
        <f t="shared" si="65"/>
        <v>0</v>
      </c>
      <c r="AH64" s="1">
        <f t="shared" si="71"/>
        <v>44961</v>
      </c>
      <c r="AI64" s="44">
        <v>741.67984258064519</v>
      </c>
      <c r="AJ64" s="44">
        <v>148.99138784946237</v>
      </c>
      <c r="AK64" s="44"/>
      <c r="AL64" s="44">
        <v>55.8188964516129</v>
      </c>
      <c r="AM64" s="44">
        <f t="shared" si="60"/>
        <v>946.49012688172047</v>
      </c>
      <c r="AN64" s="17">
        <f t="shared" si="66"/>
        <v>0</v>
      </c>
      <c r="AO64" s="17"/>
      <c r="AP64" s="1">
        <f t="shared" si="72"/>
        <v>45326</v>
      </c>
      <c r="AQ64" s="44">
        <v>595.03499999999997</v>
      </c>
      <c r="AR64" s="44">
        <v>121.41975840000001</v>
      </c>
      <c r="AS64" s="44"/>
      <c r="AT64" s="44">
        <v>49.885809354838713</v>
      </c>
      <c r="AU64" s="44">
        <f t="shared" si="61"/>
        <v>766.34056775483862</v>
      </c>
      <c r="AV64" s="17">
        <f t="shared" si="67"/>
        <v>0</v>
      </c>
      <c r="AW64" s="17"/>
      <c r="AX64" s="1">
        <f t="shared" si="73"/>
        <v>45692</v>
      </c>
      <c r="AY64" s="44">
        <v>765.44100000000003</v>
      </c>
      <c r="AZ64" s="44">
        <v>201.35820000000001</v>
      </c>
      <c r="BA64" s="44"/>
      <c r="BB64" s="44">
        <v>63.505193548387098</v>
      </c>
      <c r="BC64" s="44">
        <f t="shared" si="62"/>
        <v>1030.3043935483872</v>
      </c>
      <c r="BD64" s="17">
        <f t="shared" si="68"/>
        <v>0</v>
      </c>
    </row>
    <row r="65" spans="1:56" x14ac:dyDescent="0.3">
      <c r="A65" s="17"/>
      <c r="B65" s="1">
        <v>43501</v>
      </c>
      <c r="C65" s="35">
        <v>534</v>
      </c>
      <c r="D65" s="35">
        <v>91</v>
      </c>
      <c r="E65" s="35"/>
      <c r="F65" s="35">
        <v>41</v>
      </c>
      <c r="G65" s="7">
        <f t="shared" si="75"/>
        <v>666</v>
      </c>
      <c r="H65" s="17">
        <f t="shared" si="76"/>
        <v>0</v>
      </c>
      <c r="J65" s="1">
        <v>43866</v>
      </c>
      <c r="K65" s="45">
        <v>742.875</v>
      </c>
      <c r="L65" s="45">
        <v>135.488</v>
      </c>
      <c r="M65" s="45"/>
      <c r="N65" s="45">
        <v>57.256</v>
      </c>
      <c r="O65" s="7">
        <f t="shared" si="57"/>
        <v>935.61900000000003</v>
      </c>
      <c r="P65" s="17">
        <f t="shared" si="63"/>
        <v>0</v>
      </c>
      <c r="R65" s="1">
        <f t="shared" si="69"/>
        <v>44232</v>
      </c>
      <c r="S65" s="43">
        <v>581.67441402301074</v>
      </c>
      <c r="T65" s="44">
        <v>123.69</v>
      </c>
      <c r="V65" s="82">
        <v>58.872712407419357</v>
      </c>
      <c r="W65" s="7">
        <f t="shared" si="74"/>
        <v>764.23712643043018</v>
      </c>
      <c r="X65" s="17">
        <f t="shared" si="64"/>
        <v>0</v>
      </c>
      <c r="Y65" s="17"/>
      <c r="Z65" s="1">
        <f t="shared" si="70"/>
        <v>44597</v>
      </c>
      <c r="AA65" s="101">
        <v>644.78584709677421</v>
      </c>
      <c r="AB65" s="101">
        <v>134.63121322580645</v>
      </c>
      <c r="AC65" s="101"/>
      <c r="AD65" s="101">
        <v>58.007471935483871</v>
      </c>
      <c r="AE65" s="101">
        <f t="shared" si="59"/>
        <v>837.42453225806457</v>
      </c>
      <c r="AF65" s="17">
        <f t="shared" si="65"/>
        <v>0</v>
      </c>
      <c r="AH65" s="1">
        <f t="shared" si="71"/>
        <v>44962</v>
      </c>
      <c r="AI65" s="44">
        <v>664.73901096774193</v>
      </c>
      <c r="AJ65" s="44">
        <v>152.52883107526881</v>
      </c>
      <c r="AK65" s="44"/>
      <c r="AL65" s="44">
        <v>58.491231612903228</v>
      </c>
      <c r="AM65" s="44">
        <f t="shared" si="60"/>
        <v>875.75907365591399</v>
      </c>
      <c r="AN65" s="17">
        <f t="shared" si="66"/>
        <v>0</v>
      </c>
      <c r="AO65" s="17"/>
      <c r="AP65" s="1">
        <f t="shared" si="72"/>
        <v>45327</v>
      </c>
      <c r="AQ65" s="44">
        <v>682.49699999999996</v>
      </c>
      <c r="AR65" s="44">
        <v>143.04642770000001</v>
      </c>
      <c r="AS65" s="44"/>
      <c r="AT65" s="44">
        <v>56.948179354838707</v>
      </c>
      <c r="AU65" s="44">
        <f t="shared" si="61"/>
        <v>882.4916070548386</v>
      </c>
      <c r="AV65" s="17">
        <f t="shared" si="67"/>
        <v>0</v>
      </c>
      <c r="AW65" s="17"/>
      <c r="AX65" s="1">
        <f t="shared" si="73"/>
        <v>45693</v>
      </c>
      <c r="AY65" s="44">
        <v>785.05899999999997</v>
      </c>
      <c r="AZ65" s="44">
        <v>186.41047750000001</v>
      </c>
      <c r="BA65" s="44"/>
      <c r="BB65" s="44">
        <v>62.401854838709674</v>
      </c>
      <c r="BC65" s="44">
        <f t="shared" si="62"/>
        <v>1033.8713323387096</v>
      </c>
      <c r="BD65" s="17">
        <f t="shared" si="68"/>
        <v>0</v>
      </c>
    </row>
    <row r="66" spans="1:56" x14ac:dyDescent="0.3">
      <c r="A66" s="17"/>
      <c r="B66" s="1">
        <v>43502</v>
      </c>
      <c r="C66" s="35">
        <v>701</v>
      </c>
      <c r="D66" s="35">
        <v>126</v>
      </c>
      <c r="E66" s="35"/>
      <c r="F66" s="35">
        <v>53</v>
      </c>
      <c r="G66" s="7">
        <f t="shared" si="75"/>
        <v>880</v>
      </c>
      <c r="H66" s="17">
        <f t="shared" si="76"/>
        <v>0</v>
      </c>
      <c r="J66" s="1">
        <v>43867</v>
      </c>
      <c r="K66" s="45">
        <v>649.83199999999999</v>
      </c>
      <c r="L66" s="45">
        <v>185.91200000000001</v>
      </c>
      <c r="M66" s="45"/>
      <c r="N66" s="45">
        <v>53.576000000000001</v>
      </c>
      <c r="O66" s="7">
        <f t="shared" si="57"/>
        <v>889.32</v>
      </c>
      <c r="P66" s="17">
        <f t="shared" si="63"/>
        <v>0</v>
      </c>
      <c r="R66" s="1">
        <f t="shared" si="69"/>
        <v>44233</v>
      </c>
      <c r="S66" s="43">
        <v>595.71286189664511</v>
      </c>
      <c r="T66" s="44">
        <v>114.776</v>
      </c>
      <c r="V66" s="82">
        <v>55.978009753118279</v>
      </c>
      <c r="W66" s="7">
        <f t="shared" si="74"/>
        <v>766.46687164976333</v>
      </c>
      <c r="X66" s="17">
        <f t="shared" si="64"/>
        <v>0</v>
      </c>
      <c r="Y66" s="17"/>
      <c r="Z66" s="1">
        <f t="shared" si="70"/>
        <v>44598</v>
      </c>
      <c r="AA66" s="101">
        <v>592.39245483870968</v>
      </c>
      <c r="AB66" s="101">
        <v>104.68263096774194</v>
      </c>
      <c r="AC66" s="101"/>
      <c r="AD66" s="101">
        <v>49.069304731182797</v>
      </c>
      <c r="AE66" s="101">
        <f t="shared" si="59"/>
        <v>746.14439053763442</v>
      </c>
      <c r="AF66" s="17">
        <f t="shared" si="65"/>
        <v>0</v>
      </c>
      <c r="AH66" s="1">
        <f t="shared" si="71"/>
        <v>44963</v>
      </c>
      <c r="AI66" s="44">
        <v>626.68889419354844</v>
      </c>
      <c r="AJ66" s="44">
        <v>143.29731838709677</v>
      </c>
      <c r="AK66" s="44"/>
      <c r="AL66" s="44">
        <v>57.129873548387096</v>
      </c>
      <c r="AM66" s="44">
        <f t="shared" si="60"/>
        <v>827.11608612903228</v>
      </c>
      <c r="AN66" s="17">
        <f t="shared" si="66"/>
        <v>0</v>
      </c>
      <c r="AO66" s="17"/>
      <c r="AP66" s="1">
        <f t="shared" si="72"/>
        <v>45328</v>
      </c>
      <c r="AQ66" s="44">
        <v>662.48400000000004</v>
      </c>
      <c r="AR66" s="44">
        <v>129.07323310000001</v>
      </c>
      <c r="AS66" s="44"/>
      <c r="AT66" s="44">
        <v>59.062719032258066</v>
      </c>
      <c r="AU66" s="44">
        <f t="shared" si="61"/>
        <v>850.61995213225816</v>
      </c>
      <c r="AV66" s="17">
        <f t="shared" si="67"/>
        <v>0</v>
      </c>
      <c r="AW66" s="17"/>
      <c r="AX66" s="1">
        <f t="shared" si="73"/>
        <v>45694</v>
      </c>
      <c r="AY66" s="44">
        <v>774.81500000000005</v>
      </c>
      <c r="AZ66" s="44">
        <v>197.243706</v>
      </c>
      <c r="BA66" s="44"/>
      <c r="BB66" s="44">
        <v>63.734290322580648</v>
      </c>
      <c r="BC66" s="44">
        <f t="shared" si="62"/>
        <v>1035.7929963225806</v>
      </c>
      <c r="BD66" s="17">
        <f t="shared" si="68"/>
        <v>0</v>
      </c>
    </row>
    <row r="67" spans="1:56" x14ac:dyDescent="0.3">
      <c r="A67" s="17"/>
      <c r="B67" s="1">
        <v>43503</v>
      </c>
      <c r="C67" s="35">
        <v>813</v>
      </c>
      <c r="D67" s="35">
        <v>133</v>
      </c>
      <c r="E67" s="35"/>
      <c r="F67" s="35">
        <v>57</v>
      </c>
      <c r="G67" s="7">
        <f t="shared" si="75"/>
        <v>1003</v>
      </c>
      <c r="H67" s="17">
        <f t="shared" si="76"/>
        <v>0</v>
      </c>
      <c r="J67" s="1">
        <v>43868</v>
      </c>
      <c r="K67" s="45">
        <v>589.59900000000005</v>
      </c>
      <c r="L67" s="45">
        <v>111.82</v>
      </c>
      <c r="M67" s="45"/>
      <c r="N67" s="45">
        <v>52.161000000000001</v>
      </c>
      <c r="O67" s="7">
        <f t="shared" si="57"/>
        <v>753.58000000000015</v>
      </c>
      <c r="P67" s="17">
        <f t="shared" si="63"/>
        <v>0</v>
      </c>
      <c r="R67" s="1">
        <f t="shared" si="69"/>
        <v>44234</v>
      </c>
      <c r="S67" s="43">
        <v>486.70866195595698</v>
      </c>
      <c r="T67" s="44">
        <v>119.846</v>
      </c>
      <c r="V67" s="82">
        <v>46.070849186559137</v>
      </c>
      <c r="W67" s="7">
        <f t="shared" si="74"/>
        <v>652.62551114251619</v>
      </c>
      <c r="X67" s="17">
        <f t="shared" si="64"/>
        <v>0</v>
      </c>
      <c r="Y67" s="17"/>
      <c r="Z67" s="1">
        <f t="shared" si="70"/>
        <v>44599</v>
      </c>
      <c r="AA67" s="101">
        <v>730.90407419354847</v>
      </c>
      <c r="AB67" s="101">
        <v>116.83982451612904</v>
      </c>
      <c r="AC67" s="101"/>
      <c r="AD67" s="101">
        <v>57.459493118279568</v>
      </c>
      <c r="AE67" s="101">
        <f t="shared" si="59"/>
        <v>905.20339182795715</v>
      </c>
      <c r="AF67" s="17">
        <f t="shared" si="65"/>
        <v>0</v>
      </c>
      <c r="AH67" s="1">
        <f t="shared" si="71"/>
        <v>44964</v>
      </c>
      <c r="AI67" s="44">
        <v>627.3994606451613</v>
      </c>
      <c r="AJ67" s="44">
        <v>136.81817935483872</v>
      </c>
      <c r="AK67" s="44"/>
      <c r="AL67" s="44">
        <v>55.041743225806449</v>
      </c>
      <c r="AM67" s="44">
        <f t="shared" si="60"/>
        <v>819.25938322580657</v>
      </c>
      <c r="AN67" s="17">
        <f t="shared" si="66"/>
        <v>0</v>
      </c>
      <c r="AO67" s="17"/>
      <c r="AP67" s="1">
        <f t="shared" si="72"/>
        <v>45329</v>
      </c>
      <c r="AQ67" s="44">
        <v>686.76800000000003</v>
      </c>
      <c r="AR67" s="44">
        <v>160.43634840000001</v>
      </c>
      <c r="AS67" s="44"/>
      <c r="AT67" s="44">
        <v>64.255480860215059</v>
      </c>
      <c r="AU67" s="44">
        <f t="shared" si="61"/>
        <v>911.45982926021509</v>
      </c>
      <c r="AV67" s="17">
        <f t="shared" si="67"/>
        <v>0</v>
      </c>
      <c r="AW67" s="17"/>
      <c r="AX67" s="1">
        <f t="shared" si="73"/>
        <v>45695</v>
      </c>
      <c r="AY67" s="44">
        <v>764.66899999999998</v>
      </c>
      <c r="AZ67" s="44">
        <v>192.80727719999999</v>
      </c>
      <c r="BA67" s="44"/>
      <c r="BB67" s="44">
        <v>59.580290322580645</v>
      </c>
      <c r="BC67" s="44">
        <f t="shared" si="62"/>
        <v>1017.0565675225805</v>
      </c>
      <c r="BD67" s="17">
        <f t="shared" si="68"/>
        <v>0</v>
      </c>
    </row>
    <row r="68" spans="1:56" x14ac:dyDescent="0.3">
      <c r="A68" s="17"/>
      <c r="B68" s="1">
        <v>43504</v>
      </c>
      <c r="C68" s="35">
        <v>788</v>
      </c>
      <c r="D68" s="35">
        <v>139</v>
      </c>
      <c r="E68" s="35"/>
      <c r="F68" s="35">
        <v>54</v>
      </c>
      <c r="G68" s="7">
        <f t="shared" si="75"/>
        <v>981</v>
      </c>
      <c r="H68" s="17">
        <f t="shared" si="76"/>
        <v>0</v>
      </c>
      <c r="J68" s="1">
        <v>43869</v>
      </c>
      <c r="K68" s="45">
        <v>506.84</v>
      </c>
      <c r="L68" s="45">
        <v>99.826999999999998</v>
      </c>
      <c r="M68" s="45"/>
      <c r="N68" s="45">
        <v>42.14</v>
      </c>
      <c r="O68" s="7">
        <f t="shared" si="57"/>
        <v>648.8069999999999</v>
      </c>
      <c r="P68" s="17">
        <f t="shared" si="63"/>
        <v>0</v>
      </c>
      <c r="R68" s="1">
        <f t="shared" si="69"/>
        <v>44235</v>
      </c>
      <c r="S68" s="43">
        <v>500.41086587655911</v>
      </c>
      <c r="T68" s="44">
        <v>103.367</v>
      </c>
      <c r="V68" s="82">
        <v>50.916353329462368</v>
      </c>
      <c r="W68" s="7">
        <f t="shared" si="74"/>
        <v>654.69421920602144</v>
      </c>
      <c r="X68" s="17">
        <f t="shared" si="64"/>
        <v>0</v>
      </c>
      <c r="Y68" s="17"/>
      <c r="Z68" s="1">
        <f t="shared" si="70"/>
        <v>44600</v>
      </c>
      <c r="AA68" s="101">
        <v>698.72984172043016</v>
      </c>
      <c r="AB68" s="101">
        <v>152.6841348387097</v>
      </c>
      <c r="AC68" s="101"/>
      <c r="AD68" s="101">
        <v>60.792405376344078</v>
      </c>
      <c r="AE68" s="101">
        <f t="shared" si="59"/>
        <v>912.20638193548393</v>
      </c>
      <c r="AF68" s="17">
        <f t="shared" si="65"/>
        <v>0</v>
      </c>
      <c r="AH68" s="1">
        <f t="shared" si="71"/>
        <v>44965</v>
      </c>
      <c r="AI68" s="44">
        <v>650.66590451612899</v>
      </c>
      <c r="AJ68" s="44">
        <v>127.6977905376344</v>
      </c>
      <c r="AK68" s="44"/>
      <c r="AL68" s="44">
        <v>53.606421612903226</v>
      </c>
      <c r="AM68" s="44">
        <f t="shared" si="60"/>
        <v>831.97011666666663</v>
      </c>
      <c r="AN68" s="17">
        <f t="shared" si="66"/>
        <v>0</v>
      </c>
      <c r="AO68" s="17"/>
      <c r="AP68" s="1">
        <f t="shared" si="72"/>
        <v>45330</v>
      </c>
      <c r="AQ68" s="44">
        <v>699.29200000000003</v>
      </c>
      <c r="AR68" s="44">
        <v>159.54985439999999</v>
      </c>
      <c r="AS68" s="44"/>
      <c r="AT68" s="44">
        <v>67.756183118279566</v>
      </c>
      <c r="AU68" s="44">
        <f t="shared" si="61"/>
        <v>926.59803751827951</v>
      </c>
      <c r="AV68" s="17">
        <f t="shared" si="67"/>
        <v>0</v>
      </c>
      <c r="AW68" s="17"/>
      <c r="AX68" s="1">
        <f t="shared" si="73"/>
        <v>45696</v>
      </c>
      <c r="AY68" s="44">
        <v>697.83699999999999</v>
      </c>
      <c r="AZ68" s="44">
        <v>191.40500800000001</v>
      </c>
      <c r="BA68" s="44"/>
      <c r="BB68" s="44">
        <v>52.948370967741937</v>
      </c>
      <c r="BC68" s="44">
        <f t="shared" si="62"/>
        <v>942.19037896774194</v>
      </c>
      <c r="BD68" s="17">
        <f t="shared" si="68"/>
        <v>0</v>
      </c>
    </row>
    <row r="69" spans="1:56" x14ac:dyDescent="0.3">
      <c r="A69" s="17"/>
      <c r="B69" s="1">
        <v>43505</v>
      </c>
      <c r="C69" s="35">
        <v>810</v>
      </c>
      <c r="D69" s="35">
        <v>161</v>
      </c>
      <c r="E69" s="35"/>
      <c r="F69" s="35">
        <v>51</v>
      </c>
      <c r="G69" s="7">
        <f t="shared" si="75"/>
        <v>1022</v>
      </c>
      <c r="H69" s="17">
        <f t="shared" si="76"/>
        <v>0</v>
      </c>
      <c r="J69" s="1">
        <v>43870</v>
      </c>
      <c r="K69" s="45">
        <v>498.51499999999999</v>
      </c>
      <c r="L69" s="45">
        <v>100.26</v>
      </c>
      <c r="M69" s="45"/>
      <c r="N69" s="45">
        <v>35.098999999999997</v>
      </c>
      <c r="O69" s="7">
        <f t="shared" si="57"/>
        <v>633.87400000000002</v>
      </c>
      <c r="P69" s="17">
        <f t="shared" si="63"/>
        <v>0</v>
      </c>
      <c r="R69" s="1">
        <f t="shared" si="69"/>
        <v>44236</v>
      </c>
      <c r="S69" s="43">
        <v>515.79986598993548</v>
      </c>
      <c r="T69" s="44">
        <v>94.087999999999994</v>
      </c>
      <c r="V69" s="82">
        <v>51.553948248064515</v>
      </c>
      <c r="W69" s="7">
        <f t="shared" si="74"/>
        <v>661.44181423800001</v>
      </c>
      <c r="X69" s="17">
        <f t="shared" si="64"/>
        <v>0</v>
      </c>
      <c r="Y69" s="17"/>
      <c r="Z69" s="1">
        <f t="shared" si="70"/>
        <v>44601</v>
      </c>
      <c r="AA69" s="101">
        <v>716.92412129032266</v>
      </c>
      <c r="AB69" s="101">
        <v>163.75126741935486</v>
      </c>
      <c r="AC69" s="101"/>
      <c r="AD69" s="101">
        <v>64.465257526881715</v>
      </c>
      <c r="AE69" s="101">
        <f t="shared" si="59"/>
        <v>945.14064623655918</v>
      </c>
      <c r="AF69" s="17">
        <f t="shared" si="65"/>
        <v>0</v>
      </c>
      <c r="AH69" s="1">
        <f t="shared" si="71"/>
        <v>44966</v>
      </c>
      <c r="AI69" s="44">
        <v>722.47611870967739</v>
      </c>
      <c r="AJ69" s="44">
        <v>168.57902795698925</v>
      </c>
      <c r="AK69" s="44"/>
      <c r="AL69" s="44">
        <v>58.1782264516129</v>
      </c>
      <c r="AM69" s="44">
        <f t="shared" si="60"/>
        <v>949.23337311827947</v>
      </c>
      <c r="AN69" s="17">
        <f t="shared" si="66"/>
        <v>0</v>
      </c>
      <c r="AO69" s="17"/>
      <c r="AP69" s="1">
        <f t="shared" si="72"/>
        <v>45331</v>
      </c>
      <c r="AQ69" s="44">
        <v>670.13199999999995</v>
      </c>
      <c r="AR69" s="44">
        <v>133.98558399999999</v>
      </c>
      <c r="AS69" s="44"/>
      <c r="AT69" s="44">
        <v>66.816031182795697</v>
      </c>
      <c r="AU69" s="44">
        <f t="shared" si="61"/>
        <v>870.93361518279562</v>
      </c>
      <c r="AV69" s="17">
        <f t="shared" si="67"/>
        <v>0</v>
      </c>
      <c r="AW69" s="17"/>
      <c r="AX69" s="1">
        <f t="shared" si="73"/>
        <v>45697</v>
      </c>
      <c r="AY69" s="44">
        <v>615.68899999999996</v>
      </c>
      <c r="AZ69" s="44">
        <v>160.6317574</v>
      </c>
      <c r="BA69" s="44"/>
      <c r="BB69" s="44">
        <v>50.476935483870967</v>
      </c>
      <c r="BC69" s="44">
        <f t="shared" si="62"/>
        <v>826.79769288387092</v>
      </c>
      <c r="BD69" s="17">
        <f t="shared" si="68"/>
        <v>0</v>
      </c>
    </row>
    <row r="70" spans="1:56" x14ac:dyDescent="0.3">
      <c r="A70" s="17"/>
      <c r="B70" s="1">
        <v>43506</v>
      </c>
      <c r="C70" s="35">
        <v>748</v>
      </c>
      <c r="D70" s="35">
        <v>143</v>
      </c>
      <c r="E70" s="35"/>
      <c r="F70" s="35">
        <v>46</v>
      </c>
      <c r="G70" s="7">
        <f t="shared" si="75"/>
        <v>937</v>
      </c>
      <c r="H70" s="17">
        <f t="shared" si="76"/>
        <v>0</v>
      </c>
      <c r="J70" s="1">
        <v>43871</v>
      </c>
      <c r="K70" s="45">
        <v>598.41399999999999</v>
      </c>
      <c r="L70" s="45">
        <v>115.42700000000001</v>
      </c>
      <c r="M70" s="45"/>
      <c r="N70" s="45">
        <v>45.048999999999999</v>
      </c>
      <c r="O70" s="7">
        <f t="shared" si="57"/>
        <v>758.89</v>
      </c>
      <c r="P70" s="17">
        <f t="shared" si="63"/>
        <v>0</v>
      </c>
      <c r="R70" s="1">
        <f t="shared" si="69"/>
        <v>44237</v>
      </c>
      <c r="S70" s="43">
        <v>477.31017307617202</v>
      </c>
      <c r="T70" s="44">
        <v>90.216999999999999</v>
      </c>
      <c r="V70" s="82">
        <v>48.448524274838711</v>
      </c>
      <c r="W70" s="7">
        <f t="shared" si="74"/>
        <v>615.97569735101081</v>
      </c>
      <c r="X70" s="17">
        <f t="shared" si="64"/>
        <v>0</v>
      </c>
      <c r="Y70" s="17"/>
      <c r="Z70" s="1">
        <f t="shared" si="70"/>
        <v>44602</v>
      </c>
      <c r="AA70" s="101">
        <v>771.54375741935485</v>
      </c>
      <c r="AB70" s="101">
        <v>173.34114774193552</v>
      </c>
      <c r="AC70" s="101"/>
      <c r="AD70" s="101">
        <v>67.141882043010739</v>
      </c>
      <c r="AE70" s="101">
        <f t="shared" si="59"/>
        <v>1012.0267872043011</v>
      </c>
      <c r="AF70" s="17">
        <f t="shared" si="65"/>
        <v>0</v>
      </c>
      <c r="AH70" s="1">
        <f t="shared" si="71"/>
        <v>44967</v>
      </c>
      <c r="AI70" s="44">
        <v>736.75502322580644</v>
      </c>
      <c r="AJ70" s="44">
        <v>155.84093978494624</v>
      </c>
      <c r="AK70" s="44"/>
      <c r="AL70" s="44">
        <v>60.749799677419354</v>
      </c>
      <c r="AM70" s="44">
        <f t="shared" si="60"/>
        <v>953.34576268817204</v>
      </c>
      <c r="AN70" s="17">
        <f t="shared" si="66"/>
        <v>0</v>
      </c>
      <c r="AO70" s="17"/>
      <c r="AP70" s="1">
        <f t="shared" si="72"/>
        <v>45332</v>
      </c>
      <c r="AQ70" s="44">
        <v>547.52300000000002</v>
      </c>
      <c r="AR70" s="44">
        <v>121.3305988</v>
      </c>
      <c r="AS70" s="44"/>
      <c r="AT70" s="44">
        <v>56.922509677419356</v>
      </c>
      <c r="AU70" s="44">
        <f t="shared" si="61"/>
        <v>725.77610847741937</v>
      </c>
      <c r="AV70" s="17">
        <f t="shared" si="67"/>
        <v>0</v>
      </c>
      <c r="AW70" s="17"/>
      <c r="AX70" s="1">
        <f t="shared" si="73"/>
        <v>45698</v>
      </c>
      <c r="AY70" s="44">
        <v>728.80200000000002</v>
      </c>
      <c r="AZ70" s="44">
        <v>195.72271549999999</v>
      </c>
      <c r="BA70" s="44"/>
      <c r="BB70" s="44">
        <v>59.647290322580645</v>
      </c>
      <c r="BC70" s="44">
        <f t="shared" si="62"/>
        <v>984.17200582258056</v>
      </c>
      <c r="BD70" s="17">
        <f t="shared" si="68"/>
        <v>0</v>
      </c>
    </row>
    <row r="71" spans="1:56" x14ac:dyDescent="0.3">
      <c r="A71" s="17"/>
      <c r="B71" s="1">
        <v>43507</v>
      </c>
      <c r="C71" s="35">
        <v>866</v>
      </c>
      <c r="D71" s="35">
        <v>147</v>
      </c>
      <c r="E71" s="35"/>
      <c r="F71" s="35">
        <v>54</v>
      </c>
      <c r="G71" s="7">
        <f t="shared" si="75"/>
        <v>1067</v>
      </c>
      <c r="H71" s="17">
        <f t="shared" si="76"/>
        <v>0</v>
      </c>
      <c r="J71" s="1">
        <v>43872</v>
      </c>
      <c r="K71" s="45">
        <v>687.04899999999998</v>
      </c>
      <c r="L71" s="45">
        <v>134.40899999999999</v>
      </c>
      <c r="M71" s="45"/>
      <c r="N71" s="45">
        <v>51.387999999999998</v>
      </c>
      <c r="O71" s="7">
        <f t="shared" si="57"/>
        <v>872.846</v>
      </c>
      <c r="P71" s="17">
        <f t="shared" si="63"/>
        <v>0</v>
      </c>
      <c r="R71" s="1">
        <f t="shared" si="69"/>
        <v>44238</v>
      </c>
      <c r="S71" s="43">
        <v>560.40148072623651</v>
      </c>
      <c r="T71" s="44">
        <v>110.806</v>
      </c>
      <c r="V71" s="82">
        <v>52.686846885376347</v>
      </c>
      <c r="W71" s="7">
        <f t="shared" si="74"/>
        <v>723.89432761161288</v>
      </c>
      <c r="X71" s="17">
        <f t="shared" si="64"/>
        <v>0</v>
      </c>
      <c r="Y71" s="17"/>
      <c r="Z71" s="1">
        <f t="shared" si="70"/>
        <v>44603</v>
      </c>
      <c r="AA71" s="101">
        <v>708.02527870967742</v>
      </c>
      <c r="AB71" s="101">
        <v>149.60601516129034</v>
      </c>
      <c r="AC71" s="101"/>
      <c r="AD71" s="101">
        <v>63.1730569892473</v>
      </c>
      <c r="AE71" s="101">
        <f t="shared" si="59"/>
        <v>920.80435086021498</v>
      </c>
      <c r="AF71" s="17">
        <f t="shared" si="65"/>
        <v>0</v>
      </c>
      <c r="AH71" s="1">
        <f t="shared" si="71"/>
        <v>44968</v>
      </c>
      <c r="AI71" s="44">
        <v>695.83294838709674</v>
      </c>
      <c r="AJ71" s="44">
        <v>160.73862150537636</v>
      </c>
      <c r="AK71" s="44"/>
      <c r="AL71" s="44">
        <v>61.181789677419353</v>
      </c>
      <c r="AM71" s="44">
        <f t="shared" si="60"/>
        <v>917.7533595698925</v>
      </c>
      <c r="AN71" s="17">
        <f t="shared" si="66"/>
        <v>0</v>
      </c>
      <c r="AO71" s="17"/>
      <c r="AP71" s="1">
        <f t="shared" si="72"/>
        <v>45333</v>
      </c>
      <c r="AQ71" s="44">
        <v>600.625</v>
      </c>
      <c r="AR71" s="44">
        <v>140.8502886</v>
      </c>
      <c r="AS71" s="44"/>
      <c r="AT71" s="44">
        <v>53.825035268817203</v>
      </c>
      <c r="AU71" s="44">
        <f t="shared" si="61"/>
        <v>795.30032386881726</v>
      </c>
      <c r="AV71" s="17">
        <f t="shared" si="67"/>
        <v>0</v>
      </c>
      <c r="AW71" s="17"/>
      <c r="AX71" s="1">
        <f t="shared" si="73"/>
        <v>45699</v>
      </c>
      <c r="AY71" s="44">
        <v>830.20799999999997</v>
      </c>
      <c r="AZ71" s="44">
        <v>214.56073799999999</v>
      </c>
      <c r="BA71" s="44"/>
      <c r="BB71" s="44">
        <v>71.045935483870963</v>
      </c>
      <c r="BC71" s="44">
        <f t="shared" si="62"/>
        <v>1115.814673483871</v>
      </c>
      <c r="BD71" s="17">
        <f t="shared" si="68"/>
        <v>0</v>
      </c>
    </row>
    <row r="72" spans="1:56" x14ac:dyDescent="0.3">
      <c r="A72" s="17"/>
      <c r="B72" s="1">
        <v>43508</v>
      </c>
      <c r="C72" s="35">
        <v>732</v>
      </c>
      <c r="D72" s="35">
        <v>134</v>
      </c>
      <c r="E72" s="35"/>
      <c r="F72" s="35">
        <v>55</v>
      </c>
      <c r="G72" s="7">
        <f t="shared" si="75"/>
        <v>921</v>
      </c>
      <c r="H72" s="17">
        <f t="shared" si="76"/>
        <v>0</v>
      </c>
      <c r="J72" s="1">
        <v>43873</v>
      </c>
      <c r="K72" s="45">
        <v>637.1</v>
      </c>
      <c r="L72" s="45">
        <v>134.94399999999999</v>
      </c>
      <c r="M72" s="45"/>
      <c r="N72" s="45">
        <v>52.683999999999997</v>
      </c>
      <c r="O72" s="7">
        <f t="shared" si="57"/>
        <v>824.72799999999995</v>
      </c>
      <c r="P72" s="17">
        <f t="shared" si="63"/>
        <v>0</v>
      </c>
      <c r="R72" s="1">
        <f t="shared" si="69"/>
        <v>44239</v>
      </c>
      <c r="S72" s="43">
        <v>681.54174841496774</v>
      </c>
      <c r="T72" s="44">
        <v>111.05500000000001</v>
      </c>
      <c r="V72" s="82">
        <v>61.633813400752686</v>
      </c>
      <c r="W72" s="7">
        <f t="shared" si="74"/>
        <v>854.23056181572053</v>
      </c>
      <c r="X72" s="17">
        <f t="shared" si="64"/>
        <v>0</v>
      </c>
      <c r="Y72" s="17"/>
      <c r="Z72" s="1">
        <f t="shared" si="70"/>
        <v>44604</v>
      </c>
      <c r="AA72" s="101">
        <v>588.57165612903225</v>
      </c>
      <c r="AB72" s="101">
        <v>126.47261258064518</v>
      </c>
      <c r="AC72" s="101"/>
      <c r="AD72" s="101">
        <v>53.75983182795698</v>
      </c>
      <c r="AE72" s="101">
        <f t="shared" si="59"/>
        <v>768.80410053763444</v>
      </c>
      <c r="AF72" s="17">
        <f t="shared" si="65"/>
        <v>0</v>
      </c>
      <c r="AH72" s="1">
        <f t="shared" si="71"/>
        <v>44969</v>
      </c>
      <c r="AI72" s="44">
        <v>705.12867290322583</v>
      </c>
      <c r="AJ72" s="44">
        <v>157.23513279569892</v>
      </c>
      <c r="AK72" s="44"/>
      <c r="AL72" s="44">
        <v>56.584258387096774</v>
      </c>
      <c r="AM72" s="44">
        <f t="shared" si="60"/>
        <v>918.94806408602153</v>
      </c>
      <c r="AN72" s="17">
        <f t="shared" si="66"/>
        <v>0</v>
      </c>
      <c r="AO72" s="17"/>
      <c r="AP72" s="1">
        <f t="shared" si="72"/>
        <v>45334</v>
      </c>
      <c r="AQ72" s="44">
        <v>758.58100000000002</v>
      </c>
      <c r="AR72" s="44">
        <v>171.1517418</v>
      </c>
      <c r="AS72" s="44"/>
      <c r="AT72" s="44">
        <v>66.459864408602144</v>
      </c>
      <c r="AU72" s="44">
        <f t="shared" si="61"/>
        <v>996.19260620860211</v>
      </c>
      <c r="AV72" s="17">
        <f t="shared" si="67"/>
        <v>0</v>
      </c>
      <c r="AW72" s="17"/>
      <c r="AX72" s="1">
        <f t="shared" si="73"/>
        <v>45700</v>
      </c>
      <c r="AY72" s="44">
        <v>719.30799999999999</v>
      </c>
      <c r="AZ72" s="44">
        <v>197.98619400000001</v>
      </c>
      <c r="BA72" s="44"/>
      <c r="BB72" s="44">
        <v>66.693096774193549</v>
      </c>
      <c r="BC72" s="44">
        <f t="shared" si="62"/>
        <v>983.98729077419364</v>
      </c>
      <c r="BD72" s="17">
        <f t="shared" si="68"/>
        <v>0</v>
      </c>
    </row>
    <row r="73" spans="1:56" x14ac:dyDescent="0.3">
      <c r="A73" s="17"/>
      <c r="B73" s="1">
        <v>43509</v>
      </c>
      <c r="C73" s="35">
        <v>684</v>
      </c>
      <c r="D73" s="35">
        <v>113</v>
      </c>
      <c r="E73" s="35"/>
      <c r="F73" s="35">
        <v>54</v>
      </c>
      <c r="G73" s="7">
        <f t="shared" si="75"/>
        <v>851</v>
      </c>
      <c r="H73" s="17">
        <f t="shared" si="76"/>
        <v>0</v>
      </c>
      <c r="J73" s="1">
        <v>43874</v>
      </c>
      <c r="K73" s="45">
        <v>681.66200000000003</v>
      </c>
      <c r="L73" s="45">
        <v>132.80500000000001</v>
      </c>
      <c r="M73" s="45"/>
      <c r="N73" s="45">
        <v>58.414999999999999</v>
      </c>
      <c r="O73" s="7">
        <f t="shared" si="57"/>
        <v>872.88200000000006</v>
      </c>
      <c r="P73" s="17">
        <f t="shared" si="63"/>
        <v>0</v>
      </c>
      <c r="R73" s="1">
        <f t="shared" si="69"/>
        <v>44240</v>
      </c>
      <c r="S73" s="43">
        <v>664.06923724468822</v>
      </c>
      <c r="T73" s="44">
        <v>152.31800000000001</v>
      </c>
      <c r="V73" s="82">
        <v>59.75470060827957</v>
      </c>
      <c r="W73" s="7">
        <f t="shared" si="74"/>
        <v>876.14193785296777</v>
      </c>
      <c r="X73" s="17">
        <f t="shared" si="64"/>
        <v>0</v>
      </c>
      <c r="Y73" s="17"/>
      <c r="Z73" s="1">
        <f t="shared" si="70"/>
        <v>44605</v>
      </c>
      <c r="AA73" s="101">
        <v>695.84328860215055</v>
      </c>
      <c r="AB73" s="101">
        <v>130.91254225806452</v>
      </c>
      <c r="AC73" s="101"/>
      <c r="AD73" s="101">
        <v>49.0156864516129</v>
      </c>
      <c r="AE73" s="101">
        <f t="shared" si="59"/>
        <v>875.77151731182789</v>
      </c>
      <c r="AF73" s="17">
        <f t="shared" si="65"/>
        <v>0</v>
      </c>
      <c r="AH73" s="1">
        <f t="shared" si="71"/>
        <v>44970</v>
      </c>
      <c r="AI73" s="44">
        <v>822.51035999999999</v>
      </c>
      <c r="AJ73" s="44">
        <v>171.50220311827957</v>
      </c>
      <c r="AK73" s="44"/>
      <c r="AL73" s="44">
        <v>59.976934193548388</v>
      </c>
      <c r="AM73" s="44">
        <f t="shared" si="60"/>
        <v>1053.989497311828</v>
      </c>
      <c r="AN73" s="17">
        <f t="shared" si="66"/>
        <v>0</v>
      </c>
      <c r="AO73" s="17"/>
      <c r="AP73" s="1">
        <f t="shared" si="72"/>
        <v>45335</v>
      </c>
      <c r="AQ73" s="44">
        <v>623.66899999999998</v>
      </c>
      <c r="AR73" s="44">
        <v>145.02937539999999</v>
      </c>
      <c r="AS73" s="44"/>
      <c r="AT73" s="44">
        <v>62.959162150537637</v>
      </c>
      <c r="AU73" s="44">
        <f t="shared" si="61"/>
        <v>831.65753755053765</v>
      </c>
      <c r="AV73" s="17">
        <f t="shared" si="67"/>
        <v>0</v>
      </c>
      <c r="AW73" s="17"/>
      <c r="AX73" s="1">
        <f t="shared" si="73"/>
        <v>45701</v>
      </c>
      <c r="AY73" s="44">
        <v>723.99599999999998</v>
      </c>
      <c r="AZ73" s="44">
        <v>191.90706599999999</v>
      </c>
      <c r="BA73" s="44"/>
      <c r="BB73" s="44">
        <v>66.326758064516127</v>
      </c>
      <c r="BC73" s="44">
        <f t="shared" si="62"/>
        <v>982.22982406451615</v>
      </c>
      <c r="BD73" s="17">
        <f t="shared" si="68"/>
        <v>0</v>
      </c>
    </row>
    <row r="74" spans="1:56" x14ac:dyDescent="0.3">
      <c r="A74" s="17"/>
      <c r="B74" s="1">
        <v>43510</v>
      </c>
      <c r="C74" s="35">
        <v>719</v>
      </c>
      <c r="D74" s="35">
        <v>110</v>
      </c>
      <c r="E74" s="35"/>
      <c r="F74" s="35">
        <v>51</v>
      </c>
      <c r="G74" s="7">
        <f t="shared" si="75"/>
        <v>880</v>
      </c>
      <c r="H74" s="17">
        <f t="shared" si="76"/>
        <v>0</v>
      </c>
      <c r="J74" s="1">
        <v>43875</v>
      </c>
      <c r="K74" s="45">
        <v>663.05399999999997</v>
      </c>
      <c r="L74" s="45">
        <v>137.66800000000001</v>
      </c>
      <c r="M74" s="45"/>
      <c r="N74" s="45">
        <v>56.521000000000001</v>
      </c>
      <c r="O74" s="7">
        <f t="shared" si="57"/>
        <v>857.24299999999994</v>
      </c>
      <c r="P74" s="17">
        <f t="shared" si="63"/>
        <v>0</v>
      </c>
      <c r="R74" s="1">
        <f t="shared" si="69"/>
        <v>44241</v>
      </c>
      <c r="S74" s="43">
        <v>689.02687502090328</v>
      </c>
      <c r="T74" s="44">
        <v>131.38</v>
      </c>
      <c r="V74" s="82">
        <v>54.570304447311827</v>
      </c>
      <c r="W74" s="7">
        <f t="shared" si="74"/>
        <v>874.97717946821513</v>
      </c>
      <c r="X74" s="17">
        <f t="shared" si="64"/>
        <v>0</v>
      </c>
      <c r="Y74" s="17"/>
      <c r="Z74" s="1">
        <f t="shared" si="70"/>
        <v>44606</v>
      </c>
      <c r="AA74" s="101">
        <v>819.08295677419358</v>
      </c>
      <c r="AB74" s="101">
        <v>158.17428258064518</v>
      </c>
      <c r="AC74" s="101"/>
      <c r="AD74" s="101">
        <v>61.51839688172042</v>
      </c>
      <c r="AE74" s="101">
        <f t="shared" si="59"/>
        <v>1038.7756362365592</v>
      </c>
      <c r="AF74" s="17">
        <f t="shared" si="65"/>
        <v>0</v>
      </c>
      <c r="AH74" s="1">
        <f t="shared" si="71"/>
        <v>44971</v>
      </c>
      <c r="AI74" s="44">
        <v>922.0971696774194</v>
      </c>
      <c r="AJ74" s="44">
        <v>198.00833311827958</v>
      </c>
      <c r="AK74" s="44"/>
      <c r="AL74" s="44">
        <v>62.196912580645161</v>
      </c>
      <c r="AM74" s="44">
        <f t="shared" si="60"/>
        <v>1182.3024153763442</v>
      </c>
      <c r="AN74" s="17">
        <f t="shared" si="66"/>
        <v>0</v>
      </c>
      <c r="AO74" s="17"/>
      <c r="AP74" s="1">
        <f t="shared" si="72"/>
        <v>45336</v>
      </c>
      <c r="AQ74" s="44">
        <v>750.83199999999999</v>
      </c>
      <c r="AR74" s="44">
        <v>154.2539136</v>
      </c>
      <c r="AS74" s="44"/>
      <c r="AT74" s="44">
        <v>63.063980000000001</v>
      </c>
      <c r="AU74" s="44">
        <f t="shared" si="61"/>
        <v>968.14989360000004</v>
      </c>
      <c r="AV74" s="17">
        <f t="shared" si="67"/>
        <v>0</v>
      </c>
      <c r="AW74" s="17"/>
      <c r="AX74" s="1">
        <f t="shared" si="73"/>
        <v>45702</v>
      </c>
      <c r="AY74" s="44">
        <v>714.505</v>
      </c>
      <c r="AZ74" s="44">
        <v>190.2587456</v>
      </c>
      <c r="BA74" s="44"/>
      <c r="BB74" s="44">
        <v>62.004177419354839</v>
      </c>
      <c r="BC74" s="44">
        <f t="shared" si="62"/>
        <v>966.76792301935484</v>
      </c>
      <c r="BD74" s="17">
        <f t="shared" si="68"/>
        <v>0</v>
      </c>
    </row>
    <row r="75" spans="1:56" x14ac:dyDescent="0.3">
      <c r="A75" s="17"/>
      <c r="B75" s="1">
        <v>43511</v>
      </c>
      <c r="C75" s="35">
        <v>726</v>
      </c>
      <c r="D75" s="35">
        <v>104</v>
      </c>
      <c r="E75" s="35"/>
      <c r="F75" s="35">
        <v>50</v>
      </c>
      <c r="G75" s="7">
        <f t="shared" si="75"/>
        <v>880</v>
      </c>
      <c r="H75" s="17">
        <f t="shared" si="76"/>
        <v>0</v>
      </c>
      <c r="J75" s="1">
        <v>43876</v>
      </c>
      <c r="K75" s="45">
        <v>675.29700000000003</v>
      </c>
      <c r="L75" s="45">
        <v>140.47999999999999</v>
      </c>
      <c r="M75" s="45"/>
      <c r="N75" s="45">
        <v>54.497</v>
      </c>
      <c r="O75" s="7">
        <f t="shared" si="57"/>
        <v>870.274</v>
      </c>
      <c r="P75" s="17">
        <f t="shared" si="63"/>
        <v>0</v>
      </c>
      <c r="R75" s="1">
        <f t="shared" si="69"/>
        <v>44242</v>
      </c>
      <c r="S75" s="43">
        <v>723.73424887565591</v>
      </c>
      <c r="T75" s="44">
        <v>129.38300000000001</v>
      </c>
      <c r="V75" s="82">
        <v>61.706588289247314</v>
      </c>
      <c r="W75" s="7">
        <f t="shared" si="74"/>
        <v>914.82383716490324</v>
      </c>
      <c r="X75" s="17">
        <f t="shared" si="64"/>
        <v>0</v>
      </c>
      <c r="Y75" s="17"/>
      <c r="Z75" s="1">
        <f t="shared" si="70"/>
        <v>44607</v>
      </c>
      <c r="AA75" s="101">
        <v>797.03823612903227</v>
      </c>
      <c r="AB75" s="101">
        <v>168.27905580645162</v>
      </c>
      <c r="AC75" s="101"/>
      <c r="AD75" s="101">
        <v>62.441703655913976</v>
      </c>
      <c r="AE75" s="101">
        <f t="shared" si="59"/>
        <v>1027.7589955913979</v>
      </c>
      <c r="AF75" s="17">
        <f t="shared" si="65"/>
        <v>0</v>
      </c>
      <c r="AH75" s="1">
        <f t="shared" si="71"/>
        <v>44972</v>
      </c>
      <c r="AI75" s="44">
        <v>936.58392000000003</v>
      </c>
      <c r="AJ75" s="44">
        <v>214.25711247311827</v>
      </c>
      <c r="AK75" s="44"/>
      <c r="AL75" s="44">
        <v>70.14745806451613</v>
      </c>
      <c r="AM75" s="44">
        <f t="shared" si="60"/>
        <v>1220.9884905376343</v>
      </c>
      <c r="AN75" s="17">
        <f t="shared" si="66"/>
        <v>0</v>
      </c>
      <c r="AO75" s="17"/>
      <c r="AP75" s="1">
        <f t="shared" si="72"/>
        <v>45337</v>
      </c>
      <c r="AQ75" s="44">
        <v>686.50400000000002</v>
      </c>
      <c r="AR75" s="44">
        <v>153.73626179999999</v>
      </c>
      <c r="AS75" s="44"/>
      <c r="AT75" s="44">
        <v>62.709952365591398</v>
      </c>
      <c r="AU75" s="44">
        <f t="shared" si="61"/>
        <v>902.95021416559143</v>
      </c>
      <c r="AV75" s="17">
        <f t="shared" si="67"/>
        <v>0</v>
      </c>
      <c r="AW75" s="17"/>
      <c r="AX75" s="1">
        <f t="shared" si="73"/>
        <v>45703</v>
      </c>
      <c r="AY75" s="44">
        <v>703.72</v>
      </c>
      <c r="AZ75" s="44">
        <v>187.8475866</v>
      </c>
      <c r="BA75" s="44"/>
      <c r="BB75" s="44">
        <v>55.322548387096774</v>
      </c>
      <c r="BC75" s="44">
        <f t="shared" si="62"/>
        <v>946.89013498709676</v>
      </c>
      <c r="BD75" s="17">
        <f t="shared" si="68"/>
        <v>0</v>
      </c>
    </row>
    <row r="76" spans="1:56" x14ac:dyDescent="0.3">
      <c r="A76" s="17"/>
      <c r="B76" s="1">
        <v>43512</v>
      </c>
      <c r="C76" s="35">
        <v>699</v>
      </c>
      <c r="D76" s="35">
        <v>119</v>
      </c>
      <c r="E76" s="35"/>
      <c r="F76" s="35">
        <v>45</v>
      </c>
      <c r="G76" s="7">
        <f t="shared" si="75"/>
        <v>863</v>
      </c>
      <c r="H76" s="17">
        <f t="shared" si="76"/>
        <v>0</v>
      </c>
      <c r="J76" s="1">
        <v>43877</v>
      </c>
      <c r="K76" s="45">
        <v>689.98800000000006</v>
      </c>
      <c r="L76" s="45">
        <v>148.01499999999999</v>
      </c>
      <c r="M76" s="45"/>
      <c r="N76" s="45">
        <v>47.506999999999998</v>
      </c>
      <c r="O76" s="7">
        <f t="shared" si="57"/>
        <v>885.51</v>
      </c>
      <c r="P76" s="17">
        <f t="shared" si="63"/>
        <v>0</v>
      </c>
      <c r="R76" s="1">
        <f t="shared" si="69"/>
        <v>44243</v>
      </c>
      <c r="S76" s="43">
        <v>661.28680850769888</v>
      </c>
      <c r="T76" s="44">
        <v>122.029</v>
      </c>
      <c r="V76" s="82">
        <v>58.041775247741938</v>
      </c>
      <c r="W76" s="7">
        <f t="shared" si="74"/>
        <v>841.35758375544083</v>
      </c>
      <c r="X76" s="17">
        <f t="shared" si="64"/>
        <v>0</v>
      </c>
      <c r="Y76" s="17"/>
      <c r="Z76" s="1">
        <f t="shared" si="70"/>
        <v>44608</v>
      </c>
      <c r="AA76" s="101">
        <v>807.52141204301086</v>
      </c>
      <c r="AB76" s="101">
        <v>166.92133225806452</v>
      </c>
      <c r="AC76" s="101"/>
      <c r="AD76" s="101">
        <v>62.524275806451605</v>
      </c>
      <c r="AE76" s="101">
        <f t="shared" si="59"/>
        <v>1036.9670201075271</v>
      </c>
      <c r="AF76" s="17">
        <f t="shared" si="65"/>
        <v>0</v>
      </c>
      <c r="AH76" s="1">
        <f t="shared" si="71"/>
        <v>44973</v>
      </c>
      <c r="AI76" s="44">
        <v>900.66447870967738</v>
      </c>
      <c r="AJ76" s="44">
        <v>198.22749408602149</v>
      </c>
      <c r="AK76" s="44"/>
      <c r="AL76" s="44">
        <v>75.462114193548388</v>
      </c>
      <c r="AM76" s="44">
        <f t="shared" si="60"/>
        <v>1174.3540869892472</v>
      </c>
      <c r="AN76" s="17">
        <f t="shared" si="66"/>
        <v>0</v>
      </c>
      <c r="AO76" s="17"/>
      <c r="AP76" s="1">
        <f t="shared" si="72"/>
        <v>45338</v>
      </c>
      <c r="AQ76" s="44">
        <v>610.60900000000004</v>
      </c>
      <c r="AR76" s="44">
        <v>135.4537536</v>
      </c>
      <c r="AS76" s="44"/>
      <c r="AT76" s="44">
        <v>54.754491505376343</v>
      </c>
      <c r="AU76" s="44">
        <f t="shared" si="61"/>
        <v>800.8172451053764</v>
      </c>
      <c r="AV76" s="17">
        <f t="shared" si="67"/>
        <v>0</v>
      </c>
      <c r="AW76" s="17"/>
      <c r="AX76" s="1">
        <f t="shared" si="73"/>
        <v>45704</v>
      </c>
      <c r="AY76" s="44">
        <v>763.29300000000001</v>
      </c>
      <c r="AZ76" s="44">
        <v>193.3243932</v>
      </c>
      <c r="BA76" s="44"/>
      <c r="BB76" s="44">
        <v>59.274467741935482</v>
      </c>
      <c r="BC76" s="44">
        <f t="shared" si="62"/>
        <v>1015.8918609419355</v>
      </c>
      <c r="BD76" s="17">
        <f t="shared" si="68"/>
        <v>0</v>
      </c>
    </row>
    <row r="77" spans="1:56" x14ac:dyDescent="0.3">
      <c r="A77" s="17"/>
      <c r="B77" s="1">
        <v>43513</v>
      </c>
      <c r="C77" s="35">
        <v>737</v>
      </c>
      <c r="D77" s="35">
        <v>143</v>
      </c>
      <c r="E77" s="35"/>
      <c r="F77" s="35">
        <v>41</v>
      </c>
      <c r="G77" s="7">
        <f t="shared" si="75"/>
        <v>921</v>
      </c>
      <c r="H77" s="17">
        <f t="shared" si="76"/>
        <v>0</v>
      </c>
      <c r="J77" s="1">
        <v>43878</v>
      </c>
      <c r="K77" s="45">
        <v>840.81500000000005</v>
      </c>
      <c r="L77" s="45">
        <v>160.68699999999998</v>
      </c>
      <c r="M77" s="45"/>
      <c r="N77" s="45">
        <v>61.021999999999998</v>
      </c>
      <c r="O77" s="7">
        <f t="shared" si="57"/>
        <v>1062.5240000000001</v>
      </c>
      <c r="P77" s="17">
        <f t="shared" si="63"/>
        <v>0</v>
      </c>
      <c r="R77" s="1">
        <f t="shared" si="69"/>
        <v>44244</v>
      </c>
      <c r="S77" s="43">
        <v>733.32145837273117</v>
      </c>
      <c r="T77" s="44">
        <v>128.68899999999999</v>
      </c>
      <c r="V77" s="82">
        <v>54.922230773763438</v>
      </c>
      <c r="W77" s="7">
        <f t="shared" si="74"/>
        <v>916.93268914649457</v>
      </c>
      <c r="X77" s="17">
        <f t="shared" si="64"/>
        <v>0</v>
      </c>
      <c r="Y77" s="17"/>
      <c r="Z77" s="1">
        <f t="shared" si="70"/>
        <v>44609</v>
      </c>
      <c r="AA77" s="101">
        <v>690.2746124731184</v>
      </c>
      <c r="AB77" s="101">
        <v>128.73242032258065</v>
      </c>
      <c r="AC77" s="101"/>
      <c r="AD77" s="101">
        <v>60.290538279569887</v>
      </c>
      <c r="AE77" s="101">
        <f t="shared" si="59"/>
        <v>879.29757107526893</v>
      </c>
      <c r="AF77" s="17">
        <f t="shared" si="65"/>
        <v>0</v>
      </c>
      <c r="AH77" s="1">
        <f t="shared" si="71"/>
        <v>44974</v>
      </c>
      <c r="AI77" s="44">
        <v>800.60668838709682</v>
      </c>
      <c r="AJ77" s="44">
        <v>183.10744516129031</v>
      </c>
      <c r="AK77" s="44"/>
      <c r="AL77" s="44">
        <v>69.58897967741936</v>
      </c>
      <c r="AM77" s="44">
        <f t="shared" si="60"/>
        <v>1053.3031132258066</v>
      </c>
      <c r="AN77" s="17">
        <f t="shared" si="66"/>
        <v>0</v>
      </c>
      <c r="AO77" s="17"/>
      <c r="AP77" s="1">
        <f t="shared" si="72"/>
        <v>45339</v>
      </c>
      <c r="AQ77" s="44">
        <v>591.76499999999999</v>
      </c>
      <c r="AR77" s="44">
        <v>141.4368929</v>
      </c>
      <c r="AS77" s="44"/>
      <c r="AT77" s="44">
        <v>51.418503010752687</v>
      </c>
      <c r="AU77" s="44">
        <f t="shared" si="61"/>
        <v>784.62039591075268</v>
      </c>
      <c r="AV77" s="17">
        <f t="shared" si="67"/>
        <v>0</v>
      </c>
      <c r="AW77" s="17"/>
      <c r="AX77" s="1">
        <f t="shared" si="73"/>
        <v>45705</v>
      </c>
      <c r="AY77" s="44">
        <v>952.08699999999999</v>
      </c>
      <c r="AZ77" s="44">
        <v>203.69976</v>
      </c>
      <c r="BA77" s="44"/>
      <c r="BB77" s="44">
        <v>68.804677419354832</v>
      </c>
      <c r="BC77" s="44">
        <f t="shared" si="62"/>
        <v>1224.5914374193549</v>
      </c>
      <c r="BD77" s="17">
        <f t="shared" si="68"/>
        <v>0</v>
      </c>
    </row>
    <row r="78" spans="1:56" x14ac:dyDescent="0.3">
      <c r="A78" s="17"/>
      <c r="B78" s="1">
        <v>43514</v>
      </c>
      <c r="C78" s="35">
        <v>820</v>
      </c>
      <c r="D78" s="35">
        <v>148</v>
      </c>
      <c r="E78" s="35"/>
      <c r="F78" s="35">
        <v>51</v>
      </c>
      <c r="G78" s="7">
        <f t="shared" si="75"/>
        <v>1019</v>
      </c>
      <c r="H78" s="17">
        <f t="shared" si="76"/>
        <v>0</v>
      </c>
      <c r="J78" s="1">
        <v>43879</v>
      </c>
      <c r="K78" s="45">
        <v>843.26400000000001</v>
      </c>
      <c r="L78" s="45">
        <v>166.953</v>
      </c>
      <c r="M78" s="45"/>
      <c r="N78" s="45">
        <v>61.793999999999997</v>
      </c>
      <c r="O78" s="7">
        <f t="shared" si="57"/>
        <v>1072.011</v>
      </c>
      <c r="P78" s="17">
        <f t="shared" si="63"/>
        <v>0</v>
      </c>
      <c r="R78" s="1">
        <f t="shared" si="69"/>
        <v>44245</v>
      </c>
      <c r="S78" s="43">
        <v>726.47452383015059</v>
      </c>
      <c r="T78" s="44">
        <v>149.81100000000001</v>
      </c>
      <c r="V78" s="82">
        <v>57.724607076989244</v>
      </c>
      <c r="W78" s="7">
        <f t="shared" si="74"/>
        <v>934.01013090713991</v>
      </c>
      <c r="X78" s="17">
        <f t="shared" si="64"/>
        <v>0</v>
      </c>
      <c r="Y78" s="17"/>
      <c r="Z78" s="1">
        <f t="shared" si="70"/>
        <v>44610</v>
      </c>
      <c r="AA78" s="101">
        <v>763.1907432258065</v>
      </c>
      <c r="AB78" s="101">
        <v>140.76395548387097</v>
      </c>
      <c r="AC78" s="101"/>
      <c r="AD78" s="101">
        <v>48.513819354838709</v>
      </c>
      <c r="AE78" s="101">
        <f t="shared" si="59"/>
        <v>952.46851806451616</v>
      </c>
      <c r="AF78" s="17">
        <f t="shared" si="65"/>
        <v>0</v>
      </c>
      <c r="AH78" s="1">
        <f t="shared" si="71"/>
        <v>44975</v>
      </c>
      <c r="AI78" s="44">
        <v>782.06131354838715</v>
      </c>
      <c r="AJ78" s="44">
        <v>171.52586838709678</v>
      </c>
      <c r="AK78" s="44"/>
      <c r="AL78" s="44">
        <v>63.726564516129031</v>
      </c>
      <c r="AM78" s="44">
        <f t="shared" si="60"/>
        <v>1017.313746451613</v>
      </c>
      <c r="AN78" s="17">
        <f t="shared" si="66"/>
        <v>0</v>
      </c>
      <c r="AO78" s="17"/>
      <c r="AP78" s="1">
        <f t="shared" si="72"/>
        <v>45340</v>
      </c>
      <c r="AQ78" s="44">
        <v>559.52499999999998</v>
      </c>
      <c r="AR78" s="44">
        <v>129.7037775</v>
      </c>
      <c r="AS78" s="44"/>
      <c r="AT78" s="44">
        <v>53.158693225806452</v>
      </c>
      <c r="AU78" s="44">
        <f t="shared" si="61"/>
        <v>742.38747072580645</v>
      </c>
      <c r="AV78" s="17">
        <f t="shared" si="67"/>
        <v>0</v>
      </c>
      <c r="AW78" s="17"/>
      <c r="AX78" s="1">
        <f t="shared" si="73"/>
        <v>45706</v>
      </c>
      <c r="AY78" s="44">
        <v>688.43499999999995</v>
      </c>
      <c r="AZ78" s="44">
        <v>167.2574807</v>
      </c>
      <c r="BA78" s="44"/>
      <c r="BB78" s="44">
        <v>61.99661290322581</v>
      </c>
      <c r="BC78" s="44">
        <f t="shared" si="62"/>
        <v>917.68909360322573</v>
      </c>
      <c r="BD78" s="17">
        <f t="shared" si="68"/>
        <v>0</v>
      </c>
    </row>
    <row r="79" spans="1:56" x14ac:dyDescent="0.3">
      <c r="A79" s="17"/>
      <c r="B79" s="1">
        <v>43515</v>
      </c>
      <c r="C79" s="35">
        <v>806</v>
      </c>
      <c r="D79" s="35">
        <v>154</v>
      </c>
      <c r="E79" s="35"/>
      <c r="F79" s="35">
        <v>51</v>
      </c>
      <c r="G79" s="7">
        <f t="shared" si="75"/>
        <v>1011</v>
      </c>
      <c r="H79" s="17">
        <f t="shared" si="76"/>
        <v>0</v>
      </c>
      <c r="J79" s="1">
        <v>43880</v>
      </c>
      <c r="K79" s="45">
        <v>814.86099999999999</v>
      </c>
      <c r="L79" s="45">
        <v>166.94</v>
      </c>
      <c r="M79" s="45"/>
      <c r="N79" s="45">
        <v>64.52</v>
      </c>
      <c r="O79" s="7">
        <f t="shared" si="57"/>
        <v>1046.3209999999999</v>
      </c>
      <c r="P79" s="17">
        <f t="shared" si="63"/>
        <v>0</v>
      </c>
      <c r="R79" s="1">
        <f t="shared" si="69"/>
        <v>44246</v>
      </c>
      <c r="S79" s="43">
        <v>775.05988371849458</v>
      </c>
      <c r="T79" s="44">
        <v>147.995</v>
      </c>
      <c r="V79" s="82">
        <v>59.13991572935484</v>
      </c>
      <c r="W79" s="7">
        <f t="shared" si="74"/>
        <v>982.19479944784939</v>
      </c>
      <c r="X79" s="17">
        <f t="shared" si="64"/>
        <v>0</v>
      </c>
      <c r="Y79" s="17"/>
      <c r="Z79" s="1">
        <f t="shared" si="70"/>
        <v>44611</v>
      </c>
      <c r="AA79" s="101">
        <v>866.42181462365591</v>
      </c>
      <c r="AB79" s="101">
        <v>162.31385806451615</v>
      </c>
      <c r="AC79" s="101"/>
      <c r="AD79" s="101">
        <v>64.161778064516128</v>
      </c>
      <c r="AE79" s="101">
        <f t="shared" si="59"/>
        <v>1092.8974507526882</v>
      </c>
      <c r="AF79" s="17">
        <f t="shared" si="65"/>
        <v>0</v>
      </c>
      <c r="AH79" s="1">
        <f t="shared" si="71"/>
        <v>44976</v>
      </c>
      <c r="AI79" s="44">
        <v>739.95973935483869</v>
      </c>
      <c r="AJ79" s="44">
        <v>173.96647784946236</v>
      </c>
      <c r="AK79" s="44"/>
      <c r="AL79" s="44">
        <v>62.059704838709678</v>
      </c>
      <c r="AM79" s="44">
        <f t="shared" si="60"/>
        <v>975.98592204301076</v>
      </c>
      <c r="AN79" s="17">
        <f t="shared" si="66"/>
        <v>0</v>
      </c>
      <c r="AO79" s="17"/>
      <c r="AP79" s="1">
        <f t="shared" si="72"/>
        <v>45341</v>
      </c>
      <c r="AQ79" s="44">
        <v>778.48299999999995</v>
      </c>
      <c r="AR79" s="44">
        <v>140.8571086</v>
      </c>
      <c r="AS79" s="44"/>
      <c r="AT79" s="44">
        <v>63.835139892473116</v>
      </c>
      <c r="AU79" s="44">
        <f t="shared" si="61"/>
        <v>983.17524849247297</v>
      </c>
      <c r="AV79" s="17">
        <f t="shared" si="67"/>
        <v>0</v>
      </c>
      <c r="AW79" s="17"/>
      <c r="AX79" s="1">
        <f t="shared" si="73"/>
        <v>45707</v>
      </c>
      <c r="AY79" s="44">
        <v>726.755</v>
      </c>
      <c r="AZ79" s="44">
        <v>166.30332659999999</v>
      </c>
      <c r="BA79" s="44"/>
      <c r="BB79" s="44">
        <v>60.846806451612906</v>
      </c>
      <c r="BC79" s="44">
        <f t="shared" si="62"/>
        <v>953.90513305161289</v>
      </c>
      <c r="BD79" s="17">
        <f t="shared" si="68"/>
        <v>0</v>
      </c>
    </row>
    <row r="80" spans="1:56" x14ac:dyDescent="0.3">
      <c r="A80" s="17"/>
      <c r="B80" s="1">
        <v>43516</v>
      </c>
      <c r="C80" s="35">
        <v>942</v>
      </c>
      <c r="D80" s="35">
        <v>171</v>
      </c>
      <c r="E80" s="35"/>
      <c r="F80" s="35">
        <v>59</v>
      </c>
      <c r="G80" s="7">
        <f t="shared" si="75"/>
        <v>1172</v>
      </c>
      <c r="H80" s="17">
        <f t="shared" ref="H80:H143" si="77">IF(G80&gt;1758,1,0)</f>
        <v>0</v>
      </c>
      <c r="J80" s="1">
        <v>43881</v>
      </c>
      <c r="K80" s="45">
        <v>698.80200000000002</v>
      </c>
      <c r="L80" s="45">
        <v>132.36099999999999</v>
      </c>
      <c r="M80" s="45"/>
      <c r="N80" s="45">
        <v>59.28</v>
      </c>
      <c r="O80" s="7">
        <f t="shared" si="57"/>
        <v>890.44299999999998</v>
      </c>
      <c r="P80" s="17">
        <f t="shared" si="63"/>
        <v>0</v>
      </c>
      <c r="R80" s="1">
        <f t="shared" si="69"/>
        <v>44247</v>
      </c>
      <c r="S80" s="43">
        <v>656.61985884550541</v>
      </c>
      <c r="T80" s="44">
        <v>131.74600000000001</v>
      </c>
      <c r="V80" s="82">
        <v>57.355301672688171</v>
      </c>
      <c r="W80" s="7">
        <f t="shared" si="74"/>
        <v>845.72116051819353</v>
      </c>
      <c r="X80" s="17">
        <f t="shared" si="64"/>
        <v>0</v>
      </c>
      <c r="Y80" s="17"/>
      <c r="Z80" s="1">
        <f t="shared" si="70"/>
        <v>44612</v>
      </c>
      <c r="AA80" s="101">
        <v>700.99799376344095</v>
      </c>
      <c r="AB80" s="101">
        <v>134.51679258064516</v>
      </c>
      <c r="AC80" s="101"/>
      <c r="AD80" s="101">
        <v>49.549724516129032</v>
      </c>
      <c r="AE80" s="101">
        <f t="shared" si="59"/>
        <v>885.06451086021514</v>
      </c>
      <c r="AF80" s="17">
        <f t="shared" si="65"/>
        <v>0</v>
      </c>
      <c r="AH80" s="1">
        <f t="shared" si="71"/>
        <v>44977</v>
      </c>
      <c r="AI80" s="44">
        <v>803.33120903225802</v>
      </c>
      <c r="AJ80" s="44">
        <v>166.50059999999999</v>
      </c>
      <c r="AK80" s="44"/>
      <c r="AL80" s="44">
        <v>66.840537096774199</v>
      </c>
      <c r="AM80" s="44">
        <f t="shared" si="60"/>
        <v>1036.6723461290321</v>
      </c>
      <c r="AN80" s="17">
        <f t="shared" si="66"/>
        <v>0</v>
      </c>
      <c r="AO80" s="17"/>
      <c r="AP80" s="1">
        <f t="shared" si="72"/>
        <v>45342</v>
      </c>
      <c r="AQ80" s="44">
        <v>666.09299999999996</v>
      </c>
      <c r="AR80" s="44">
        <v>136.76646349999999</v>
      </c>
      <c r="AS80" s="44"/>
      <c r="AT80" s="44">
        <v>59.231711075268819</v>
      </c>
      <c r="AU80" s="44">
        <f t="shared" si="61"/>
        <v>862.09117457526872</v>
      </c>
      <c r="AV80" s="17">
        <f t="shared" si="67"/>
        <v>0</v>
      </c>
      <c r="AW80" s="17"/>
      <c r="AX80" s="1">
        <f t="shared" si="73"/>
        <v>45708</v>
      </c>
      <c r="AY80" s="44">
        <v>735.48599999999999</v>
      </c>
      <c r="AZ80" s="44">
        <v>164.1895572</v>
      </c>
      <c r="BA80" s="44"/>
      <c r="BB80" s="44">
        <v>62.856806451612904</v>
      </c>
      <c r="BC80" s="44">
        <f t="shared" si="62"/>
        <v>962.53236365161285</v>
      </c>
      <c r="BD80" s="17">
        <f t="shared" si="68"/>
        <v>0</v>
      </c>
    </row>
    <row r="81" spans="1:56" x14ac:dyDescent="0.3">
      <c r="A81" s="17"/>
      <c r="B81" s="1">
        <v>43517</v>
      </c>
      <c r="C81" s="35">
        <v>908</v>
      </c>
      <c r="D81" s="35">
        <v>168</v>
      </c>
      <c r="E81" s="35"/>
      <c r="F81" s="35">
        <v>59</v>
      </c>
      <c r="G81" s="7">
        <f t="shared" si="75"/>
        <v>1135</v>
      </c>
      <c r="H81" s="17">
        <f t="shared" si="77"/>
        <v>0</v>
      </c>
      <c r="J81" s="1">
        <v>43882</v>
      </c>
      <c r="K81" s="45">
        <v>571.97</v>
      </c>
      <c r="L81" s="45">
        <v>115.857</v>
      </c>
      <c r="M81" s="45"/>
      <c r="N81" s="45">
        <v>53.478000000000002</v>
      </c>
      <c r="O81" s="7">
        <f t="shared" si="57"/>
        <v>741.30499999999995</v>
      </c>
      <c r="P81" s="17">
        <f t="shared" si="63"/>
        <v>0</v>
      </c>
      <c r="R81" s="1">
        <f t="shared" si="69"/>
        <v>44248</v>
      </c>
      <c r="S81" s="43">
        <v>716.90935720898926</v>
      </c>
      <c r="T81" s="44">
        <v>129.89599999999999</v>
      </c>
      <c r="V81" s="82">
        <v>55.397983029892472</v>
      </c>
      <c r="W81" s="7">
        <f t="shared" si="74"/>
        <v>902.20334023888165</v>
      </c>
      <c r="X81" s="17">
        <f t="shared" si="64"/>
        <v>0</v>
      </c>
      <c r="Y81" s="17"/>
      <c r="Z81" s="1">
        <f t="shared" si="70"/>
        <v>44613</v>
      </c>
      <c r="AA81" s="101">
        <v>650.08263118279569</v>
      </c>
      <c r="AB81" s="101">
        <v>130.91765032258064</v>
      </c>
      <c r="AC81" s="101"/>
      <c r="AD81" s="101">
        <v>53.393082795698916</v>
      </c>
      <c r="AE81" s="101">
        <f t="shared" si="59"/>
        <v>834.39336430107517</v>
      </c>
      <c r="AF81" s="17">
        <f t="shared" si="65"/>
        <v>0</v>
      </c>
      <c r="AH81" s="1">
        <f t="shared" si="71"/>
        <v>44978</v>
      </c>
      <c r="AI81" s="44">
        <v>695.48483225806456</v>
      </c>
      <c r="AJ81" s="44">
        <v>155.60017139784946</v>
      </c>
      <c r="AK81" s="44"/>
      <c r="AL81" s="44">
        <v>64.45762451612903</v>
      </c>
      <c r="AM81" s="44">
        <f t="shared" si="60"/>
        <v>915.54262817204312</v>
      </c>
      <c r="AN81" s="17">
        <f t="shared" si="66"/>
        <v>0</v>
      </c>
      <c r="AO81" s="17"/>
      <c r="AP81" s="1">
        <f t="shared" si="72"/>
        <v>45343</v>
      </c>
      <c r="AQ81" s="44">
        <v>792.10900000000004</v>
      </c>
      <c r="AR81" s="44">
        <v>152.81274350000001</v>
      </c>
      <c r="AS81" s="44"/>
      <c r="AT81" s="44">
        <v>61.168702150537634</v>
      </c>
      <c r="AU81" s="44">
        <f t="shared" si="61"/>
        <v>1006.0904456505377</v>
      </c>
      <c r="AV81" s="17">
        <f t="shared" si="67"/>
        <v>0</v>
      </c>
      <c r="AW81" s="17"/>
      <c r="AX81" s="1">
        <f t="shared" si="73"/>
        <v>45709</v>
      </c>
      <c r="AY81" s="44">
        <v>663.94399999999996</v>
      </c>
      <c r="AZ81" s="44">
        <v>157.44759479999999</v>
      </c>
      <c r="BA81" s="44"/>
      <c r="BB81" s="44">
        <v>60.437241935483868</v>
      </c>
      <c r="BC81" s="44">
        <f t="shared" si="62"/>
        <v>881.82883673548372</v>
      </c>
      <c r="BD81" s="17">
        <f t="shared" si="68"/>
        <v>0</v>
      </c>
    </row>
    <row r="82" spans="1:56" x14ac:dyDescent="0.3">
      <c r="A82" s="17"/>
      <c r="B82" s="1">
        <v>43518</v>
      </c>
      <c r="C82" s="35">
        <v>964</v>
      </c>
      <c r="D82" s="35">
        <v>166</v>
      </c>
      <c r="E82" s="35"/>
      <c r="F82" s="35">
        <v>60</v>
      </c>
      <c r="G82" s="7">
        <f t="shared" si="75"/>
        <v>1190</v>
      </c>
      <c r="H82" s="17">
        <f t="shared" si="77"/>
        <v>0</v>
      </c>
      <c r="J82" s="1">
        <v>43883</v>
      </c>
      <c r="K82" s="45">
        <v>541.60799999999995</v>
      </c>
      <c r="L82" s="45">
        <v>112.04299999999999</v>
      </c>
      <c r="M82" s="45"/>
      <c r="N82" s="45">
        <v>44.427</v>
      </c>
      <c r="O82" s="7">
        <f t="shared" si="57"/>
        <v>698.07799999999997</v>
      </c>
      <c r="P82" s="17">
        <f t="shared" si="63"/>
        <v>0</v>
      </c>
      <c r="R82" s="1">
        <f t="shared" si="69"/>
        <v>44249</v>
      </c>
      <c r="S82" s="43">
        <v>744.53868367354835</v>
      </c>
      <c r="T82" s="44">
        <v>146.91499999999999</v>
      </c>
      <c r="V82" s="82">
        <v>62.925296123440859</v>
      </c>
      <c r="W82" s="7">
        <f t="shared" si="74"/>
        <v>954.37897979698914</v>
      </c>
      <c r="X82" s="17">
        <f t="shared" si="64"/>
        <v>0</v>
      </c>
      <c r="Y82" s="17"/>
      <c r="Z82" s="1">
        <f t="shared" si="70"/>
        <v>44614</v>
      </c>
      <c r="AA82" s="101">
        <v>566.63937204301078</v>
      </c>
      <c r="AB82" s="101">
        <v>119.43267806451615</v>
      </c>
      <c r="AC82" s="101"/>
      <c r="AD82" s="101">
        <v>50.259630537634408</v>
      </c>
      <c r="AE82" s="101">
        <f t="shared" si="59"/>
        <v>736.33168064516133</v>
      </c>
      <c r="AF82" s="17">
        <f t="shared" si="65"/>
        <v>0</v>
      </c>
      <c r="AH82" s="1">
        <f t="shared" si="71"/>
        <v>44979</v>
      </c>
      <c r="AI82" s="44">
        <v>862.07478193548388</v>
      </c>
      <c r="AJ82" s="44">
        <v>183.7484652688172</v>
      </c>
      <c r="AK82" s="44"/>
      <c r="AL82" s="44">
        <v>70.434736774193553</v>
      </c>
      <c r="AM82" s="44">
        <f t="shared" si="60"/>
        <v>1116.2579839784946</v>
      </c>
      <c r="AN82" s="17">
        <f t="shared" si="66"/>
        <v>0</v>
      </c>
      <c r="AO82" s="17"/>
      <c r="AP82" s="1">
        <f t="shared" si="72"/>
        <v>45344</v>
      </c>
      <c r="AQ82" s="44">
        <v>822.53700000000003</v>
      </c>
      <c r="AR82" s="44">
        <v>191.58813119999999</v>
      </c>
      <c r="AS82" s="44"/>
      <c r="AT82" s="44">
        <v>63.005153655913979</v>
      </c>
      <c r="AU82" s="44">
        <f t="shared" si="61"/>
        <v>1077.1302848559139</v>
      </c>
      <c r="AV82" s="17">
        <f t="shared" si="67"/>
        <v>0</v>
      </c>
      <c r="AW82" s="17"/>
      <c r="AX82" s="1">
        <f t="shared" si="73"/>
        <v>45710</v>
      </c>
      <c r="AY82" s="44">
        <v>680.93</v>
      </c>
      <c r="AZ82" s="44">
        <v>168.17869759999999</v>
      </c>
      <c r="BA82" s="44"/>
      <c r="BB82" s="44">
        <v>57.702129032258064</v>
      </c>
      <c r="BC82" s="44">
        <f t="shared" si="62"/>
        <v>906.810826632258</v>
      </c>
      <c r="BD82" s="17">
        <f t="shared" si="68"/>
        <v>0</v>
      </c>
    </row>
    <row r="83" spans="1:56" x14ac:dyDescent="0.3">
      <c r="A83" s="17"/>
      <c r="B83" s="1">
        <v>43519</v>
      </c>
      <c r="C83" s="35">
        <v>918</v>
      </c>
      <c r="D83" s="35">
        <v>162</v>
      </c>
      <c r="E83" s="35"/>
      <c r="F83" s="35">
        <v>58</v>
      </c>
      <c r="G83" s="7">
        <f t="shared" si="75"/>
        <v>1138</v>
      </c>
      <c r="H83" s="17">
        <f t="shared" si="77"/>
        <v>0</v>
      </c>
      <c r="J83" s="1">
        <v>43884</v>
      </c>
      <c r="K83" s="45">
        <v>672.35799999999995</v>
      </c>
      <c r="L83" s="45">
        <v>130.93600000000001</v>
      </c>
      <c r="M83" s="45"/>
      <c r="N83" s="45">
        <v>44.48</v>
      </c>
      <c r="O83" s="7">
        <f t="shared" si="57"/>
        <v>847.774</v>
      </c>
      <c r="P83" s="17">
        <f t="shared" si="63"/>
        <v>0</v>
      </c>
      <c r="R83" s="1">
        <f t="shared" si="69"/>
        <v>44250</v>
      </c>
      <c r="S83" s="43">
        <v>789.63118119858063</v>
      </c>
      <c r="T83" s="44">
        <v>131.648</v>
      </c>
      <c r="V83" s="82">
        <v>65.317091712473115</v>
      </c>
      <c r="W83" s="7">
        <f t="shared" si="74"/>
        <v>986.5962729110538</v>
      </c>
      <c r="X83" s="17">
        <f t="shared" si="64"/>
        <v>0</v>
      </c>
      <c r="Y83" s="17"/>
      <c r="Z83" s="1">
        <f t="shared" si="70"/>
        <v>44615</v>
      </c>
      <c r="AA83" s="101">
        <v>654.07310688172049</v>
      </c>
      <c r="AB83" s="101">
        <v>105.71446</v>
      </c>
      <c r="AC83" s="101"/>
      <c r="AD83" s="101">
        <v>50.329334301075264</v>
      </c>
      <c r="AE83" s="101">
        <f t="shared" si="59"/>
        <v>810.1169011827958</v>
      </c>
      <c r="AF83" s="17">
        <f t="shared" si="65"/>
        <v>0</v>
      </c>
      <c r="AH83" s="1">
        <f t="shared" si="71"/>
        <v>44980</v>
      </c>
      <c r="AI83" s="44">
        <v>951.06247935483873</v>
      </c>
      <c r="AJ83" s="44">
        <v>189.06697720430108</v>
      </c>
      <c r="AK83" s="44"/>
      <c r="AL83" s="44">
        <v>76.26285</v>
      </c>
      <c r="AM83" s="44">
        <f t="shared" si="60"/>
        <v>1216.3923065591398</v>
      </c>
      <c r="AN83" s="17">
        <f t="shared" si="66"/>
        <v>0</v>
      </c>
      <c r="AO83" s="17"/>
      <c r="AP83" s="1">
        <f t="shared" si="72"/>
        <v>45345</v>
      </c>
      <c r="AQ83" s="44">
        <v>839.73099999999999</v>
      </c>
      <c r="AR83" s="44">
        <v>190.42816500000001</v>
      </c>
      <c r="AS83" s="44"/>
      <c r="AT83" s="44">
        <v>69.558408387096776</v>
      </c>
      <c r="AU83" s="44">
        <f t="shared" si="61"/>
        <v>1099.7175733870968</v>
      </c>
      <c r="AV83" s="17">
        <f t="shared" si="67"/>
        <v>0</v>
      </c>
      <c r="AW83" s="17"/>
      <c r="AX83" s="1">
        <f t="shared" si="73"/>
        <v>45711</v>
      </c>
      <c r="AY83" s="44">
        <v>696.452</v>
      </c>
      <c r="AZ83" s="44">
        <v>173.28832180000001</v>
      </c>
      <c r="BA83" s="44"/>
      <c r="BB83" s="44">
        <v>49.859887096774195</v>
      </c>
      <c r="BC83" s="44">
        <f t="shared" si="62"/>
        <v>919.60020889677412</v>
      </c>
      <c r="BD83" s="17">
        <f t="shared" si="68"/>
        <v>0</v>
      </c>
    </row>
    <row r="84" spans="1:56" x14ac:dyDescent="0.3">
      <c r="A84" s="17"/>
      <c r="B84" s="1">
        <v>43520</v>
      </c>
      <c r="C84" s="35">
        <v>852</v>
      </c>
      <c r="D84" s="35">
        <v>159</v>
      </c>
      <c r="E84" s="35"/>
      <c r="F84" s="35">
        <v>55</v>
      </c>
      <c r="G84" s="7">
        <f t="shared" si="75"/>
        <v>1066</v>
      </c>
      <c r="H84" s="17">
        <f t="shared" si="77"/>
        <v>0</v>
      </c>
      <c r="J84" s="1">
        <v>43885</v>
      </c>
      <c r="K84" s="45">
        <v>766.38099999999997</v>
      </c>
      <c r="L84" s="45">
        <v>152.01900000000001</v>
      </c>
      <c r="M84" s="45"/>
      <c r="N84" s="45">
        <v>59.982999999999997</v>
      </c>
      <c r="O84" s="7">
        <f t="shared" si="57"/>
        <v>978.38299999999992</v>
      </c>
      <c r="P84" s="17">
        <f t="shared" si="63"/>
        <v>0</v>
      </c>
      <c r="R84" s="1">
        <f t="shared" si="69"/>
        <v>44251</v>
      </c>
      <c r="S84" s="43">
        <v>760.97822801458062</v>
      </c>
      <c r="T84" s="44">
        <v>133.578</v>
      </c>
      <c r="V84" s="82">
        <v>63.568322003870968</v>
      </c>
      <c r="W84" s="7">
        <f t="shared" si="74"/>
        <v>958.1245500184516</v>
      </c>
      <c r="X84" s="17">
        <f t="shared" si="64"/>
        <v>0</v>
      </c>
      <c r="Y84" s="17"/>
      <c r="Z84" s="1">
        <f t="shared" si="70"/>
        <v>44616</v>
      </c>
      <c r="AA84" s="101">
        <v>589.27489569892475</v>
      </c>
      <c r="AB84" s="101">
        <v>108.92845419354839</v>
      </c>
      <c r="AC84" s="101"/>
      <c r="AD84" s="101">
        <v>48.617838817204309</v>
      </c>
      <c r="AE84" s="101">
        <f t="shared" si="59"/>
        <v>746.82118870967747</v>
      </c>
      <c r="AF84" s="17">
        <f t="shared" si="65"/>
        <v>0</v>
      </c>
      <c r="AH84" s="1">
        <f t="shared" si="71"/>
        <v>44981</v>
      </c>
      <c r="AI84" s="44">
        <v>791.01506516129029</v>
      </c>
      <c r="AJ84" s="44">
        <v>175.14048096774192</v>
      </c>
      <c r="AK84" s="44"/>
      <c r="AL84" s="44">
        <v>70.665202903225804</v>
      </c>
      <c r="AM84" s="44">
        <f t="shared" si="60"/>
        <v>1036.8207490322579</v>
      </c>
      <c r="AN84" s="17">
        <f t="shared" si="66"/>
        <v>0</v>
      </c>
      <c r="AO84" s="17"/>
      <c r="AP84" s="1">
        <f t="shared" si="72"/>
        <v>45346</v>
      </c>
      <c r="AQ84" s="44">
        <v>712.55600000000004</v>
      </c>
      <c r="AR84" s="44">
        <v>143.68593619999999</v>
      </c>
      <c r="AS84" s="44"/>
      <c r="AT84" s="44">
        <v>55.078571182795699</v>
      </c>
      <c r="AU84" s="44">
        <f t="shared" si="61"/>
        <v>911.32050738279577</v>
      </c>
      <c r="AV84" s="17">
        <f t="shared" si="67"/>
        <v>0</v>
      </c>
      <c r="AW84" s="17"/>
      <c r="AX84" s="1">
        <f t="shared" si="73"/>
        <v>45712</v>
      </c>
      <c r="AY84" s="44">
        <v>865.71299999999997</v>
      </c>
      <c r="AZ84" s="44">
        <v>220.32158999999999</v>
      </c>
      <c r="BA84" s="44"/>
      <c r="BB84" s="44">
        <v>65.5033064516129</v>
      </c>
      <c r="BC84" s="44">
        <f t="shared" si="62"/>
        <v>1151.5378964516128</v>
      </c>
      <c r="BD84" s="17">
        <f t="shared" si="68"/>
        <v>0</v>
      </c>
    </row>
    <row r="85" spans="1:56" x14ac:dyDescent="0.3">
      <c r="A85" s="17"/>
      <c r="B85" s="1">
        <v>43521</v>
      </c>
      <c r="C85" s="35">
        <v>892</v>
      </c>
      <c r="D85" s="35">
        <v>157</v>
      </c>
      <c r="E85" s="35"/>
      <c r="F85" s="35">
        <v>56</v>
      </c>
      <c r="G85" s="7">
        <f t="shared" si="75"/>
        <v>1105</v>
      </c>
      <c r="H85" s="17">
        <f t="shared" si="77"/>
        <v>0</v>
      </c>
      <c r="J85" s="1">
        <v>43886</v>
      </c>
      <c r="K85" s="45">
        <v>707.91700000000003</v>
      </c>
      <c r="L85" s="45">
        <v>139.10399999999998</v>
      </c>
      <c r="M85" s="45"/>
      <c r="N85" s="45">
        <v>61.295999999999999</v>
      </c>
      <c r="O85" s="7">
        <f t="shared" si="57"/>
        <v>908.31700000000001</v>
      </c>
      <c r="P85" s="17">
        <f t="shared" si="63"/>
        <v>0</v>
      </c>
      <c r="R85" s="1">
        <f t="shared" si="69"/>
        <v>44252</v>
      </c>
      <c r="S85" s="43">
        <v>754.88983123797846</v>
      </c>
      <c r="T85" s="44">
        <v>123.541</v>
      </c>
      <c r="V85" s="82">
        <v>62.126944734731183</v>
      </c>
      <c r="W85" s="7">
        <f t="shared" si="74"/>
        <v>940.55777597270969</v>
      </c>
      <c r="X85" s="17">
        <f t="shared" si="64"/>
        <v>0</v>
      </c>
      <c r="Y85" s="17"/>
      <c r="Z85" s="1">
        <f t="shared" si="70"/>
        <v>44617</v>
      </c>
      <c r="AA85" s="101">
        <v>637.81273612903226</v>
      </c>
      <c r="AB85" s="101">
        <v>131.51529387096775</v>
      </c>
      <c r="AC85" s="101"/>
      <c r="AD85" s="101">
        <v>53.361984193548388</v>
      </c>
      <c r="AE85" s="101">
        <f t="shared" si="59"/>
        <v>822.69001419354845</v>
      </c>
      <c r="AF85" s="17">
        <f t="shared" si="65"/>
        <v>0</v>
      </c>
      <c r="AH85" s="1">
        <f t="shared" si="71"/>
        <v>44982</v>
      </c>
      <c r="AI85" s="44">
        <v>793.03618645161293</v>
      </c>
      <c r="AJ85" s="44">
        <v>193.23000666666667</v>
      </c>
      <c r="AK85" s="44"/>
      <c r="AL85" s="44">
        <v>65.870435483870963</v>
      </c>
      <c r="AM85" s="44">
        <f t="shared" si="60"/>
        <v>1052.1366286021505</v>
      </c>
      <c r="AN85" s="17">
        <f t="shared" si="66"/>
        <v>0</v>
      </c>
      <c r="AO85" s="17"/>
      <c r="AP85" s="1">
        <f t="shared" si="72"/>
        <v>45347</v>
      </c>
      <c r="AQ85" s="44">
        <v>560.654</v>
      </c>
      <c r="AR85" s="44">
        <v>120.33298499999999</v>
      </c>
      <c r="AS85" s="44"/>
      <c r="AT85" s="44">
        <v>40.275723870967745</v>
      </c>
      <c r="AU85" s="44">
        <f t="shared" si="61"/>
        <v>721.2627088709678</v>
      </c>
      <c r="AV85" s="17">
        <f t="shared" si="67"/>
        <v>0</v>
      </c>
      <c r="AW85" s="17"/>
      <c r="AX85" s="1">
        <f t="shared" si="73"/>
        <v>45713</v>
      </c>
      <c r="AY85" s="44">
        <v>903.952</v>
      </c>
      <c r="AZ85" s="44">
        <v>251.9515332</v>
      </c>
      <c r="BA85" s="44"/>
      <c r="BB85" s="44">
        <v>72.624758064516129</v>
      </c>
      <c r="BC85" s="44">
        <f t="shared" si="62"/>
        <v>1228.5282912645162</v>
      </c>
      <c r="BD85" s="17">
        <f t="shared" si="68"/>
        <v>0</v>
      </c>
    </row>
    <row r="86" spans="1:56" x14ac:dyDescent="0.3">
      <c r="A86" s="17"/>
      <c r="B86" s="1">
        <v>43522</v>
      </c>
      <c r="C86" s="35">
        <v>780</v>
      </c>
      <c r="D86" s="35">
        <v>132</v>
      </c>
      <c r="E86" s="35"/>
      <c r="F86" s="35">
        <v>62</v>
      </c>
      <c r="G86" s="7">
        <f t="shared" si="75"/>
        <v>974</v>
      </c>
      <c r="H86" s="17">
        <f t="shared" si="77"/>
        <v>0</v>
      </c>
      <c r="J86" s="1">
        <v>43887</v>
      </c>
      <c r="K86" s="45">
        <v>669.91</v>
      </c>
      <c r="L86" s="45">
        <v>130.97499999999999</v>
      </c>
      <c r="M86" s="45"/>
      <c r="N86" s="45">
        <v>56.557000000000002</v>
      </c>
      <c r="O86" s="7">
        <f t="shared" si="57"/>
        <v>857.44200000000001</v>
      </c>
      <c r="P86" s="17">
        <f t="shared" si="63"/>
        <v>0</v>
      </c>
      <c r="R86" s="1">
        <f t="shared" si="69"/>
        <v>44253</v>
      </c>
      <c r="S86" s="43">
        <v>629.38848283836558</v>
      </c>
      <c r="T86" s="44">
        <v>114.79600000000001</v>
      </c>
      <c r="V86" s="82">
        <v>56.978392921827954</v>
      </c>
      <c r="W86" s="7">
        <f t="shared" si="74"/>
        <v>801.16287576019363</v>
      </c>
      <c r="X86" s="17">
        <f t="shared" si="64"/>
        <v>0</v>
      </c>
      <c r="Y86" s="17"/>
      <c r="Z86" s="1">
        <f t="shared" si="70"/>
        <v>44618</v>
      </c>
      <c r="AA86" s="101">
        <v>678.86434602150541</v>
      </c>
      <c r="AB86" s="101">
        <v>140.97134290322583</v>
      </c>
      <c r="AC86" s="101"/>
      <c r="AD86" s="101">
        <v>52.647788709677414</v>
      </c>
      <c r="AE86" s="101">
        <f t="shared" si="59"/>
        <v>872.4834776344087</v>
      </c>
      <c r="AF86" s="17">
        <f t="shared" si="65"/>
        <v>0</v>
      </c>
      <c r="AH86" s="1">
        <f t="shared" si="71"/>
        <v>44983</v>
      </c>
      <c r="AI86" s="44">
        <v>738.04202903225803</v>
      </c>
      <c r="AJ86" s="44">
        <v>155.8666629032258</v>
      </c>
      <c r="AK86" s="44"/>
      <c r="AL86" s="44">
        <v>59.983365806451616</v>
      </c>
      <c r="AM86" s="44">
        <f t="shared" si="60"/>
        <v>953.89205774193545</v>
      </c>
      <c r="AN86" s="17">
        <f t="shared" si="66"/>
        <v>0</v>
      </c>
      <c r="AO86" s="17"/>
      <c r="AP86" s="1">
        <f t="shared" si="72"/>
        <v>45348</v>
      </c>
      <c r="AQ86" s="44">
        <v>616.63900000000001</v>
      </c>
      <c r="AR86" s="44">
        <v>124.8898518</v>
      </c>
      <c r="AS86" s="44"/>
      <c r="AT86" s="44">
        <v>49.628043010752691</v>
      </c>
      <c r="AU86" s="44">
        <f t="shared" si="61"/>
        <v>791.15689481075265</v>
      </c>
      <c r="AV86" s="17">
        <f t="shared" si="67"/>
        <v>0</v>
      </c>
      <c r="AW86" s="17"/>
      <c r="AX86" s="1">
        <f t="shared" si="73"/>
        <v>45714</v>
      </c>
      <c r="AY86" s="44">
        <v>952.22199999999998</v>
      </c>
      <c r="AZ86" s="44">
        <v>224.5364424</v>
      </c>
      <c r="BA86" s="44"/>
      <c r="BB86" s="44">
        <v>74.439161290322588</v>
      </c>
      <c r="BC86" s="44">
        <f t="shared" si="62"/>
        <v>1251.1976036903225</v>
      </c>
      <c r="BD86" s="17">
        <f t="shared" si="68"/>
        <v>0</v>
      </c>
    </row>
    <row r="87" spans="1:56" x14ac:dyDescent="0.3">
      <c r="A87" s="17"/>
      <c r="B87" s="1">
        <v>43523</v>
      </c>
      <c r="C87" s="35">
        <v>804</v>
      </c>
      <c r="D87" s="35">
        <v>137</v>
      </c>
      <c r="E87" s="35"/>
      <c r="F87" s="35">
        <v>61</v>
      </c>
      <c r="G87" s="7">
        <f t="shared" si="75"/>
        <v>1002</v>
      </c>
      <c r="H87" s="17">
        <f t="shared" si="77"/>
        <v>0</v>
      </c>
      <c r="J87" s="1">
        <v>43888</v>
      </c>
      <c r="K87" s="45">
        <v>764.91200000000003</v>
      </c>
      <c r="L87" s="45">
        <v>148.76599999999999</v>
      </c>
      <c r="M87" s="45"/>
      <c r="N87" s="45">
        <v>59.396999999999998</v>
      </c>
      <c r="O87" s="7">
        <f t="shared" si="57"/>
        <v>973.07500000000005</v>
      </c>
      <c r="P87" s="17">
        <f t="shared" si="63"/>
        <v>0</v>
      </c>
      <c r="R87" s="1">
        <f t="shared" si="69"/>
        <v>44254</v>
      </c>
      <c r="S87" s="43">
        <v>501.87816813406454</v>
      </c>
      <c r="T87" s="44">
        <v>106.215</v>
      </c>
      <c r="V87" s="82">
        <v>48.545195395376346</v>
      </c>
      <c r="W87" s="7">
        <f t="shared" si="74"/>
        <v>656.63836352944088</v>
      </c>
      <c r="X87" s="17">
        <f t="shared" si="64"/>
        <v>0</v>
      </c>
      <c r="Y87" s="17"/>
      <c r="Z87" s="1">
        <f t="shared" si="70"/>
        <v>44619</v>
      </c>
      <c r="AA87" s="101">
        <v>712.73739268817212</v>
      </c>
      <c r="AB87" s="101">
        <v>155.22386451612905</v>
      </c>
      <c r="AC87" s="101"/>
      <c r="AD87" s="101">
        <v>49.545435053763434</v>
      </c>
      <c r="AE87" s="101">
        <f t="shared" si="59"/>
        <v>917.50669225806462</v>
      </c>
      <c r="AF87" s="17">
        <f t="shared" si="65"/>
        <v>0</v>
      </c>
      <c r="AH87" s="1">
        <f t="shared" si="71"/>
        <v>44984</v>
      </c>
      <c r="AI87" s="44">
        <v>737.47378064516124</v>
      </c>
      <c r="AJ87" s="44">
        <v>155.08673795698925</v>
      </c>
      <c r="AK87" s="44"/>
      <c r="AL87" s="44">
        <v>63.101626129032255</v>
      </c>
      <c r="AM87" s="44">
        <f t="shared" si="60"/>
        <v>955.66214473118282</v>
      </c>
      <c r="AN87" s="17">
        <f t="shared" si="66"/>
        <v>0</v>
      </c>
      <c r="AO87" s="17"/>
      <c r="AP87" s="1">
        <f t="shared" si="72"/>
        <v>45349</v>
      </c>
      <c r="AQ87" s="44">
        <v>711.74199999999996</v>
      </c>
      <c r="AR87" s="44">
        <v>137.4144192</v>
      </c>
      <c r="AS87" s="44"/>
      <c r="AT87" s="44">
        <v>60.339785483870969</v>
      </c>
      <c r="AU87" s="44">
        <f t="shared" si="61"/>
        <v>909.49620468387093</v>
      </c>
      <c r="AV87" s="17">
        <f t="shared" si="67"/>
        <v>0</v>
      </c>
      <c r="AW87" s="17"/>
      <c r="AX87" s="1">
        <f t="shared" si="73"/>
        <v>45715</v>
      </c>
      <c r="AY87" s="44">
        <v>838.64499999999998</v>
      </c>
      <c r="AZ87" s="44">
        <v>206.9553708</v>
      </c>
      <c r="BA87" s="44"/>
      <c r="BB87" s="44">
        <v>72.503725806451612</v>
      </c>
      <c r="BC87" s="44">
        <f t="shared" si="62"/>
        <v>1118.1040966064518</v>
      </c>
      <c r="BD87" s="17">
        <f t="shared" si="68"/>
        <v>0</v>
      </c>
    </row>
    <row r="88" spans="1:56" x14ac:dyDescent="0.3">
      <c r="A88" s="17"/>
      <c r="B88" s="1">
        <v>43524</v>
      </c>
      <c r="C88" s="36">
        <v>779</v>
      </c>
      <c r="D88" s="36">
        <v>126</v>
      </c>
      <c r="E88" s="36"/>
      <c r="F88" s="36">
        <v>54</v>
      </c>
      <c r="G88" s="7">
        <f t="shared" si="75"/>
        <v>959</v>
      </c>
      <c r="H88" s="17">
        <f t="shared" si="77"/>
        <v>0</v>
      </c>
      <c r="J88" s="1">
        <v>43889</v>
      </c>
      <c r="K88" s="46">
        <v>688.029</v>
      </c>
      <c r="L88" s="46">
        <v>136.28899999999999</v>
      </c>
      <c r="M88" s="46"/>
      <c r="N88" s="46">
        <v>54.569000000000003</v>
      </c>
      <c r="O88" s="7">
        <f t="shared" si="57"/>
        <v>878.88699999999994</v>
      </c>
      <c r="P88" s="17">
        <f t="shared" si="63"/>
        <v>0</v>
      </c>
      <c r="R88" s="38">
        <f t="shared" si="69"/>
        <v>44255</v>
      </c>
      <c r="S88" s="43">
        <v>504.85506191329034</v>
      </c>
      <c r="T88" s="44">
        <v>102.905</v>
      </c>
      <c r="V88" s="82">
        <v>47.9955820583871</v>
      </c>
      <c r="W88" s="7">
        <f t="shared" si="74"/>
        <v>655.75564397167739</v>
      </c>
      <c r="X88" s="17">
        <f t="shared" si="64"/>
        <v>0</v>
      </c>
      <c r="Y88" s="17"/>
      <c r="Z88" s="38">
        <f t="shared" si="70"/>
        <v>44620</v>
      </c>
      <c r="AA88" s="101">
        <v>852.07593182795699</v>
      </c>
      <c r="AB88" s="101">
        <v>186.72632000000004</v>
      </c>
      <c r="AC88" s="101"/>
      <c r="AD88" s="101">
        <v>64.775171182795702</v>
      </c>
      <c r="AE88" s="101">
        <f t="shared" si="59"/>
        <v>1103.5774230107527</v>
      </c>
      <c r="AF88" s="17">
        <f t="shared" si="65"/>
        <v>0</v>
      </c>
      <c r="AH88" s="38">
        <f t="shared" si="71"/>
        <v>44985</v>
      </c>
      <c r="AI88" s="44">
        <v>850.11289741935479</v>
      </c>
      <c r="AJ88" s="44">
        <v>178.0008917204301</v>
      </c>
      <c r="AK88" s="44"/>
      <c r="AL88" s="44">
        <v>65.243353225806445</v>
      </c>
      <c r="AM88" s="44">
        <f t="shared" si="60"/>
        <v>1093.3571423655912</v>
      </c>
      <c r="AN88" s="17">
        <f t="shared" si="66"/>
        <v>0</v>
      </c>
      <c r="AO88" s="17"/>
      <c r="AP88" s="51">
        <f t="shared" si="72"/>
        <v>45350</v>
      </c>
      <c r="AQ88" s="44">
        <v>734.55499999999995</v>
      </c>
      <c r="AR88" s="44">
        <v>156.51770400000001</v>
      </c>
      <c r="AS88" s="44"/>
      <c r="AT88" s="44">
        <v>62.728135053763438</v>
      </c>
      <c r="AU88" s="44">
        <f t="shared" si="61"/>
        <v>953.80083905376341</v>
      </c>
      <c r="AV88" s="17">
        <f t="shared" si="67"/>
        <v>0</v>
      </c>
      <c r="AW88" s="17"/>
      <c r="AX88" s="38">
        <f t="shared" si="73"/>
        <v>45716</v>
      </c>
      <c r="AY88" s="44">
        <v>878.154</v>
      </c>
      <c r="AZ88" s="44">
        <v>196.16064600000001</v>
      </c>
      <c r="BA88" s="44"/>
      <c r="BB88" s="44">
        <v>67.849387096774194</v>
      </c>
      <c r="BC88" s="44">
        <f t="shared" si="62"/>
        <v>1142.1640330967743</v>
      </c>
      <c r="BD88" s="17">
        <f t="shared" si="68"/>
        <v>0</v>
      </c>
    </row>
    <row r="89" spans="1:56" x14ac:dyDescent="0.3">
      <c r="A89" s="17"/>
      <c r="B89" s="1">
        <v>43525</v>
      </c>
      <c r="C89" s="36">
        <v>827</v>
      </c>
      <c r="D89" s="36">
        <v>125</v>
      </c>
      <c r="E89" s="36"/>
      <c r="F89" s="36">
        <v>54</v>
      </c>
      <c r="G89" s="7">
        <f t="shared" si="75"/>
        <v>1006</v>
      </c>
      <c r="H89" s="17">
        <f t="shared" si="77"/>
        <v>0</v>
      </c>
      <c r="J89" s="1">
        <v>43890</v>
      </c>
      <c r="K89" s="46">
        <v>569.03200000000004</v>
      </c>
      <c r="L89" s="46">
        <v>114.925</v>
      </c>
      <c r="M89" s="46"/>
      <c r="N89" s="46">
        <v>49.59</v>
      </c>
      <c r="O89" s="7">
        <f t="shared" si="57"/>
        <v>733.54700000000003</v>
      </c>
      <c r="P89" s="17">
        <f t="shared" si="63"/>
        <v>0</v>
      </c>
      <c r="R89" s="1">
        <f t="shared" si="69"/>
        <v>44256</v>
      </c>
      <c r="S89" s="62">
        <v>719.89646397849458</v>
      </c>
      <c r="T89" s="47">
        <v>147.76013053763441</v>
      </c>
      <c r="U89" s="36"/>
      <c r="V89" s="46">
        <v>60.785216129032257</v>
      </c>
      <c r="W89" s="7">
        <f t="shared" si="58"/>
        <v>928.44181064516124</v>
      </c>
      <c r="X89" s="17">
        <f t="shared" si="64"/>
        <v>0</v>
      </c>
      <c r="Y89" s="17"/>
      <c r="Z89" s="1">
        <f t="shared" si="70"/>
        <v>44621</v>
      </c>
      <c r="AA89" s="101">
        <v>837.98944946236554</v>
      </c>
      <c r="AB89" s="101">
        <v>184.17841720430107</v>
      </c>
      <c r="AC89" s="101"/>
      <c r="AD89" s="101">
        <v>66.559697419354833</v>
      </c>
      <c r="AE89" s="101">
        <f t="shared" si="59"/>
        <v>1088.7275640860214</v>
      </c>
      <c r="AF89" s="17">
        <f t="shared" si="65"/>
        <v>0</v>
      </c>
      <c r="AH89" s="1">
        <f t="shared" si="71"/>
        <v>44986</v>
      </c>
      <c r="AI89" s="44">
        <v>998.84705096774189</v>
      </c>
      <c r="AJ89" s="44">
        <v>207.03425086021505</v>
      </c>
      <c r="AK89" s="44"/>
      <c r="AL89" s="44">
        <v>75.214511290322577</v>
      </c>
      <c r="AM89" s="44">
        <f t="shared" si="60"/>
        <v>1281.0958131182797</v>
      </c>
      <c r="AN89" s="17">
        <f t="shared" si="66"/>
        <v>0</v>
      </c>
      <c r="AO89" s="17"/>
      <c r="AP89" s="38">
        <f t="shared" si="72"/>
        <v>45351</v>
      </c>
      <c r="AQ89" s="44">
        <v>707.22500000000002</v>
      </c>
      <c r="AR89" s="44">
        <v>153.9119106</v>
      </c>
      <c r="AS89" s="44"/>
      <c r="AT89" s="44">
        <v>62.598717096774195</v>
      </c>
      <c r="AU89" s="44">
        <f t="shared" si="61"/>
        <v>923.73562769677415</v>
      </c>
      <c r="AV89" s="17">
        <f t="shared" si="67"/>
        <v>0</v>
      </c>
      <c r="AW89" s="17"/>
      <c r="AX89" s="1">
        <f t="shared" si="73"/>
        <v>45717</v>
      </c>
      <c r="AY89" s="44">
        <v>683.60599999999999</v>
      </c>
      <c r="AZ89" s="44">
        <v>173.84533830000001</v>
      </c>
      <c r="BA89" s="44"/>
      <c r="BB89" s="44">
        <v>51.751636129032256</v>
      </c>
      <c r="BC89" s="44">
        <f t="shared" si="62"/>
        <v>909.20297442903222</v>
      </c>
      <c r="BD89" s="17">
        <f t="shared" si="68"/>
        <v>0</v>
      </c>
    </row>
    <row r="90" spans="1:56" x14ac:dyDescent="0.3">
      <c r="A90" s="17"/>
      <c r="B90" s="1">
        <v>43526</v>
      </c>
      <c r="C90" s="36">
        <v>807</v>
      </c>
      <c r="D90" s="36">
        <v>127</v>
      </c>
      <c r="E90" s="36"/>
      <c r="F90" s="36">
        <v>50</v>
      </c>
      <c r="G90" s="7">
        <f t="shared" si="75"/>
        <v>984</v>
      </c>
      <c r="H90" s="17">
        <f t="shared" si="77"/>
        <v>0</v>
      </c>
      <c r="J90" s="1">
        <v>43891</v>
      </c>
      <c r="K90" s="46">
        <v>512.226</v>
      </c>
      <c r="L90" s="101">
        <v>97.320999999999998</v>
      </c>
      <c r="M90" s="46"/>
      <c r="N90" s="46">
        <v>38.820999999999998</v>
      </c>
      <c r="O90" s="7">
        <f t="shared" si="57"/>
        <v>648.36800000000005</v>
      </c>
      <c r="P90" s="17">
        <f t="shared" si="63"/>
        <v>0</v>
      </c>
      <c r="R90" s="1">
        <f t="shared" si="69"/>
        <v>44257</v>
      </c>
      <c r="S90" s="62">
        <v>659.82967741935488</v>
      </c>
      <c r="T90" s="44">
        <v>137.40322365591399</v>
      </c>
      <c r="U90" s="36"/>
      <c r="V90" s="46">
        <v>64.000230322580649</v>
      </c>
      <c r="W90" s="7">
        <f t="shared" si="58"/>
        <v>861.23313139784955</v>
      </c>
      <c r="X90" s="17">
        <f t="shared" si="64"/>
        <v>0</v>
      </c>
      <c r="Y90" s="17"/>
      <c r="Z90" s="1">
        <f t="shared" si="70"/>
        <v>44622</v>
      </c>
      <c r="AA90" s="101">
        <v>936.5201397849462</v>
      </c>
      <c r="AB90" s="101">
        <v>186.16593935483871</v>
      </c>
      <c r="AC90" s="101"/>
      <c r="AD90" s="101">
        <v>69.372849677419353</v>
      </c>
      <c r="AE90" s="101">
        <f t="shared" si="59"/>
        <v>1192.0589288172041</v>
      </c>
      <c r="AF90" s="17">
        <f t="shared" si="65"/>
        <v>0</v>
      </c>
      <c r="AH90" s="1">
        <f t="shared" si="71"/>
        <v>44987</v>
      </c>
      <c r="AI90" s="44">
        <v>970.17766903225811</v>
      </c>
      <c r="AJ90" s="44">
        <v>188.90707376344085</v>
      </c>
      <c r="AK90" s="44"/>
      <c r="AL90" s="44">
        <v>78.703537096774198</v>
      </c>
      <c r="AM90" s="44">
        <f t="shared" si="60"/>
        <v>1237.7882798924732</v>
      </c>
      <c r="AN90" s="17">
        <f t="shared" si="66"/>
        <v>0</v>
      </c>
      <c r="AO90" s="17"/>
      <c r="AP90" s="1">
        <f t="shared" si="72"/>
        <v>45352</v>
      </c>
      <c r="AQ90" s="44">
        <v>785.19899999999996</v>
      </c>
      <c r="AR90" s="44">
        <v>162.837456</v>
      </c>
      <c r="AS90" s="44"/>
      <c r="AT90" s="44">
        <v>63.419269892473118</v>
      </c>
      <c r="AU90" s="44">
        <f t="shared" si="61"/>
        <v>1011.4557258924731</v>
      </c>
      <c r="AV90" s="17">
        <f t="shared" si="67"/>
        <v>0</v>
      </c>
      <c r="AW90" s="17"/>
      <c r="AX90" s="1">
        <f t="shared" si="73"/>
        <v>45718</v>
      </c>
      <c r="AY90" s="44">
        <v>697.27099999999996</v>
      </c>
      <c r="AZ90" s="44">
        <v>172.97412639999999</v>
      </c>
      <c r="BA90" s="44"/>
      <c r="BB90" s="44">
        <v>45.607443010752689</v>
      </c>
      <c r="BC90" s="44">
        <f t="shared" si="62"/>
        <v>915.85256941075261</v>
      </c>
      <c r="BD90" s="17">
        <f t="shared" si="68"/>
        <v>0</v>
      </c>
    </row>
    <row r="91" spans="1:56" x14ac:dyDescent="0.3">
      <c r="A91" s="17"/>
      <c r="B91" s="1">
        <v>43527</v>
      </c>
      <c r="C91" s="36">
        <v>745</v>
      </c>
      <c r="D91" s="36">
        <v>125</v>
      </c>
      <c r="E91" s="36"/>
      <c r="F91" s="36">
        <v>42</v>
      </c>
      <c r="G91" s="7">
        <f t="shared" si="75"/>
        <v>912</v>
      </c>
      <c r="H91" s="17">
        <f t="shared" si="77"/>
        <v>0</v>
      </c>
      <c r="J91" s="1">
        <v>43892</v>
      </c>
      <c r="K91" s="46">
        <v>679.21400000000006</v>
      </c>
      <c r="L91" s="101">
        <v>118.803</v>
      </c>
      <c r="M91" s="46"/>
      <c r="N91" s="46">
        <v>53.383000000000003</v>
      </c>
      <c r="O91" s="7">
        <f t="shared" si="57"/>
        <v>851.40000000000009</v>
      </c>
      <c r="P91" s="17">
        <f t="shared" si="63"/>
        <v>0</v>
      </c>
      <c r="R91" s="1">
        <f t="shared" si="69"/>
        <v>44258</v>
      </c>
      <c r="S91" s="62">
        <v>601.64573817204302</v>
      </c>
      <c r="T91" s="44">
        <v>129.72044043010752</v>
      </c>
      <c r="U91" s="36"/>
      <c r="V91" s="46">
        <v>59.353191612903224</v>
      </c>
      <c r="W91" s="7">
        <f t="shared" si="58"/>
        <v>790.71937021505369</v>
      </c>
      <c r="X91" s="17">
        <f t="shared" si="64"/>
        <v>0</v>
      </c>
      <c r="Y91" s="17"/>
      <c r="Z91" s="1">
        <f t="shared" si="70"/>
        <v>44623</v>
      </c>
      <c r="AA91" s="101">
        <v>778.14938709677415</v>
      </c>
      <c r="AB91" s="101">
        <v>172.49174602150538</v>
      </c>
      <c r="AC91" s="101"/>
      <c r="AD91" s="101">
        <v>56.340294193548388</v>
      </c>
      <c r="AE91" s="101">
        <f t="shared" si="59"/>
        <v>1006.9814273118279</v>
      </c>
      <c r="AF91" s="17">
        <f t="shared" si="65"/>
        <v>0</v>
      </c>
      <c r="AH91" s="1">
        <f t="shared" si="71"/>
        <v>44988</v>
      </c>
      <c r="AI91" s="44">
        <v>1065.7299683870967</v>
      </c>
      <c r="AJ91" s="44">
        <v>218.77440075268817</v>
      </c>
      <c r="AK91" s="44"/>
      <c r="AL91" s="44">
        <v>77.270002580645155</v>
      </c>
      <c r="AM91" s="44">
        <f t="shared" si="60"/>
        <v>1361.7743717204303</v>
      </c>
      <c r="AN91" s="17">
        <f t="shared" si="66"/>
        <v>0</v>
      </c>
      <c r="AO91" s="17"/>
      <c r="AP91" s="1">
        <f t="shared" si="72"/>
        <v>45353</v>
      </c>
      <c r="AQ91" s="44">
        <v>832.83900000000006</v>
      </c>
      <c r="AR91" s="44">
        <v>199.3500928</v>
      </c>
      <c r="AS91" s="44"/>
      <c r="AT91" s="44">
        <v>63.306253763440857</v>
      </c>
      <c r="AU91" s="44">
        <f t="shared" si="61"/>
        <v>1095.495346563441</v>
      </c>
      <c r="AV91" s="17">
        <f t="shared" si="67"/>
        <v>0</v>
      </c>
      <c r="AW91" s="17"/>
      <c r="AX91" s="1">
        <f t="shared" si="73"/>
        <v>45719</v>
      </c>
      <c r="AY91" s="44">
        <v>836.56399999999996</v>
      </c>
      <c r="AZ91" s="44">
        <v>209.13600020000001</v>
      </c>
      <c r="BA91" s="44"/>
      <c r="BB91" s="44">
        <v>63.334702365591397</v>
      </c>
      <c r="BC91" s="44">
        <f t="shared" si="62"/>
        <v>1109.0347025655915</v>
      </c>
      <c r="BD91" s="17">
        <f t="shared" si="68"/>
        <v>0</v>
      </c>
    </row>
    <row r="92" spans="1:56" x14ac:dyDescent="0.3">
      <c r="A92" s="17"/>
      <c r="B92" s="1">
        <v>43528</v>
      </c>
      <c r="C92" s="36">
        <v>930</v>
      </c>
      <c r="D92" s="36">
        <v>156</v>
      </c>
      <c r="E92" s="36"/>
      <c r="F92" s="36">
        <v>54</v>
      </c>
      <c r="G92" s="7">
        <f t="shared" si="75"/>
        <v>1140</v>
      </c>
      <c r="H92" s="17">
        <f t="shared" si="77"/>
        <v>0</v>
      </c>
      <c r="J92" s="1">
        <v>43893</v>
      </c>
      <c r="K92" s="46">
        <v>786.45899999999995</v>
      </c>
      <c r="L92" s="101">
        <v>122.94199999999999</v>
      </c>
      <c r="M92" s="46"/>
      <c r="N92" s="46">
        <v>57.445</v>
      </c>
      <c r="O92" s="7">
        <f t="shared" si="57"/>
        <v>966.846</v>
      </c>
      <c r="P92" s="17">
        <f t="shared" si="63"/>
        <v>0</v>
      </c>
      <c r="R92" s="1">
        <f t="shared" si="69"/>
        <v>44259</v>
      </c>
      <c r="S92" s="62">
        <v>596.9656962365591</v>
      </c>
      <c r="T92" s="44">
        <v>124.59235397849463</v>
      </c>
      <c r="U92" s="36"/>
      <c r="V92" s="46">
        <v>59.22320451612903</v>
      </c>
      <c r="W92" s="7">
        <f t="shared" si="58"/>
        <v>780.7812547311828</v>
      </c>
      <c r="X92" s="17">
        <f t="shared" si="64"/>
        <v>0</v>
      </c>
      <c r="Y92" s="17"/>
      <c r="Z92" s="1">
        <f t="shared" si="70"/>
        <v>44624</v>
      </c>
      <c r="AA92" s="101">
        <v>875.24331182795697</v>
      </c>
      <c r="AB92" s="101">
        <v>186.74008967741935</v>
      </c>
      <c r="AC92" s="101"/>
      <c r="AD92" s="101">
        <v>66.169160645161284</v>
      </c>
      <c r="AE92" s="101">
        <f t="shared" si="59"/>
        <v>1128.1525621505377</v>
      </c>
      <c r="AF92" s="17">
        <f t="shared" si="65"/>
        <v>0</v>
      </c>
      <c r="AH92" s="1">
        <f t="shared" si="71"/>
        <v>44989</v>
      </c>
      <c r="AI92" s="44">
        <v>959.48280193548385</v>
      </c>
      <c r="AJ92" s="44">
        <v>205.74802440860216</v>
      </c>
      <c r="AK92" s="44"/>
      <c r="AL92" s="44">
        <v>74.87644419354838</v>
      </c>
      <c r="AM92" s="44">
        <f t="shared" si="60"/>
        <v>1240.1072705376343</v>
      </c>
      <c r="AN92" s="17">
        <f t="shared" si="66"/>
        <v>0</v>
      </c>
      <c r="AO92" s="17"/>
      <c r="AP92" s="1">
        <f t="shared" si="72"/>
        <v>45354</v>
      </c>
      <c r="AQ92" s="44">
        <v>780.298</v>
      </c>
      <c r="AR92" s="44">
        <v>185.24460500000001</v>
      </c>
      <c r="AS92" s="44"/>
      <c r="AT92" s="44">
        <v>58.873868817204304</v>
      </c>
      <c r="AU92" s="44">
        <f t="shared" si="61"/>
        <v>1024.4164738172042</v>
      </c>
      <c r="AV92" s="17">
        <f t="shared" si="67"/>
        <v>0</v>
      </c>
      <c r="AW92" s="17"/>
      <c r="AX92" s="1">
        <f t="shared" si="73"/>
        <v>45720</v>
      </c>
      <c r="AY92" s="44">
        <v>1056.972</v>
      </c>
      <c r="AZ92" s="44">
        <v>220.94887439999999</v>
      </c>
      <c r="BA92" s="44"/>
      <c r="BB92" s="44">
        <v>71.927471827956992</v>
      </c>
      <c r="BC92" s="44">
        <f t="shared" si="62"/>
        <v>1349.8483462279569</v>
      </c>
      <c r="BD92" s="17">
        <f t="shared" si="68"/>
        <v>0</v>
      </c>
    </row>
    <row r="93" spans="1:56" x14ac:dyDescent="0.3">
      <c r="A93" s="17"/>
      <c r="B93" s="1">
        <v>43529</v>
      </c>
      <c r="C93" s="36">
        <v>983</v>
      </c>
      <c r="D93" s="36">
        <v>174</v>
      </c>
      <c r="E93" s="36"/>
      <c r="F93" s="36">
        <v>60</v>
      </c>
      <c r="G93" s="7">
        <f t="shared" si="75"/>
        <v>1217</v>
      </c>
      <c r="H93" s="17">
        <f t="shared" si="77"/>
        <v>0</v>
      </c>
      <c r="J93" s="1">
        <v>43894</v>
      </c>
      <c r="K93" s="46">
        <v>743.36500000000001</v>
      </c>
      <c r="L93" s="101">
        <v>127.58499999999999</v>
      </c>
      <c r="M93" s="46"/>
      <c r="N93" s="46">
        <v>55.965000000000003</v>
      </c>
      <c r="O93" s="7">
        <f t="shared" si="57"/>
        <v>926.91500000000008</v>
      </c>
      <c r="P93" s="17">
        <f t="shared" si="63"/>
        <v>0</v>
      </c>
      <c r="R93" s="1">
        <f t="shared" si="69"/>
        <v>44260</v>
      </c>
      <c r="S93" s="62">
        <v>627.16935806451613</v>
      </c>
      <c r="T93" s="44">
        <v>116.20547139784946</v>
      </c>
      <c r="U93" s="36"/>
      <c r="V93" s="46">
        <v>60.028041290322584</v>
      </c>
      <c r="W93" s="7">
        <f t="shared" si="58"/>
        <v>803.40287075268816</v>
      </c>
      <c r="X93" s="17">
        <f t="shared" si="64"/>
        <v>0</v>
      </c>
      <c r="Y93" s="17"/>
      <c r="Z93" s="1">
        <f t="shared" si="70"/>
        <v>44625</v>
      </c>
      <c r="AA93" s="101">
        <v>887.33438817204296</v>
      </c>
      <c r="AB93" s="101">
        <v>182.86022537634409</v>
      </c>
      <c r="AC93" s="101"/>
      <c r="AD93" s="101">
        <v>66.037193548387094</v>
      </c>
      <c r="AE93" s="101">
        <f t="shared" si="59"/>
        <v>1136.231807096774</v>
      </c>
      <c r="AF93" s="17">
        <f t="shared" si="65"/>
        <v>0</v>
      </c>
      <c r="AH93" s="1">
        <f t="shared" si="71"/>
        <v>44990</v>
      </c>
      <c r="AI93" s="44">
        <v>946.45061204301078</v>
      </c>
      <c r="AJ93" s="44">
        <v>198.20195741935484</v>
      </c>
      <c r="AK93" s="44"/>
      <c r="AL93" s="44">
        <v>72.918472258064511</v>
      </c>
      <c r="AM93" s="44">
        <f t="shared" si="60"/>
        <v>1217.57104172043</v>
      </c>
      <c r="AN93" s="17">
        <f t="shared" si="66"/>
        <v>0</v>
      </c>
      <c r="AO93" s="17"/>
      <c r="AP93" s="1">
        <f t="shared" si="72"/>
        <v>45355</v>
      </c>
      <c r="AQ93" s="44">
        <v>778.851</v>
      </c>
      <c r="AR93" s="44">
        <v>165.73123000000001</v>
      </c>
      <c r="AS93" s="44"/>
      <c r="AT93" s="44">
        <v>61.245054838709677</v>
      </c>
      <c r="AU93" s="44">
        <f t="shared" si="61"/>
        <v>1005.8272848387096</v>
      </c>
      <c r="AV93" s="17">
        <f t="shared" si="67"/>
        <v>0</v>
      </c>
      <c r="AW93" s="17"/>
      <c r="AX93" s="1">
        <f t="shared" si="73"/>
        <v>45721</v>
      </c>
      <c r="AY93" s="44">
        <v>923.05799999999999</v>
      </c>
      <c r="AZ93" s="44">
        <v>219.69528099999999</v>
      </c>
      <c r="BA93" s="44"/>
      <c r="BB93" s="44">
        <v>70.334813763440863</v>
      </c>
      <c r="BC93" s="44">
        <f t="shared" si="62"/>
        <v>1213.0880947634409</v>
      </c>
      <c r="BD93" s="17">
        <f t="shared" si="68"/>
        <v>0</v>
      </c>
    </row>
    <row r="94" spans="1:56" x14ac:dyDescent="0.3">
      <c r="A94" s="17"/>
      <c r="B94" s="1">
        <v>43530</v>
      </c>
      <c r="C94" s="36">
        <v>970</v>
      </c>
      <c r="D94" s="36">
        <v>171</v>
      </c>
      <c r="E94" s="36"/>
      <c r="F94" s="36">
        <v>61</v>
      </c>
      <c r="G94" s="7">
        <f t="shared" ref="G94:G157" si="78">SUM(C94:F94)</f>
        <v>1202</v>
      </c>
      <c r="H94" s="17">
        <f t="shared" si="77"/>
        <v>0</v>
      </c>
      <c r="J94" s="1">
        <v>43895</v>
      </c>
      <c r="K94" s="46">
        <v>636.61</v>
      </c>
      <c r="L94" s="101">
        <v>111.84</v>
      </c>
      <c r="M94" s="46"/>
      <c r="N94" s="46">
        <v>50.701999999999998</v>
      </c>
      <c r="O94" s="7">
        <f t="shared" ref="O94:O157" si="79">SUM(K94:N94)</f>
        <v>799.15200000000004</v>
      </c>
      <c r="P94" s="17">
        <f t="shared" si="63"/>
        <v>0</v>
      </c>
      <c r="R94" s="1">
        <f t="shared" si="69"/>
        <v>44261</v>
      </c>
      <c r="S94" s="62">
        <v>609.43643548387092</v>
      </c>
      <c r="T94" s="44">
        <v>128.9602623655914</v>
      </c>
      <c r="U94" s="36"/>
      <c r="V94" s="46">
        <v>58.80291290322581</v>
      </c>
      <c r="W94" s="7">
        <f t="shared" ref="W94:W157" si="80">SUM(S94:V94)</f>
        <v>797.19961075268805</v>
      </c>
      <c r="X94" s="17">
        <f t="shared" si="64"/>
        <v>0</v>
      </c>
      <c r="Y94" s="17"/>
      <c r="Z94" s="1">
        <f t="shared" si="70"/>
        <v>44626</v>
      </c>
      <c r="AA94" s="101">
        <v>803.64585376344087</v>
      </c>
      <c r="AB94" s="101">
        <v>160.96166129032258</v>
      </c>
      <c r="AC94" s="101"/>
      <c r="AD94" s="101">
        <v>56.969015483870969</v>
      </c>
      <c r="AE94" s="101">
        <f t="shared" ref="AE94:AE157" si="81">SUM(AA94:AD94)</f>
        <v>1021.5765305376344</v>
      </c>
      <c r="AF94" s="17">
        <f t="shared" si="65"/>
        <v>0</v>
      </c>
      <c r="AH94" s="1">
        <f t="shared" si="71"/>
        <v>44991</v>
      </c>
      <c r="AI94" s="44">
        <v>974.59078881720427</v>
      </c>
      <c r="AJ94" s="44">
        <v>203.52841193548386</v>
      </c>
      <c r="AK94" s="44"/>
      <c r="AL94" s="44">
        <v>73.173106129032263</v>
      </c>
      <c r="AM94" s="44">
        <f t="shared" ref="AM94:AM157" si="82">SUM(AI94:AL94)</f>
        <v>1251.2923068817204</v>
      </c>
      <c r="AN94" s="17">
        <f t="shared" si="66"/>
        <v>0</v>
      </c>
      <c r="AO94" s="17"/>
      <c r="AP94" s="1">
        <f t="shared" si="72"/>
        <v>45356</v>
      </c>
      <c r="AQ94" s="44">
        <v>825.19600000000003</v>
      </c>
      <c r="AR94" s="44">
        <v>177.5950272</v>
      </c>
      <c r="AS94" s="44"/>
      <c r="AT94" s="44">
        <v>63.675439784946235</v>
      </c>
      <c r="AU94" s="44">
        <f t="shared" ref="AU94:AU157" si="83">SUM(AQ94:AT94)</f>
        <v>1066.4664669849462</v>
      </c>
      <c r="AV94" s="17">
        <f t="shared" si="67"/>
        <v>0</v>
      </c>
      <c r="AW94" s="17"/>
      <c r="AX94" s="1">
        <f t="shared" si="73"/>
        <v>45722</v>
      </c>
      <c r="AY94" s="44">
        <v>898.10199999999998</v>
      </c>
      <c r="AZ94" s="44">
        <v>232.10179020000001</v>
      </c>
      <c r="BA94" s="44"/>
      <c r="BB94" s="44">
        <v>65.669517419354833</v>
      </c>
      <c r="BC94" s="44">
        <f t="shared" ref="BC94:BC157" si="84">SUM(AY94:BB94)</f>
        <v>1195.8733076193548</v>
      </c>
      <c r="BD94" s="17">
        <f t="shared" si="68"/>
        <v>0</v>
      </c>
    </row>
    <row r="95" spans="1:56" x14ac:dyDescent="0.3">
      <c r="A95" s="17"/>
      <c r="B95" s="1">
        <v>43531</v>
      </c>
      <c r="C95" s="36">
        <v>970</v>
      </c>
      <c r="D95" s="36">
        <v>173</v>
      </c>
      <c r="E95" s="36"/>
      <c r="F95" s="36">
        <v>67</v>
      </c>
      <c r="G95" s="7">
        <f t="shared" si="78"/>
        <v>1210</v>
      </c>
      <c r="H95" s="17">
        <f t="shared" si="77"/>
        <v>0</v>
      </c>
      <c r="J95" s="1">
        <v>43896</v>
      </c>
      <c r="K95" s="46">
        <v>730.14300000000003</v>
      </c>
      <c r="L95" s="101">
        <v>130.85500000000002</v>
      </c>
      <c r="M95" s="46"/>
      <c r="N95" s="46">
        <v>49.984000000000002</v>
      </c>
      <c r="O95" s="7">
        <f t="shared" si="79"/>
        <v>910.98200000000008</v>
      </c>
      <c r="P95" s="17">
        <f t="shared" ref="P95:P150" si="85">IF(O95&gt;1476,1,0)</f>
        <v>0</v>
      </c>
      <c r="R95" s="1">
        <f t="shared" si="69"/>
        <v>44262</v>
      </c>
      <c r="S95" s="62">
        <v>697.60013602150536</v>
      </c>
      <c r="T95" s="44">
        <v>144.61245333333332</v>
      </c>
      <c r="U95" s="36"/>
      <c r="V95" s="46">
        <v>57.71860387096774</v>
      </c>
      <c r="W95" s="7">
        <f t="shared" si="80"/>
        <v>899.9311932258064</v>
      </c>
      <c r="X95" s="17">
        <f t="shared" ref="X95:X158" si="86">IF(W95&gt;1476,1,0)</f>
        <v>0</v>
      </c>
      <c r="Y95" s="17"/>
      <c r="Z95" s="1">
        <f t="shared" si="70"/>
        <v>44627</v>
      </c>
      <c r="AA95" s="101">
        <v>890.05281397849467</v>
      </c>
      <c r="AB95" s="101">
        <v>182.55728688172044</v>
      </c>
      <c r="AC95" s="101"/>
      <c r="AD95" s="101">
        <v>64.36131870967742</v>
      </c>
      <c r="AE95" s="101">
        <f t="shared" si="81"/>
        <v>1136.9714195698925</v>
      </c>
      <c r="AF95" s="17">
        <f t="shared" ref="AF95:AF158" si="87">IF(AE95&gt;1476,1,0)</f>
        <v>0</v>
      </c>
      <c r="AH95" s="1">
        <f t="shared" si="71"/>
        <v>44992</v>
      </c>
      <c r="AI95" s="44">
        <v>963.01288752688174</v>
      </c>
      <c r="AJ95" s="44">
        <v>191.63338150537635</v>
      </c>
      <c r="AK95" s="44"/>
      <c r="AL95" s="44">
        <v>68.063091935483868</v>
      </c>
      <c r="AM95" s="44">
        <f t="shared" si="82"/>
        <v>1222.709360967742</v>
      </c>
      <c r="AN95" s="17">
        <f t="shared" ref="AN95:AN158" si="88">IF(AM95&gt;1476,1,0)</f>
        <v>0</v>
      </c>
      <c r="AO95" s="17"/>
      <c r="AP95" s="1">
        <f t="shared" si="72"/>
        <v>45357</v>
      </c>
      <c r="AQ95" s="44">
        <v>773.74099999999999</v>
      </c>
      <c r="AR95" s="44">
        <v>183.14086699999999</v>
      </c>
      <c r="AS95" s="44"/>
      <c r="AT95" s="44">
        <v>62.302024731182797</v>
      </c>
      <c r="AU95" s="44">
        <f t="shared" si="83"/>
        <v>1019.1838917311827</v>
      </c>
      <c r="AV95" s="17">
        <f t="shared" ref="AV95:AV158" si="89">IF(AU95&gt;1476,1,0)</f>
        <v>0</v>
      </c>
      <c r="AW95" s="17"/>
      <c r="AX95" s="1">
        <f t="shared" si="73"/>
        <v>45723</v>
      </c>
      <c r="AY95" s="44">
        <v>912.81</v>
      </c>
      <c r="AZ95" s="44">
        <v>234.9074196</v>
      </c>
      <c r="BA95" s="44"/>
      <c r="BB95" s="44">
        <v>70.859199139784948</v>
      </c>
      <c r="BC95" s="44">
        <f t="shared" si="84"/>
        <v>1218.5766187397849</v>
      </c>
      <c r="BD95" s="17">
        <f t="shared" ref="BD95:BD158" si="90">IF(BC95&gt;1476,1,0)</f>
        <v>0</v>
      </c>
    </row>
    <row r="96" spans="1:56" x14ac:dyDescent="0.3">
      <c r="A96" s="17"/>
      <c r="B96" s="1">
        <v>43532</v>
      </c>
      <c r="C96" s="36">
        <v>915</v>
      </c>
      <c r="D96" s="36">
        <v>157</v>
      </c>
      <c r="E96" s="36"/>
      <c r="F96" s="36">
        <v>65</v>
      </c>
      <c r="G96" s="7">
        <f t="shared" si="78"/>
        <v>1137</v>
      </c>
      <c r="H96" s="17">
        <f t="shared" si="77"/>
        <v>0</v>
      </c>
      <c r="J96" s="1">
        <v>43897</v>
      </c>
      <c r="K96" s="46">
        <v>747.77200000000005</v>
      </c>
      <c r="L96" s="101">
        <v>153.09</v>
      </c>
      <c r="M96" s="46"/>
      <c r="N96" s="46">
        <v>51.637</v>
      </c>
      <c r="O96" s="7">
        <f t="shared" si="79"/>
        <v>952.49900000000002</v>
      </c>
      <c r="P96" s="17">
        <f t="shared" si="85"/>
        <v>0</v>
      </c>
      <c r="R96" s="1">
        <f t="shared" ref="R96:R159" si="91">R95+1</f>
        <v>44263</v>
      </c>
      <c r="S96" s="62">
        <v>664.75653064516132</v>
      </c>
      <c r="T96" s="44">
        <v>134.93679892473119</v>
      </c>
      <c r="U96" s="36"/>
      <c r="V96" s="46">
        <v>67.350647741935489</v>
      </c>
      <c r="W96" s="7">
        <f t="shared" si="80"/>
        <v>867.04397731182803</v>
      </c>
      <c r="X96" s="17">
        <f t="shared" si="86"/>
        <v>0</v>
      </c>
      <c r="Y96" s="17"/>
      <c r="Z96" s="1">
        <f t="shared" ref="Z96:Z159" si="92">Z95+1</f>
        <v>44628</v>
      </c>
      <c r="AA96" s="101">
        <v>880.65567311827954</v>
      </c>
      <c r="AB96" s="101">
        <v>176.95087784946236</v>
      </c>
      <c r="AC96" s="101"/>
      <c r="AD96" s="101">
        <v>68.200166451612901</v>
      </c>
      <c r="AE96" s="101">
        <f t="shared" si="81"/>
        <v>1125.8067174193548</v>
      </c>
      <c r="AF96" s="17">
        <f t="shared" si="87"/>
        <v>0</v>
      </c>
      <c r="AH96" s="1">
        <f t="shared" ref="AH96:AH159" si="93">AH95+1</f>
        <v>44993</v>
      </c>
      <c r="AI96" s="44">
        <v>1014.918068172043</v>
      </c>
      <c r="AJ96" s="44">
        <v>190.65999322580646</v>
      </c>
      <c r="AK96" s="44"/>
      <c r="AL96" s="44">
        <v>70.294118064516127</v>
      </c>
      <c r="AM96" s="44">
        <f t="shared" si="82"/>
        <v>1275.8721794623657</v>
      </c>
      <c r="AN96" s="17">
        <f t="shared" si="88"/>
        <v>0</v>
      </c>
      <c r="AO96" s="17"/>
      <c r="AP96" s="1">
        <f t="shared" ref="AP96:AP159" si="94">AP95+1</f>
        <v>45358</v>
      </c>
      <c r="AQ96" s="44">
        <v>801.601</v>
      </c>
      <c r="AR96" s="44">
        <v>179.1473144</v>
      </c>
      <c r="AS96" s="44"/>
      <c r="AT96" s="44">
        <v>62.840196774193551</v>
      </c>
      <c r="AU96" s="44">
        <f t="shared" si="83"/>
        <v>1043.5885111741936</v>
      </c>
      <c r="AV96" s="17">
        <f t="shared" si="89"/>
        <v>0</v>
      </c>
      <c r="AW96" s="17"/>
      <c r="AX96" s="1">
        <f t="shared" ref="AX96:AX159" si="95">AX95+1</f>
        <v>45724</v>
      </c>
      <c r="AY96" s="44">
        <v>858.45</v>
      </c>
      <c r="AZ96" s="44">
        <v>211.34512129999999</v>
      </c>
      <c r="BA96" s="44"/>
      <c r="BB96" s="44">
        <v>64.736674838709675</v>
      </c>
      <c r="BC96" s="44">
        <f t="shared" si="84"/>
        <v>1134.5317961387098</v>
      </c>
      <c r="BD96" s="17">
        <f t="shared" si="90"/>
        <v>0</v>
      </c>
    </row>
    <row r="97" spans="1:56" x14ac:dyDescent="0.3">
      <c r="A97" s="17"/>
      <c r="B97" s="1">
        <v>43533</v>
      </c>
      <c r="C97" s="36">
        <v>735</v>
      </c>
      <c r="D97" s="36">
        <v>131</v>
      </c>
      <c r="E97" s="36"/>
      <c r="F97" s="36">
        <v>57</v>
      </c>
      <c r="G97" s="7">
        <f t="shared" si="78"/>
        <v>923</v>
      </c>
      <c r="H97" s="17">
        <f t="shared" si="77"/>
        <v>0</v>
      </c>
      <c r="J97" s="1">
        <v>43898</v>
      </c>
      <c r="K97" s="46">
        <v>648.36699999999996</v>
      </c>
      <c r="L97" s="101">
        <v>132.53399999999999</v>
      </c>
      <c r="M97" s="46"/>
      <c r="N97" s="46">
        <v>43.82</v>
      </c>
      <c r="O97" s="7">
        <f t="shared" si="79"/>
        <v>824.721</v>
      </c>
      <c r="P97" s="17">
        <f t="shared" si="85"/>
        <v>0</v>
      </c>
      <c r="R97" s="1">
        <f t="shared" si="91"/>
        <v>44264</v>
      </c>
      <c r="S97" s="62">
        <v>643.13294569892469</v>
      </c>
      <c r="T97" s="44">
        <v>113.51161634408602</v>
      </c>
      <c r="U97" s="36"/>
      <c r="V97" s="46">
        <v>61.344160645161288</v>
      </c>
      <c r="W97" s="7">
        <f t="shared" si="80"/>
        <v>817.98872268817206</v>
      </c>
      <c r="X97" s="17">
        <f t="shared" si="86"/>
        <v>0</v>
      </c>
      <c r="Y97" s="17"/>
      <c r="Z97" s="1">
        <f t="shared" si="92"/>
        <v>44629</v>
      </c>
      <c r="AA97" s="101">
        <v>839.89153118279569</v>
      </c>
      <c r="AB97" s="101">
        <v>183.81714258064517</v>
      </c>
      <c r="AC97" s="101"/>
      <c r="AD97" s="101">
        <v>68.700139354838711</v>
      </c>
      <c r="AE97" s="101">
        <f t="shared" si="81"/>
        <v>1092.4088131182796</v>
      </c>
      <c r="AF97" s="17">
        <f t="shared" si="87"/>
        <v>0</v>
      </c>
      <c r="AH97" s="1">
        <f t="shared" si="93"/>
        <v>44994</v>
      </c>
      <c r="AI97" s="44">
        <v>955.24813505376346</v>
      </c>
      <c r="AJ97" s="44">
        <v>185.95818935483871</v>
      </c>
      <c r="AK97" s="44"/>
      <c r="AL97" s="44">
        <v>71.054769032258065</v>
      </c>
      <c r="AM97" s="44">
        <f t="shared" si="82"/>
        <v>1212.2610934408601</v>
      </c>
      <c r="AN97" s="17">
        <f t="shared" si="88"/>
        <v>0</v>
      </c>
      <c r="AO97" s="17"/>
      <c r="AP97" s="1">
        <f t="shared" si="94"/>
        <v>45359</v>
      </c>
      <c r="AQ97" s="44">
        <v>841.68700000000001</v>
      </c>
      <c r="AR97" s="44">
        <v>190.52464079999999</v>
      </c>
      <c r="AS97" s="44"/>
      <c r="AT97" s="44">
        <v>64.33308602150538</v>
      </c>
      <c r="AU97" s="44">
        <f t="shared" si="83"/>
        <v>1096.5447268215053</v>
      </c>
      <c r="AV97" s="17">
        <f t="shared" si="89"/>
        <v>0</v>
      </c>
      <c r="AW97" s="17"/>
      <c r="AX97" s="1">
        <f t="shared" si="95"/>
        <v>45725</v>
      </c>
      <c r="AY97" s="44">
        <v>763.38699999999994</v>
      </c>
      <c r="AZ97" s="44">
        <v>187.5621127</v>
      </c>
      <c r="BA97" s="44"/>
      <c r="BB97" s="44">
        <v>58.761498494623659</v>
      </c>
      <c r="BC97" s="44">
        <f t="shared" si="84"/>
        <v>1009.7106111946235</v>
      </c>
      <c r="BD97" s="17">
        <f t="shared" si="90"/>
        <v>0</v>
      </c>
    </row>
    <row r="98" spans="1:56" x14ac:dyDescent="0.3">
      <c r="A98" s="17"/>
      <c r="B98" s="1">
        <v>43534</v>
      </c>
      <c r="C98" s="36">
        <v>642</v>
      </c>
      <c r="D98" s="36">
        <v>120</v>
      </c>
      <c r="E98" s="36"/>
      <c r="F98" s="36">
        <v>49</v>
      </c>
      <c r="G98" s="7">
        <f t="shared" si="78"/>
        <v>811</v>
      </c>
      <c r="H98" s="17">
        <f t="shared" si="77"/>
        <v>0</v>
      </c>
      <c r="J98" s="1">
        <v>43899</v>
      </c>
      <c r="K98" s="46">
        <v>744.34400000000005</v>
      </c>
      <c r="L98" s="101">
        <v>142.46100000000001</v>
      </c>
      <c r="M98" s="46"/>
      <c r="N98" s="46">
        <v>53.43</v>
      </c>
      <c r="O98" s="7">
        <f t="shared" si="79"/>
        <v>940.23500000000001</v>
      </c>
      <c r="P98" s="17">
        <f t="shared" si="85"/>
        <v>0</v>
      </c>
      <c r="R98" s="1">
        <f t="shared" si="91"/>
        <v>44265</v>
      </c>
      <c r="S98" s="62">
        <v>776.70888225806448</v>
      </c>
      <c r="T98" s="44">
        <v>147.79855483870969</v>
      </c>
      <c r="U98" s="36"/>
      <c r="V98" s="46">
        <v>66.085440000000006</v>
      </c>
      <c r="W98" s="7">
        <f t="shared" si="80"/>
        <v>990.59287709677415</v>
      </c>
      <c r="X98" s="17">
        <f t="shared" si="86"/>
        <v>0</v>
      </c>
      <c r="Y98" s="17"/>
      <c r="Z98" s="1">
        <f t="shared" si="92"/>
        <v>44630</v>
      </c>
      <c r="AA98" s="101">
        <v>813.37973655913981</v>
      </c>
      <c r="AB98" s="101">
        <v>158.8492793548387</v>
      </c>
      <c r="AC98" s="101"/>
      <c r="AD98" s="101">
        <v>64.999696129032259</v>
      </c>
      <c r="AE98" s="101">
        <f t="shared" si="81"/>
        <v>1037.2287120430108</v>
      </c>
      <c r="AF98" s="17">
        <f t="shared" si="87"/>
        <v>0</v>
      </c>
      <c r="AH98" s="1">
        <f t="shared" si="93"/>
        <v>44995</v>
      </c>
      <c r="AI98" s="44">
        <v>880.98608752688176</v>
      </c>
      <c r="AJ98" s="44">
        <v>171.43224118279571</v>
      </c>
      <c r="AK98" s="44"/>
      <c r="AL98" s="44">
        <v>70.607263548387095</v>
      </c>
      <c r="AM98" s="44">
        <f t="shared" si="82"/>
        <v>1123.0255922580645</v>
      </c>
      <c r="AN98" s="17">
        <f t="shared" si="88"/>
        <v>0</v>
      </c>
      <c r="AO98" s="17"/>
      <c r="AP98" s="1">
        <f t="shared" si="94"/>
        <v>45360</v>
      </c>
      <c r="AQ98" s="44">
        <v>888.33600000000001</v>
      </c>
      <c r="AR98" s="44">
        <v>194.5881048</v>
      </c>
      <c r="AS98" s="44"/>
      <c r="AT98" s="44">
        <v>63.469858064516131</v>
      </c>
      <c r="AU98" s="44">
        <f t="shared" si="83"/>
        <v>1146.393962864516</v>
      </c>
      <c r="AV98" s="17">
        <f t="shared" si="89"/>
        <v>0</v>
      </c>
      <c r="AW98" s="17"/>
      <c r="AX98" s="1">
        <f t="shared" si="95"/>
        <v>45726</v>
      </c>
      <c r="AY98" s="44">
        <v>955.68899999999996</v>
      </c>
      <c r="AZ98" s="44">
        <v>240.23342</v>
      </c>
      <c r="BA98" s="44"/>
      <c r="BB98" s="44">
        <v>73.732484301075274</v>
      </c>
      <c r="BC98" s="44">
        <f t="shared" si="84"/>
        <v>1269.6549043010752</v>
      </c>
      <c r="BD98" s="17">
        <f t="shared" si="90"/>
        <v>0</v>
      </c>
    </row>
    <row r="99" spans="1:56" x14ac:dyDescent="0.3">
      <c r="A99" s="17"/>
      <c r="B99" s="1">
        <v>43535</v>
      </c>
      <c r="C99" s="36">
        <v>827</v>
      </c>
      <c r="D99" s="36">
        <v>137</v>
      </c>
      <c r="E99" s="36"/>
      <c r="F99" s="36">
        <v>59</v>
      </c>
      <c r="G99" s="7">
        <f t="shared" si="78"/>
        <v>1023</v>
      </c>
      <c r="H99" s="17">
        <f t="shared" si="77"/>
        <v>0</v>
      </c>
      <c r="J99" s="1">
        <v>43900</v>
      </c>
      <c r="K99" s="46">
        <v>832.98</v>
      </c>
      <c r="L99" s="101">
        <v>151.167</v>
      </c>
      <c r="M99" s="46"/>
      <c r="N99" s="46">
        <v>56.774999999999999</v>
      </c>
      <c r="O99" s="7">
        <f t="shared" si="79"/>
        <v>1040.922</v>
      </c>
      <c r="P99" s="17">
        <f t="shared" si="85"/>
        <v>0</v>
      </c>
      <c r="R99" s="1">
        <f t="shared" si="91"/>
        <v>44266</v>
      </c>
      <c r="S99" s="62">
        <v>839.1573456989247</v>
      </c>
      <c r="T99" s="44">
        <v>156.59668129032258</v>
      </c>
      <c r="U99" s="36"/>
      <c r="V99" s="46">
        <v>72.893514193548384</v>
      </c>
      <c r="W99" s="7">
        <f t="shared" si="80"/>
        <v>1068.6475411827955</v>
      </c>
      <c r="X99" s="17">
        <f t="shared" si="86"/>
        <v>0</v>
      </c>
      <c r="Y99" s="17"/>
      <c r="Z99" s="1">
        <f t="shared" si="92"/>
        <v>44631</v>
      </c>
      <c r="AA99" s="101">
        <v>794.20279354838715</v>
      </c>
      <c r="AB99" s="101">
        <v>165.24066752688171</v>
      </c>
      <c r="AC99" s="101"/>
      <c r="AD99" s="101">
        <v>60.341150322580646</v>
      </c>
      <c r="AE99" s="101">
        <f t="shared" si="81"/>
        <v>1019.7846113978495</v>
      </c>
      <c r="AF99" s="17">
        <f t="shared" si="87"/>
        <v>0</v>
      </c>
      <c r="AH99" s="1">
        <f t="shared" si="93"/>
        <v>44996</v>
      </c>
      <c r="AI99" s="44">
        <v>856.7287997849462</v>
      </c>
      <c r="AJ99" s="44">
        <v>171.98714430107526</v>
      </c>
      <c r="AK99" s="44"/>
      <c r="AL99" s="44">
        <v>70.725370322580645</v>
      </c>
      <c r="AM99" s="44">
        <f t="shared" si="82"/>
        <v>1099.441314408602</v>
      </c>
      <c r="AN99" s="17">
        <f t="shared" si="88"/>
        <v>0</v>
      </c>
      <c r="AO99" s="17"/>
      <c r="AP99" s="1">
        <f t="shared" si="94"/>
        <v>45361</v>
      </c>
      <c r="AQ99" s="44">
        <v>875.99</v>
      </c>
      <c r="AR99" s="44">
        <v>188.76427290000001</v>
      </c>
      <c r="AS99" s="44"/>
      <c r="AT99" s="44">
        <v>57.872868817204299</v>
      </c>
      <c r="AU99" s="44">
        <f t="shared" si="83"/>
        <v>1122.6271417172043</v>
      </c>
      <c r="AV99" s="17">
        <f t="shared" si="89"/>
        <v>0</v>
      </c>
      <c r="AW99" s="17"/>
      <c r="AX99" s="1">
        <f t="shared" si="95"/>
        <v>45727</v>
      </c>
      <c r="AY99" s="44">
        <v>877.03899999999999</v>
      </c>
      <c r="AZ99" s="44">
        <v>231.83962500000001</v>
      </c>
      <c r="BA99" s="44"/>
      <c r="BB99" s="44">
        <v>74.542898064516123</v>
      </c>
      <c r="BC99" s="44">
        <f t="shared" si="84"/>
        <v>1183.4215230645161</v>
      </c>
      <c r="BD99" s="17">
        <f t="shared" si="90"/>
        <v>0</v>
      </c>
    </row>
    <row r="100" spans="1:56" x14ac:dyDescent="0.3">
      <c r="A100" s="17"/>
      <c r="B100" s="1">
        <v>43536</v>
      </c>
      <c r="C100" s="36">
        <v>890</v>
      </c>
      <c r="D100" s="36">
        <v>157</v>
      </c>
      <c r="E100" s="36"/>
      <c r="F100" s="36">
        <v>60</v>
      </c>
      <c r="G100" s="7">
        <f t="shared" si="78"/>
        <v>1107</v>
      </c>
      <c r="H100" s="17">
        <f t="shared" si="77"/>
        <v>0</v>
      </c>
      <c r="J100" s="1">
        <v>43901</v>
      </c>
      <c r="K100" s="46">
        <v>908.88400000000001</v>
      </c>
      <c r="L100" s="101">
        <v>158.57400000000001</v>
      </c>
      <c r="M100" s="46"/>
      <c r="N100" s="46">
        <v>59.728999999999999</v>
      </c>
      <c r="O100" s="7">
        <f t="shared" si="79"/>
        <v>1127.1870000000001</v>
      </c>
      <c r="P100" s="17">
        <f t="shared" si="85"/>
        <v>0</v>
      </c>
      <c r="R100" s="1">
        <f t="shared" si="91"/>
        <v>44267</v>
      </c>
      <c r="S100" s="62">
        <v>660.19416666666666</v>
      </c>
      <c r="T100" s="44">
        <v>123.4811647311828</v>
      </c>
      <c r="U100" s="36"/>
      <c r="V100" s="46">
        <v>60.178609677419352</v>
      </c>
      <c r="W100" s="7">
        <f t="shared" si="80"/>
        <v>843.85394107526884</v>
      </c>
      <c r="X100" s="17">
        <f t="shared" si="86"/>
        <v>0</v>
      </c>
      <c r="Y100" s="17"/>
      <c r="Z100" s="1">
        <f t="shared" si="92"/>
        <v>44632</v>
      </c>
      <c r="AA100" s="101">
        <v>896.20090537634405</v>
      </c>
      <c r="AB100" s="101">
        <v>184.90915397849463</v>
      </c>
      <c r="AC100" s="101"/>
      <c r="AD100" s="101">
        <v>65.365556129032257</v>
      </c>
      <c r="AE100" s="101">
        <f t="shared" si="81"/>
        <v>1146.475615483871</v>
      </c>
      <c r="AF100" s="17">
        <f t="shared" si="87"/>
        <v>0</v>
      </c>
      <c r="AH100" s="1">
        <f t="shared" si="93"/>
        <v>44997</v>
      </c>
      <c r="AI100" s="44">
        <v>787.69008924731179</v>
      </c>
      <c r="AJ100" s="44">
        <v>164.78058365591397</v>
      </c>
      <c r="AK100" s="44"/>
      <c r="AL100" s="44">
        <v>53.450358387096777</v>
      </c>
      <c r="AM100" s="44">
        <f t="shared" si="82"/>
        <v>1005.9210312903225</v>
      </c>
      <c r="AN100" s="17">
        <f t="shared" si="88"/>
        <v>0</v>
      </c>
      <c r="AO100" s="17"/>
      <c r="AP100" s="1">
        <f t="shared" si="94"/>
        <v>45362</v>
      </c>
      <c r="AQ100" s="44">
        <v>902.505</v>
      </c>
      <c r="AR100" s="44">
        <v>193.99979149999999</v>
      </c>
      <c r="AS100" s="44"/>
      <c r="AT100" s="44">
        <v>67.724646236559138</v>
      </c>
      <c r="AU100" s="44">
        <f t="shared" si="83"/>
        <v>1164.2294377365592</v>
      </c>
      <c r="AV100" s="17">
        <f t="shared" si="89"/>
        <v>0</v>
      </c>
      <c r="AW100" s="17"/>
      <c r="AX100" s="1">
        <f t="shared" si="95"/>
        <v>45728</v>
      </c>
      <c r="AY100" s="44">
        <v>869.51800000000003</v>
      </c>
      <c r="AZ100" s="44">
        <v>217.8120777</v>
      </c>
      <c r="BA100" s="44"/>
      <c r="BB100" s="44">
        <v>64.93602795698925</v>
      </c>
      <c r="BC100" s="44">
        <f t="shared" si="84"/>
        <v>1152.2661056569891</v>
      </c>
      <c r="BD100" s="17">
        <f t="shared" si="90"/>
        <v>0</v>
      </c>
    </row>
    <row r="101" spans="1:56" x14ac:dyDescent="0.3">
      <c r="A101" s="17"/>
      <c r="B101" s="1">
        <v>43537</v>
      </c>
      <c r="C101" s="36">
        <v>920</v>
      </c>
      <c r="D101" s="36">
        <v>145</v>
      </c>
      <c r="E101" s="36"/>
      <c r="F101" s="36">
        <v>58</v>
      </c>
      <c r="G101" s="7">
        <f t="shared" si="78"/>
        <v>1123</v>
      </c>
      <c r="H101" s="17">
        <f t="shared" si="77"/>
        <v>0</v>
      </c>
      <c r="J101" s="1">
        <v>43902</v>
      </c>
      <c r="K101" s="46">
        <v>824.16499999999996</v>
      </c>
      <c r="L101" s="101">
        <v>152.14499999999998</v>
      </c>
      <c r="M101" s="46"/>
      <c r="N101" s="46">
        <v>57.884</v>
      </c>
      <c r="O101" s="7">
        <f t="shared" si="79"/>
        <v>1034.194</v>
      </c>
      <c r="P101" s="17">
        <f t="shared" si="85"/>
        <v>0</v>
      </c>
      <c r="R101" s="1">
        <f t="shared" si="91"/>
        <v>44268</v>
      </c>
      <c r="S101" s="62">
        <v>759.88301720430104</v>
      </c>
      <c r="T101" s="44">
        <v>133.410211827957</v>
      </c>
      <c r="U101" s="36"/>
      <c r="V101" s="46">
        <v>64.722741935483867</v>
      </c>
      <c r="W101" s="7">
        <f t="shared" si="80"/>
        <v>958.01597096774196</v>
      </c>
      <c r="X101" s="17">
        <f t="shared" si="86"/>
        <v>0</v>
      </c>
      <c r="Y101" s="17"/>
      <c r="Z101" s="1">
        <f t="shared" si="92"/>
        <v>44633</v>
      </c>
      <c r="AA101" s="101">
        <v>881.9373333333333</v>
      </c>
      <c r="AB101" s="101">
        <v>173.24397505376345</v>
      </c>
      <c r="AC101" s="101"/>
      <c r="AD101" s="101">
        <v>62.76483870967742</v>
      </c>
      <c r="AE101" s="101">
        <f t="shared" si="81"/>
        <v>1117.9461470967742</v>
      </c>
      <c r="AF101" s="17">
        <f t="shared" si="87"/>
        <v>0</v>
      </c>
      <c r="AH101" s="1">
        <f t="shared" si="93"/>
        <v>44998</v>
      </c>
      <c r="AI101" s="44">
        <v>1018.4491793548387</v>
      </c>
      <c r="AJ101" s="44">
        <v>205.06593462365592</v>
      </c>
      <c r="AK101" s="44"/>
      <c r="AL101" s="44">
        <v>68.070676774193544</v>
      </c>
      <c r="AM101" s="44">
        <f t="shared" si="82"/>
        <v>1291.5857907526881</v>
      </c>
      <c r="AN101" s="17">
        <f t="shared" si="88"/>
        <v>0</v>
      </c>
      <c r="AO101" s="17"/>
      <c r="AP101" s="1">
        <f t="shared" si="94"/>
        <v>45363</v>
      </c>
      <c r="AQ101" s="44">
        <v>890.07899999999995</v>
      </c>
      <c r="AR101" s="44">
        <v>190.29732559999999</v>
      </c>
      <c r="AS101" s="44"/>
      <c r="AT101" s="44">
        <v>64.556965591397855</v>
      </c>
      <c r="AU101" s="44">
        <f t="shared" si="83"/>
        <v>1144.9332911913978</v>
      </c>
      <c r="AV101" s="17">
        <f t="shared" si="89"/>
        <v>0</v>
      </c>
      <c r="AW101" s="17"/>
      <c r="AX101" s="1">
        <f t="shared" si="95"/>
        <v>45729</v>
      </c>
      <c r="AY101" s="44">
        <v>852.74199999999996</v>
      </c>
      <c r="AZ101" s="44">
        <v>210.84035159999999</v>
      </c>
      <c r="BA101" s="44"/>
      <c r="BB101" s="44">
        <v>60.943548387096776</v>
      </c>
      <c r="BC101" s="44">
        <f t="shared" si="84"/>
        <v>1124.5258999870969</v>
      </c>
      <c r="BD101" s="17">
        <f t="shared" si="90"/>
        <v>0</v>
      </c>
    </row>
    <row r="102" spans="1:56" x14ac:dyDescent="0.3">
      <c r="A102" s="17"/>
      <c r="B102" s="1">
        <v>43538</v>
      </c>
      <c r="C102" s="36">
        <v>754</v>
      </c>
      <c r="D102" s="36">
        <v>158</v>
      </c>
      <c r="E102" s="36"/>
      <c r="F102" s="36">
        <v>56</v>
      </c>
      <c r="G102" s="7">
        <f t="shared" si="78"/>
        <v>968</v>
      </c>
      <c r="H102" s="17">
        <f t="shared" si="77"/>
        <v>0</v>
      </c>
      <c r="J102" s="1">
        <v>43903</v>
      </c>
      <c r="K102" s="46">
        <v>778.62300000000005</v>
      </c>
      <c r="L102" s="101">
        <v>147.441</v>
      </c>
      <c r="M102" s="46"/>
      <c r="N102" s="46">
        <v>55.015000000000001</v>
      </c>
      <c r="O102" s="7">
        <f t="shared" si="79"/>
        <v>981.07900000000006</v>
      </c>
      <c r="P102" s="17">
        <f t="shared" si="85"/>
        <v>0</v>
      </c>
      <c r="R102" s="1">
        <f t="shared" si="91"/>
        <v>44269</v>
      </c>
      <c r="S102" s="62">
        <v>755.01864784946235</v>
      </c>
      <c r="T102" s="44">
        <v>142.59050430107527</v>
      </c>
      <c r="U102" s="36"/>
      <c r="V102" s="46">
        <v>55.492574838709679</v>
      </c>
      <c r="W102" s="7">
        <f t="shared" si="80"/>
        <v>953.10172698924725</v>
      </c>
      <c r="X102" s="17">
        <f t="shared" si="86"/>
        <v>0</v>
      </c>
      <c r="Y102" s="17"/>
      <c r="Z102" s="1">
        <f t="shared" si="92"/>
        <v>44634</v>
      </c>
      <c r="AA102" s="101">
        <v>1009.8676354838709</v>
      </c>
      <c r="AB102" s="101">
        <v>185.6276094623656</v>
      </c>
      <c r="AC102" s="101"/>
      <c r="AD102" s="101">
        <v>71.029412258064511</v>
      </c>
      <c r="AE102" s="101">
        <f t="shared" si="81"/>
        <v>1266.5246572043009</v>
      </c>
      <c r="AF102" s="17">
        <f t="shared" si="87"/>
        <v>0</v>
      </c>
      <c r="AH102" s="1">
        <f t="shared" si="93"/>
        <v>44999</v>
      </c>
      <c r="AI102" s="44">
        <v>1132.8908210752688</v>
      </c>
      <c r="AJ102" s="44">
        <v>224.43010462365592</v>
      </c>
      <c r="AK102" s="44"/>
      <c r="AL102" s="44">
        <v>79.282151935483867</v>
      </c>
      <c r="AM102" s="44">
        <f t="shared" si="82"/>
        <v>1436.6030776344087</v>
      </c>
      <c r="AN102" s="17">
        <f t="shared" si="88"/>
        <v>0</v>
      </c>
      <c r="AO102" s="17"/>
      <c r="AP102" s="1">
        <f t="shared" si="94"/>
        <v>45364</v>
      </c>
      <c r="AQ102" s="44">
        <v>883.34199999999998</v>
      </c>
      <c r="AR102" s="44">
        <v>212.57483730000001</v>
      </c>
      <c r="AS102" s="44"/>
      <c r="AT102" s="44">
        <v>66.642920430107523</v>
      </c>
      <c r="AU102" s="44">
        <f t="shared" si="83"/>
        <v>1162.5597577301075</v>
      </c>
      <c r="AV102" s="17">
        <f t="shared" si="89"/>
        <v>0</v>
      </c>
      <c r="AW102" s="17"/>
      <c r="AX102" s="1">
        <f t="shared" si="95"/>
        <v>45730</v>
      </c>
      <c r="AY102" s="44">
        <v>953.8</v>
      </c>
      <c r="AZ102" s="44">
        <v>212.93888000000001</v>
      </c>
      <c r="BA102" s="44"/>
      <c r="BB102" s="44">
        <v>71.203733333333332</v>
      </c>
      <c r="BC102" s="44">
        <f t="shared" si="84"/>
        <v>1237.9426133333332</v>
      </c>
      <c r="BD102" s="17">
        <f t="shared" si="90"/>
        <v>0</v>
      </c>
    </row>
    <row r="103" spans="1:56" x14ac:dyDescent="0.3">
      <c r="A103" s="17"/>
      <c r="B103" s="1">
        <v>43539</v>
      </c>
      <c r="C103" s="36">
        <v>824</v>
      </c>
      <c r="D103" s="36">
        <v>151</v>
      </c>
      <c r="E103" s="36"/>
      <c r="F103" s="36">
        <v>60</v>
      </c>
      <c r="G103" s="7">
        <f t="shared" si="78"/>
        <v>1035</v>
      </c>
      <c r="H103" s="17">
        <f t="shared" si="77"/>
        <v>0</v>
      </c>
      <c r="J103" s="1">
        <v>43904</v>
      </c>
      <c r="K103" s="46">
        <v>717.41099999999994</v>
      </c>
      <c r="L103" s="101">
        <v>136.011</v>
      </c>
      <c r="M103" s="46"/>
      <c r="N103" s="46">
        <v>52.771000000000001</v>
      </c>
      <c r="O103" s="7">
        <f t="shared" si="79"/>
        <v>906.19299999999987</v>
      </c>
      <c r="P103" s="17">
        <f t="shared" si="85"/>
        <v>0</v>
      </c>
      <c r="R103" s="1">
        <f t="shared" si="91"/>
        <v>44270</v>
      </c>
      <c r="S103" s="62">
        <v>821.89305215053764</v>
      </c>
      <c r="T103" s="44">
        <v>160.41107204301076</v>
      </c>
      <c r="U103" s="36"/>
      <c r="V103" s="46">
        <v>63.396873548387099</v>
      </c>
      <c r="W103" s="7">
        <f t="shared" si="80"/>
        <v>1045.7009977419355</v>
      </c>
      <c r="X103" s="17">
        <f t="shared" si="86"/>
        <v>0</v>
      </c>
      <c r="Y103" s="17"/>
      <c r="Z103" s="1">
        <f t="shared" si="92"/>
        <v>44635</v>
      </c>
      <c r="AA103" s="101">
        <v>803.81524516129036</v>
      </c>
      <c r="AB103" s="101">
        <v>159.50223462365591</v>
      </c>
      <c r="AC103" s="101"/>
      <c r="AD103" s="101">
        <v>65.751801290322575</v>
      </c>
      <c r="AE103" s="101">
        <f t="shared" si="81"/>
        <v>1029.0692810752689</v>
      </c>
      <c r="AF103" s="17">
        <f t="shared" si="87"/>
        <v>0</v>
      </c>
      <c r="AH103" s="1">
        <f t="shared" si="93"/>
        <v>45000</v>
      </c>
      <c r="AI103" s="44">
        <v>1018.0584290322581</v>
      </c>
      <c r="AJ103" s="44">
        <v>208.39945612903225</v>
      </c>
      <c r="AK103" s="44"/>
      <c r="AL103" s="44">
        <v>83.596841612903219</v>
      </c>
      <c r="AM103" s="44">
        <f t="shared" si="82"/>
        <v>1310.0547267741936</v>
      </c>
      <c r="AN103" s="17">
        <f t="shared" si="88"/>
        <v>0</v>
      </c>
      <c r="AO103" s="17"/>
      <c r="AP103" s="1">
        <f t="shared" si="94"/>
        <v>45365</v>
      </c>
      <c r="AQ103" s="44">
        <v>1012.73</v>
      </c>
      <c r="AR103" s="44">
        <v>240.8891921</v>
      </c>
      <c r="AS103" s="44"/>
      <c r="AT103" s="44">
        <v>69.662065591397848</v>
      </c>
      <c r="AU103" s="44">
        <f t="shared" si="83"/>
        <v>1323.2812576913977</v>
      </c>
      <c r="AV103" s="17">
        <f t="shared" si="89"/>
        <v>0</v>
      </c>
      <c r="AW103" s="17"/>
      <c r="AX103" s="1">
        <f t="shared" si="95"/>
        <v>45731</v>
      </c>
      <c r="AY103" s="44">
        <v>810.36</v>
      </c>
      <c r="AZ103" s="44">
        <v>182.9814624</v>
      </c>
      <c r="BA103" s="44"/>
      <c r="BB103" s="44">
        <v>63.330368602150536</v>
      </c>
      <c r="BC103" s="44">
        <f t="shared" si="84"/>
        <v>1056.6718310021504</v>
      </c>
      <c r="BD103" s="17">
        <f t="shared" si="90"/>
        <v>0</v>
      </c>
    </row>
    <row r="104" spans="1:56" x14ac:dyDescent="0.3">
      <c r="A104" s="17"/>
      <c r="B104" s="1">
        <v>43540</v>
      </c>
      <c r="C104" s="36">
        <v>804</v>
      </c>
      <c r="D104" s="36">
        <v>139</v>
      </c>
      <c r="E104" s="36"/>
      <c r="F104" s="36">
        <v>55</v>
      </c>
      <c r="G104" s="7">
        <f t="shared" si="78"/>
        <v>998</v>
      </c>
      <c r="H104" s="17">
        <f t="shared" si="77"/>
        <v>0</v>
      </c>
      <c r="J104" s="1">
        <v>43905</v>
      </c>
      <c r="K104" s="46">
        <v>593.02700000000004</v>
      </c>
      <c r="L104" s="101">
        <v>111.79300000000001</v>
      </c>
      <c r="M104" s="46"/>
      <c r="N104" s="46">
        <v>42.103999999999999</v>
      </c>
      <c r="O104" s="7">
        <f t="shared" si="79"/>
        <v>746.92400000000009</v>
      </c>
      <c r="P104" s="17">
        <f t="shared" si="85"/>
        <v>0</v>
      </c>
      <c r="R104" s="1">
        <f t="shared" si="91"/>
        <v>44271</v>
      </c>
      <c r="S104" s="62">
        <v>933.60484086021506</v>
      </c>
      <c r="T104" s="44">
        <v>174.51382903225806</v>
      </c>
      <c r="U104" s="36"/>
      <c r="V104" s="46">
        <v>75.595079354838717</v>
      </c>
      <c r="W104" s="7">
        <f t="shared" si="80"/>
        <v>1183.7137492473116</v>
      </c>
      <c r="X104" s="17">
        <f t="shared" si="86"/>
        <v>0</v>
      </c>
      <c r="Y104" s="17"/>
      <c r="Z104" s="1">
        <f t="shared" si="92"/>
        <v>44636</v>
      </c>
      <c r="AA104" s="101">
        <v>953.35825698924737</v>
      </c>
      <c r="AB104" s="101">
        <v>171.91247849462366</v>
      </c>
      <c r="AC104" s="101"/>
      <c r="AD104" s="101">
        <v>67.946961290322577</v>
      </c>
      <c r="AE104" s="101">
        <f t="shared" si="81"/>
        <v>1193.2176967741937</v>
      </c>
      <c r="AF104" s="17">
        <f t="shared" si="87"/>
        <v>0</v>
      </c>
      <c r="AH104" s="1">
        <f t="shared" si="93"/>
        <v>45001</v>
      </c>
      <c r="AI104" s="44">
        <v>1042.2746931182796</v>
      </c>
      <c r="AJ104" s="44">
        <v>220.7847706451613</v>
      </c>
      <c r="AK104" s="44"/>
      <c r="AL104" s="44">
        <v>81.672459677419354</v>
      </c>
      <c r="AM104" s="44">
        <f t="shared" si="82"/>
        <v>1344.7319234408601</v>
      </c>
      <c r="AN104" s="17">
        <f t="shared" si="88"/>
        <v>0</v>
      </c>
      <c r="AO104" s="17"/>
      <c r="AP104" s="1">
        <f t="shared" si="94"/>
        <v>45366</v>
      </c>
      <c r="AQ104" s="44">
        <v>1020.571</v>
      </c>
      <c r="AR104" s="44">
        <v>234.643168</v>
      </c>
      <c r="AS104" s="44"/>
      <c r="AT104" s="44">
        <v>72.250673118279565</v>
      </c>
      <c r="AU104" s="44">
        <f t="shared" si="83"/>
        <v>1327.4648411182795</v>
      </c>
      <c r="AV104" s="17">
        <f t="shared" si="89"/>
        <v>0</v>
      </c>
      <c r="AW104" s="17"/>
      <c r="AX104" s="1">
        <f t="shared" si="95"/>
        <v>45732</v>
      </c>
      <c r="AY104" s="44">
        <v>799.322</v>
      </c>
      <c r="AZ104" s="44">
        <v>189.87367610000001</v>
      </c>
      <c r="BA104" s="44"/>
      <c r="BB104" s="44">
        <v>59.622833978494626</v>
      </c>
      <c r="BC104" s="44">
        <f t="shared" si="84"/>
        <v>1048.8185100784947</v>
      </c>
      <c r="BD104" s="17">
        <f t="shared" si="90"/>
        <v>0</v>
      </c>
    </row>
    <row r="105" spans="1:56" x14ac:dyDescent="0.3">
      <c r="A105" s="17"/>
      <c r="B105" s="1">
        <v>43541</v>
      </c>
      <c r="C105" s="36">
        <v>766</v>
      </c>
      <c r="D105" s="36">
        <v>143</v>
      </c>
      <c r="E105" s="36"/>
      <c r="F105" s="36">
        <v>50</v>
      </c>
      <c r="G105" s="7">
        <f t="shared" si="78"/>
        <v>959</v>
      </c>
      <c r="H105" s="17">
        <f t="shared" si="77"/>
        <v>0</v>
      </c>
      <c r="J105" s="1">
        <v>43906</v>
      </c>
      <c r="K105" s="46">
        <v>728.67399999999998</v>
      </c>
      <c r="L105" s="101">
        <v>136.53899999999999</v>
      </c>
      <c r="M105" s="46"/>
      <c r="N105" s="46">
        <v>51.390999999999998</v>
      </c>
      <c r="O105" s="7">
        <f t="shared" si="79"/>
        <v>916.60399999999993</v>
      </c>
      <c r="P105" s="17">
        <f t="shared" si="85"/>
        <v>0</v>
      </c>
      <c r="R105" s="1">
        <f t="shared" si="91"/>
        <v>44272</v>
      </c>
      <c r="S105" s="62">
        <v>855.51666451612903</v>
      </c>
      <c r="T105" s="44">
        <v>144.82222924731184</v>
      </c>
      <c r="U105" s="36"/>
      <c r="V105" s="46">
        <v>70.848383870967737</v>
      </c>
      <c r="W105" s="7">
        <f t="shared" si="80"/>
        <v>1071.1872776344087</v>
      </c>
      <c r="X105" s="17">
        <f t="shared" si="86"/>
        <v>0</v>
      </c>
      <c r="Y105" s="17"/>
      <c r="Z105" s="1">
        <f t="shared" si="92"/>
        <v>44637</v>
      </c>
      <c r="AA105" s="101">
        <v>1042.7163010752688</v>
      </c>
      <c r="AB105" s="101">
        <v>208.5117470967742</v>
      </c>
      <c r="AC105" s="101"/>
      <c r="AD105" s="101">
        <v>77.205043225806449</v>
      </c>
      <c r="AE105" s="101">
        <f t="shared" si="81"/>
        <v>1328.4330913978495</v>
      </c>
      <c r="AF105" s="17">
        <f t="shared" si="87"/>
        <v>0</v>
      </c>
      <c r="AH105" s="1">
        <f t="shared" si="93"/>
        <v>45002</v>
      </c>
      <c r="AI105" s="44">
        <v>990.62591032258069</v>
      </c>
      <c r="AJ105" s="44">
        <v>217.04712376344085</v>
      </c>
      <c r="AK105" s="44"/>
      <c r="AL105" s="44">
        <v>82.998722903225811</v>
      </c>
      <c r="AM105" s="44">
        <f t="shared" si="82"/>
        <v>1290.6717569892473</v>
      </c>
      <c r="AN105" s="17">
        <f t="shared" si="88"/>
        <v>0</v>
      </c>
      <c r="AO105" s="17"/>
      <c r="AP105" s="1">
        <f t="shared" si="94"/>
        <v>45367</v>
      </c>
      <c r="AQ105" s="44">
        <v>1015.8390000000001</v>
      </c>
      <c r="AR105" s="44">
        <v>238.64022990000001</v>
      </c>
      <c r="AS105" s="44"/>
      <c r="AT105" s="44">
        <v>69.670676344086019</v>
      </c>
      <c r="AU105" s="44">
        <f t="shared" si="83"/>
        <v>1324.1499062440862</v>
      </c>
      <c r="AV105" s="17">
        <f t="shared" si="89"/>
        <v>0</v>
      </c>
      <c r="AW105" s="17"/>
      <c r="AX105" s="1">
        <f t="shared" si="95"/>
        <v>45733</v>
      </c>
      <c r="AY105" s="44">
        <v>880.29200000000003</v>
      </c>
      <c r="AZ105" s="44">
        <v>220.71446399999999</v>
      </c>
      <c r="BA105" s="44"/>
      <c r="BB105" s="44">
        <v>64.943612043010759</v>
      </c>
      <c r="BC105" s="44">
        <f t="shared" si="84"/>
        <v>1165.9500760430108</v>
      </c>
      <c r="BD105" s="17">
        <f t="shared" si="90"/>
        <v>0</v>
      </c>
    </row>
    <row r="106" spans="1:56" x14ac:dyDescent="0.3">
      <c r="A106" s="17"/>
      <c r="B106" s="1">
        <v>43542</v>
      </c>
      <c r="C106" s="36">
        <v>915</v>
      </c>
      <c r="D106" s="36">
        <v>168</v>
      </c>
      <c r="E106" s="36"/>
      <c r="F106" s="36">
        <v>64</v>
      </c>
      <c r="G106" s="7">
        <f t="shared" si="78"/>
        <v>1147</v>
      </c>
      <c r="H106" s="17">
        <f t="shared" si="77"/>
        <v>0</v>
      </c>
      <c r="J106" s="1">
        <v>43907</v>
      </c>
      <c r="K106" s="46">
        <v>843.26400000000001</v>
      </c>
      <c r="L106" s="101">
        <v>147.964</v>
      </c>
      <c r="M106" s="46"/>
      <c r="N106" s="46">
        <v>58.875</v>
      </c>
      <c r="O106" s="7">
        <f t="shared" si="79"/>
        <v>1050.1030000000001</v>
      </c>
      <c r="P106" s="17">
        <f t="shared" si="85"/>
        <v>0</v>
      </c>
      <c r="R106" s="1">
        <f t="shared" si="91"/>
        <v>44273</v>
      </c>
      <c r="S106" s="62">
        <v>748.13709086021504</v>
      </c>
      <c r="T106" s="44">
        <v>142.71720064516128</v>
      </c>
      <c r="U106" s="36"/>
      <c r="V106" s="46">
        <v>69.756492258064512</v>
      </c>
      <c r="W106" s="7">
        <f t="shared" si="80"/>
        <v>960.61078376344085</v>
      </c>
      <c r="X106" s="17">
        <f t="shared" si="86"/>
        <v>0</v>
      </c>
      <c r="Y106" s="17"/>
      <c r="Z106" s="1">
        <f t="shared" si="92"/>
        <v>44638</v>
      </c>
      <c r="AA106" s="101">
        <v>1098.8083236559139</v>
      </c>
      <c r="AB106" s="101">
        <v>203.70873913978494</v>
      </c>
      <c r="AC106" s="101"/>
      <c r="AD106" s="101">
        <v>78.088042580645165</v>
      </c>
      <c r="AE106" s="101">
        <f t="shared" si="81"/>
        <v>1380.605105376344</v>
      </c>
      <c r="AF106" s="17">
        <f t="shared" si="87"/>
        <v>0</v>
      </c>
      <c r="AH106" s="1">
        <f t="shared" si="93"/>
        <v>45003</v>
      </c>
      <c r="AI106" s="44">
        <v>942.94616623655918</v>
      </c>
      <c r="AJ106" s="44">
        <v>196.13004559139785</v>
      </c>
      <c r="AK106" s="44"/>
      <c r="AL106" s="44">
        <v>76.394495483870969</v>
      </c>
      <c r="AM106" s="44">
        <f t="shared" si="82"/>
        <v>1215.4707073118279</v>
      </c>
      <c r="AN106" s="17">
        <f t="shared" si="88"/>
        <v>0</v>
      </c>
      <c r="AO106" s="17"/>
      <c r="AP106" s="1">
        <f t="shared" si="94"/>
        <v>45368</v>
      </c>
      <c r="AQ106" s="44">
        <v>1007.671</v>
      </c>
      <c r="AR106" s="44">
        <v>241.57408799999999</v>
      </c>
      <c r="AS106" s="44"/>
      <c r="AT106" s="44">
        <v>63.903624731182795</v>
      </c>
      <c r="AU106" s="44">
        <f t="shared" si="83"/>
        <v>1313.148712731183</v>
      </c>
      <c r="AV106" s="17">
        <f t="shared" si="89"/>
        <v>0</v>
      </c>
      <c r="AW106" s="17"/>
      <c r="AX106" s="1">
        <f t="shared" si="95"/>
        <v>45734</v>
      </c>
      <c r="AY106" s="44">
        <v>1007.516</v>
      </c>
      <c r="AZ106" s="44">
        <v>219.0420852</v>
      </c>
      <c r="BA106" s="44"/>
      <c r="BB106" s="44">
        <v>78.84524172043011</v>
      </c>
      <c r="BC106" s="44">
        <f t="shared" si="84"/>
        <v>1305.4033269204301</v>
      </c>
      <c r="BD106" s="17">
        <f t="shared" si="90"/>
        <v>0</v>
      </c>
    </row>
    <row r="107" spans="1:56" x14ac:dyDescent="0.3">
      <c r="A107" s="17"/>
      <c r="B107" s="1">
        <v>43543</v>
      </c>
      <c r="C107" s="36">
        <v>915</v>
      </c>
      <c r="D107" s="36">
        <v>161</v>
      </c>
      <c r="E107" s="36"/>
      <c r="F107" s="36">
        <v>62</v>
      </c>
      <c r="G107" s="7">
        <f t="shared" si="78"/>
        <v>1138</v>
      </c>
      <c r="H107" s="17">
        <f t="shared" si="77"/>
        <v>0</v>
      </c>
      <c r="J107" s="1">
        <v>43908</v>
      </c>
      <c r="K107" s="46">
        <v>853.053</v>
      </c>
      <c r="L107" s="101">
        <v>149.11199999999999</v>
      </c>
      <c r="M107" s="46"/>
      <c r="N107" s="46">
        <v>59.201000000000001</v>
      </c>
      <c r="O107" s="7">
        <f t="shared" si="79"/>
        <v>1061.366</v>
      </c>
      <c r="P107" s="17">
        <f t="shared" si="85"/>
        <v>0</v>
      </c>
      <c r="R107" s="1">
        <f t="shared" si="91"/>
        <v>44274</v>
      </c>
      <c r="S107" s="62">
        <v>819.23748763440858</v>
      </c>
      <c r="T107" s="44">
        <v>144.36529161290323</v>
      </c>
      <c r="U107" s="36"/>
      <c r="V107" s="46">
        <v>69.150969032258061</v>
      </c>
      <c r="W107" s="7">
        <f t="shared" si="80"/>
        <v>1032.7537482795699</v>
      </c>
      <c r="X107" s="17">
        <f t="shared" si="86"/>
        <v>0</v>
      </c>
      <c r="Y107" s="17"/>
      <c r="Z107" s="1">
        <f t="shared" si="92"/>
        <v>44639</v>
      </c>
      <c r="AA107" s="101">
        <v>913.56454408602156</v>
      </c>
      <c r="AB107" s="101">
        <v>180.28013096774194</v>
      </c>
      <c r="AC107" s="101"/>
      <c r="AD107" s="101">
        <v>73.441298709677426</v>
      </c>
      <c r="AE107" s="101">
        <f t="shared" si="81"/>
        <v>1167.2859737634408</v>
      </c>
      <c r="AF107" s="17">
        <f t="shared" si="87"/>
        <v>0</v>
      </c>
      <c r="AH107" s="1">
        <f t="shared" si="93"/>
        <v>45004</v>
      </c>
      <c r="AI107" s="44">
        <v>905.88847225806455</v>
      </c>
      <c r="AJ107" s="44">
        <v>200.61747838709678</v>
      </c>
      <c r="AK107" s="44"/>
      <c r="AL107" s="44">
        <v>72.613995161290319</v>
      </c>
      <c r="AM107" s="44">
        <f t="shared" si="82"/>
        <v>1179.1199458064518</v>
      </c>
      <c r="AN107" s="17">
        <f t="shared" si="88"/>
        <v>0</v>
      </c>
      <c r="AO107" s="17"/>
      <c r="AP107" s="1">
        <f t="shared" si="94"/>
        <v>45369</v>
      </c>
      <c r="AQ107" s="44">
        <v>1097.9739999999999</v>
      </c>
      <c r="AR107" s="44">
        <v>243.310935</v>
      </c>
      <c r="AS107" s="44"/>
      <c r="AT107" s="44">
        <v>65.468629032258065</v>
      </c>
      <c r="AU107" s="44">
        <f t="shared" si="83"/>
        <v>1406.7535640322581</v>
      </c>
      <c r="AV107" s="17">
        <f t="shared" si="89"/>
        <v>0</v>
      </c>
      <c r="AW107" s="17"/>
      <c r="AX107" s="1">
        <f t="shared" si="95"/>
        <v>45735</v>
      </c>
      <c r="AY107" s="44">
        <v>955.46799999999996</v>
      </c>
      <c r="AZ107" s="44">
        <v>229.80254819999999</v>
      </c>
      <c r="BA107" s="44"/>
      <c r="BB107" s="44">
        <v>72.690214193548385</v>
      </c>
      <c r="BC107" s="44">
        <f t="shared" si="84"/>
        <v>1257.9607623935483</v>
      </c>
      <c r="BD107" s="17">
        <f t="shared" si="90"/>
        <v>0</v>
      </c>
    </row>
    <row r="108" spans="1:56" x14ac:dyDescent="0.3">
      <c r="A108" s="17"/>
      <c r="B108" s="1">
        <v>43544</v>
      </c>
      <c r="C108" s="36">
        <v>858</v>
      </c>
      <c r="D108" s="36">
        <v>147</v>
      </c>
      <c r="E108" s="36"/>
      <c r="F108" s="36">
        <v>57</v>
      </c>
      <c r="G108" s="7">
        <f t="shared" si="78"/>
        <v>1062</v>
      </c>
      <c r="H108" s="17">
        <f t="shared" si="77"/>
        <v>0</v>
      </c>
      <c r="J108" s="1">
        <v>43909</v>
      </c>
      <c r="K108" s="46">
        <v>863.83100000000002</v>
      </c>
      <c r="L108" s="101">
        <v>154.6</v>
      </c>
      <c r="M108" s="46"/>
      <c r="N108" s="46">
        <v>62.274999999999999</v>
      </c>
      <c r="O108" s="7">
        <f t="shared" si="79"/>
        <v>1080.7060000000001</v>
      </c>
      <c r="P108" s="17">
        <f t="shared" si="85"/>
        <v>0</v>
      </c>
      <c r="R108" s="1">
        <f t="shared" si="91"/>
        <v>44275</v>
      </c>
      <c r="S108" s="62">
        <v>789.86798548387094</v>
      </c>
      <c r="T108" s="44">
        <v>154.18529677419355</v>
      </c>
      <c r="U108" s="36"/>
      <c r="V108" s="46">
        <v>70.914460645161284</v>
      </c>
      <c r="W108" s="7">
        <f t="shared" si="80"/>
        <v>1014.9677429032257</v>
      </c>
      <c r="X108" s="17">
        <f t="shared" si="86"/>
        <v>0</v>
      </c>
      <c r="Y108" s="17"/>
      <c r="Z108" s="1">
        <f t="shared" si="92"/>
        <v>44640</v>
      </c>
      <c r="AA108" s="101">
        <v>794.84668494623656</v>
      </c>
      <c r="AB108" s="101">
        <v>162.91336301075268</v>
      </c>
      <c r="AC108" s="101"/>
      <c r="AD108" s="101">
        <v>57.306980000000003</v>
      </c>
      <c r="AE108" s="101">
        <f t="shared" si="81"/>
        <v>1015.0670279569891</v>
      </c>
      <c r="AF108" s="17">
        <f t="shared" si="87"/>
        <v>0</v>
      </c>
      <c r="AH108" s="1">
        <f t="shared" si="93"/>
        <v>45005</v>
      </c>
      <c r="AI108" s="44">
        <v>915.39057655913973</v>
      </c>
      <c r="AJ108" s="44">
        <v>205.01464967741936</v>
      </c>
      <c r="AK108" s="44"/>
      <c r="AL108" s="44">
        <v>78.456488064516122</v>
      </c>
      <c r="AM108" s="44">
        <f t="shared" si="82"/>
        <v>1198.8617143010752</v>
      </c>
      <c r="AN108" s="17">
        <f t="shared" si="88"/>
        <v>0</v>
      </c>
      <c r="AO108" s="17"/>
      <c r="AP108" s="1">
        <f t="shared" si="94"/>
        <v>45370</v>
      </c>
      <c r="AQ108" s="44">
        <v>1158.4459999999999</v>
      </c>
      <c r="AR108" s="44">
        <v>249.78297620000001</v>
      </c>
      <c r="AS108" s="44"/>
      <c r="AT108" s="44">
        <v>68.52759892473118</v>
      </c>
      <c r="AU108" s="44">
        <f t="shared" si="83"/>
        <v>1476.7565751247312</v>
      </c>
      <c r="AV108" s="17">
        <f t="shared" si="89"/>
        <v>1</v>
      </c>
      <c r="AW108" s="17"/>
      <c r="AX108" s="1">
        <f t="shared" si="95"/>
        <v>45736</v>
      </c>
      <c r="AY108" s="44">
        <v>1024.2329999999999</v>
      </c>
      <c r="AZ108" s="44">
        <v>229.90463819999999</v>
      </c>
      <c r="BA108" s="44"/>
      <c r="BB108" s="44">
        <v>73.014163010752682</v>
      </c>
      <c r="BC108" s="44">
        <f t="shared" si="84"/>
        <v>1327.1518012107526</v>
      </c>
      <c r="BD108" s="17">
        <f t="shared" si="90"/>
        <v>0</v>
      </c>
    </row>
    <row r="109" spans="1:56" x14ac:dyDescent="0.3">
      <c r="A109" s="17"/>
      <c r="B109" s="1">
        <v>43545</v>
      </c>
      <c r="C109" s="36">
        <v>853</v>
      </c>
      <c r="D109" s="36">
        <v>143</v>
      </c>
      <c r="E109" s="36"/>
      <c r="F109" s="36">
        <v>56</v>
      </c>
      <c r="G109" s="7">
        <f t="shared" si="78"/>
        <v>1052</v>
      </c>
      <c r="H109" s="17">
        <f t="shared" si="77"/>
        <v>0</v>
      </c>
      <c r="J109" s="1">
        <v>43910</v>
      </c>
      <c r="K109" s="46">
        <v>862.85199999999998</v>
      </c>
      <c r="L109" s="101">
        <v>158.203</v>
      </c>
      <c r="M109" s="46"/>
      <c r="N109" s="46">
        <v>64.355999999999995</v>
      </c>
      <c r="O109" s="7">
        <f t="shared" si="79"/>
        <v>1085.4110000000001</v>
      </c>
      <c r="P109" s="17">
        <f t="shared" si="85"/>
        <v>0</v>
      </c>
      <c r="R109" s="1">
        <f t="shared" si="91"/>
        <v>44276</v>
      </c>
      <c r="S109" s="62">
        <v>676.88256720430104</v>
      </c>
      <c r="T109" s="44">
        <v>120.22859956989247</v>
      </c>
      <c r="U109" s="36"/>
      <c r="V109" s="46">
        <v>58.7000064516129</v>
      </c>
      <c r="W109" s="7">
        <f t="shared" si="80"/>
        <v>855.81117322580644</v>
      </c>
      <c r="X109" s="17">
        <f t="shared" si="86"/>
        <v>0</v>
      </c>
      <c r="Y109" s="17"/>
      <c r="Z109" s="1">
        <f t="shared" si="92"/>
        <v>44641</v>
      </c>
      <c r="AA109" s="101">
        <v>877.30049892473119</v>
      </c>
      <c r="AB109" s="101">
        <v>172.26044838709677</v>
      </c>
      <c r="AC109" s="101"/>
      <c r="AD109" s="101">
        <v>67.113315483870963</v>
      </c>
      <c r="AE109" s="101">
        <f t="shared" si="81"/>
        <v>1116.674262795699</v>
      </c>
      <c r="AF109" s="17">
        <f t="shared" si="87"/>
        <v>0</v>
      </c>
      <c r="AH109" s="1">
        <f t="shared" si="93"/>
        <v>45006</v>
      </c>
      <c r="AI109" s="44">
        <v>1024.9442496774193</v>
      </c>
      <c r="AJ109" s="44">
        <v>189.38607516129034</v>
      </c>
      <c r="AK109" s="44"/>
      <c r="AL109" s="44">
        <v>75.348871290322577</v>
      </c>
      <c r="AM109" s="44">
        <f t="shared" si="82"/>
        <v>1289.6791961290323</v>
      </c>
      <c r="AN109" s="17">
        <f t="shared" si="88"/>
        <v>0</v>
      </c>
      <c r="AO109" s="17"/>
      <c r="AP109" s="1">
        <f t="shared" si="94"/>
        <v>45371</v>
      </c>
      <c r="AQ109" s="44">
        <v>1098.127</v>
      </c>
      <c r="AR109" s="44">
        <v>238.72251739999999</v>
      </c>
      <c r="AS109" s="44"/>
      <c r="AT109" s="44">
        <v>73.596103225806445</v>
      </c>
      <c r="AU109" s="44">
        <f t="shared" si="83"/>
        <v>1410.4456206258064</v>
      </c>
      <c r="AV109" s="17">
        <f t="shared" si="89"/>
        <v>0</v>
      </c>
      <c r="AW109" s="17"/>
      <c r="AX109" s="1">
        <f t="shared" si="95"/>
        <v>45737</v>
      </c>
      <c r="AY109" s="44">
        <v>1036.1969999999999</v>
      </c>
      <c r="AZ109" s="44">
        <v>243.93588779999999</v>
      </c>
      <c r="BA109" s="44"/>
      <c r="BB109" s="44">
        <v>74.315375483870966</v>
      </c>
      <c r="BC109" s="44">
        <f t="shared" si="84"/>
        <v>1354.4482632838708</v>
      </c>
      <c r="BD109" s="17">
        <f t="shared" si="90"/>
        <v>0</v>
      </c>
    </row>
    <row r="110" spans="1:56" x14ac:dyDescent="0.3">
      <c r="A110" s="17"/>
      <c r="B110" s="1">
        <v>43546</v>
      </c>
      <c r="C110" s="36">
        <v>761</v>
      </c>
      <c r="D110" s="36">
        <v>142</v>
      </c>
      <c r="E110" s="36"/>
      <c r="F110" s="36">
        <v>53</v>
      </c>
      <c r="G110" s="7">
        <f t="shared" si="78"/>
        <v>956</v>
      </c>
      <c r="H110" s="17">
        <f t="shared" si="77"/>
        <v>0</v>
      </c>
      <c r="J110" s="1">
        <v>43911</v>
      </c>
      <c r="K110" s="46">
        <v>879.50199999999995</v>
      </c>
      <c r="L110" s="101">
        <v>151.059</v>
      </c>
      <c r="M110" s="46"/>
      <c r="N110" s="46">
        <v>60.883000000000003</v>
      </c>
      <c r="O110" s="7">
        <f t="shared" si="79"/>
        <v>1091.444</v>
      </c>
      <c r="P110" s="17">
        <f t="shared" si="85"/>
        <v>0</v>
      </c>
      <c r="R110" s="1">
        <f t="shared" si="91"/>
        <v>44277</v>
      </c>
      <c r="S110" s="62">
        <v>698.22080913978493</v>
      </c>
      <c r="T110" s="44">
        <v>134.50478516129033</v>
      </c>
      <c r="U110" s="36"/>
      <c r="V110" s="46">
        <v>61.93451870967742</v>
      </c>
      <c r="W110" s="7">
        <f t="shared" si="80"/>
        <v>894.66011301075264</v>
      </c>
      <c r="X110" s="17">
        <f t="shared" si="86"/>
        <v>0</v>
      </c>
      <c r="Y110" s="17"/>
      <c r="Z110" s="1">
        <f t="shared" si="92"/>
        <v>44642</v>
      </c>
      <c r="AA110" s="101">
        <v>930.19857526881719</v>
      </c>
      <c r="AB110" s="101">
        <v>183.41493032258066</v>
      </c>
      <c r="AC110" s="101"/>
      <c r="AD110" s="101">
        <v>62.734797419354841</v>
      </c>
      <c r="AE110" s="101">
        <f t="shared" si="81"/>
        <v>1176.3483030107527</v>
      </c>
      <c r="AF110" s="17">
        <f t="shared" si="87"/>
        <v>0</v>
      </c>
      <c r="AH110" s="1">
        <f t="shared" si="93"/>
        <v>45007</v>
      </c>
      <c r="AI110" s="44">
        <v>1013.1314879569893</v>
      </c>
      <c r="AJ110" s="44">
        <v>191.85698387096775</v>
      </c>
      <c r="AK110" s="44"/>
      <c r="AL110" s="44">
        <v>74.927370967741936</v>
      </c>
      <c r="AM110" s="44">
        <f t="shared" si="82"/>
        <v>1279.9158427956991</v>
      </c>
      <c r="AN110" s="17">
        <f t="shared" si="88"/>
        <v>0</v>
      </c>
      <c r="AO110" s="17"/>
      <c r="AP110" s="1">
        <f t="shared" si="94"/>
        <v>45372</v>
      </c>
      <c r="AQ110" s="44">
        <v>970.36300000000006</v>
      </c>
      <c r="AR110" s="44">
        <v>215.52882399999999</v>
      </c>
      <c r="AS110" s="44"/>
      <c r="AT110" s="44">
        <v>68.189626881720429</v>
      </c>
      <c r="AU110" s="44">
        <f t="shared" si="83"/>
        <v>1254.0814508817205</v>
      </c>
      <c r="AV110" s="17">
        <f t="shared" si="89"/>
        <v>0</v>
      </c>
      <c r="AW110" s="17"/>
      <c r="AX110" s="1">
        <f t="shared" si="95"/>
        <v>45738</v>
      </c>
      <c r="AY110" s="44">
        <v>930.44</v>
      </c>
      <c r="AZ110" s="44">
        <v>217.15546900000001</v>
      </c>
      <c r="BA110" s="44"/>
      <c r="BB110" s="44">
        <v>72.737885591397855</v>
      </c>
      <c r="BC110" s="44">
        <f t="shared" si="84"/>
        <v>1220.3333545913979</v>
      </c>
      <c r="BD110" s="17">
        <f t="shared" si="90"/>
        <v>0</v>
      </c>
    </row>
    <row r="111" spans="1:56" x14ac:dyDescent="0.3">
      <c r="A111" s="17"/>
      <c r="B111" s="1">
        <v>43547</v>
      </c>
      <c r="C111" s="36">
        <v>755</v>
      </c>
      <c r="D111" s="36">
        <v>130</v>
      </c>
      <c r="E111" s="36"/>
      <c r="F111" s="36">
        <v>50</v>
      </c>
      <c r="G111" s="7">
        <f t="shared" si="78"/>
        <v>935</v>
      </c>
      <c r="H111" s="17">
        <f t="shared" si="77"/>
        <v>0</v>
      </c>
      <c r="J111" s="1">
        <v>43912</v>
      </c>
      <c r="K111" s="46">
        <v>731.61199999999997</v>
      </c>
      <c r="L111" s="101">
        <v>137.01</v>
      </c>
      <c r="M111" s="46"/>
      <c r="N111" s="46">
        <v>52.307000000000002</v>
      </c>
      <c r="O111" s="7">
        <f t="shared" si="79"/>
        <v>920.92899999999997</v>
      </c>
      <c r="P111" s="17">
        <f t="shared" si="85"/>
        <v>0</v>
      </c>
      <c r="R111" s="1">
        <f t="shared" si="91"/>
        <v>44278</v>
      </c>
      <c r="S111" s="62">
        <v>814.90527258064515</v>
      </c>
      <c r="T111" s="44">
        <v>155.48549204301077</v>
      </c>
      <c r="U111" s="36"/>
      <c r="V111" s="46">
        <v>65.203694193548387</v>
      </c>
      <c r="W111" s="7">
        <f t="shared" si="80"/>
        <v>1035.5944588172044</v>
      </c>
      <c r="X111" s="17">
        <f t="shared" si="86"/>
        <v>0</v>
      </c>
      <c r="Y111" s="17"/>
      <c r="Z111" s="1">
        <f t="shared" si="92"/>
        <v>44643</v>
      </c>
      <c r="AA111" s="101">
        <v>1033.1773204301076</v>
      </c>
      <c r="AB111" s="101">
        <v>191.49908967741936</v>
      </c>
      <c r="AC111" s="101"/>
      <c r="AD111" s="101">
        <v>69.717251612903226</v>
      </c>
      <c r="AE111" s="101">
        <f t="shared" si="81"/>
        <v>1294.3936617204301</v>
      </c>
      <c r="AF111" s="17">
        <f t="shared" si="87"/>
        <v>0</v>
      </c>
      <c r="AH111" s="1">
        <f t="shared" si="93"/>
        <v>45008</v>
      </c>
      <c r="AI111" s="44">
        <v>1049.5522896774194</v>
      </c>
      <c r="AJ111" s="44">
        <v>205.6044265591398</v>
      </c>
      <c r="AK111" s="44"/>
      <c r="AL111" s="44">
        <v>78.999345806451615</v>
      </c>
      <c r="AM111" s="44">
        <f t="shared" si="82"/>
        <v>1334.1560620430107</v>
      </c>
      <c r="AN111" s="17">
        <f t="shared" si="88"/>
        <v>0</v>
      </c>
      <c r="AO111" s="17"/>
      <c r="AP111" s="1">
        <f t="shared" si="94"/>
        <v>45373</v>
      </c>
      <c r="AQ111" s="44">
        <v>890.12300000000005</v>
      </c>
      <c r="AR111" s="44">
        <v>198.4549336</v>
      </c>
      <c r="AS111" s="44"/>
      <c r="AT111" s="44">
        <v>58.801753763440857</v>
      </c>
      <c r="AU111" s="44">
        <f t="shared" si="83"/>
        <v>1147.379687363441</v>
      </c>
      <c r="AV111" s="17">
        <f t="shared" si="89"/>
        <v>0</v>
      </c>
      <c r="AW111" s="17"/>
      <c r="AX111" s="1">
        <f t="shared" si="95"/>
        <v>45739</v>
      </c>
      <c r="AY111" s="44">
        <v>831.20299999999997</v>
      </c>
      <c r="AZ111" s="44">
        <v>195.7055091</v>
      </c>
      <c r="BA111" s="44"/>
      <c r="BB111" s="44">
        <v>61.124483010752691</v>
      </c>
      <c r="BC111" s="44">
        <f t="shared" si="84"/>
        <v>1088.0329921107527</v>
      </c>
      <c r="BD111" s="17">
        <f t="shared" si="90"/>
        <v>0</v>
      </c>
    </row>
    <row r="112" spans="1:56" x14ac:dyDescent="0.3">
      <c r="A112" s="17"/>
      <c r="B112" s="1">
        <v>43548</v>
      </c>
      <c r="C112" s="36">
        <v>729</v>
      </c>
      <c r="D112" s="36">
        <v>125</v>
      </c>
      <c r="E112" s="36"/>
      <c r="F112" s="36">
        <v>49</v>
      </c>
      <c r="G112" s="7">
        <f t="shared" si="78"/>
        <v>903</v>
      </c>
      <c r="H112" s="17">
        <f t="shared" si="77"/>
        <v>0</v>
      </c>
      <c r="J112" s="1">
        <v>43913</v>
      </c>
      <c r="K112" s="46">
        <v>707.12699999999995</v>
      </c>
      <c r="L112" s="101">
        <v>128.09</v>
      </c>
      <c r="M112" s="46"/>
      <c r="N112" s="46">
        <v>54.244999999999997</v>
      </c>
      <c r="O112" s="7">
        <f t="shared" si="79"/>
        <v>889.46199999999999</v>
      </c>
      <c r="P112" s="17">
        <f t="shared" si="85"/>
        <v>0</v>
      </c>
      <c r="R112" s="1">
        <f t="shared" si="91"/>
        <v>44279</v>
      </c>
      <c r="S112" s="62">
        <v>882.29308602150536</v>
      </c>
      <c r="T112" s="44">
        <v>180.9130329032258</v>
      </c>
      <c r="U112" s="36"/>
      <c r="V112" s="46">
        <v>77.574132903225802</v>
      </c>
      <c r="W112" s="7">
        <f t="shared" si="80"/>
        <v>1140.7802518279568</v>
      </c>
      <c r="X112" s="17">
        <f t="shared" si="86"/>
        <v>0</v>
      </c>
      <c r="Y112" s="17"/>
      <c r="Z112" s="1">
        <f t="shared" si="92"/>
        <v>44644</v>
      </c>
      <c r="AA112" s="101">
        <v>937.90078172043013</v>
      </c>
      <c r="AB112" s="101">
        <v>178.21278043010753</v>
      </c>
      <c r="AC112" s="101"/>
      <c r="AD112" s="101">
        <v>66.907318064516133</v>
      </c>
      <c r="AE112" s="101">
        <f t="shared" si="81"/>
        <v>1183.0208802150539</v>
      </c>
      <c r="AF112" s="17">
        <f t="shared" si="87"/>
        <v>0</v>
      </c>
      <c r="AH112" s="1">
        <f t="shared" si="93"/>
        <v>45009</v>
      </c>
      <c r="AI112" s="44">
        <v>1027.4713068817205</v>
      </c>
      <c r="AJ112" s="44">
        <v>205.65468580645162</v>
      </c>
      <c r="AK112" s="44"/>
      <c r="AL112" s="44">
        <v>78.447819677419361</v>
      </c>
      <c r="AM112" s="44">
        <f t="shared" si="82"/>
        <v>1311.5738123655915</v>
      </c>
      <c r="AN112" s="17">
        <f t="shared" si="88"/>
        <v>0</v>
      </c>
      <c r="AO112" s="17"/>
      <c r="AP112" s="1">
        <f t="shared" si="94"/>
        <v>45374</v>
      </c>
      <c r="AQ112" s="44">
        <v>850.01099999999997</v>
      </c>
      <c r="AR112" s="44">
        <v>195.11080079999999</v>
      </c>
      <c r="AS112" s="44"/>
      <c r="AT112" s="44">
        <v>60.710111827956986</v>
      </c>
      <c r="AU112" s="44">
        <f t="shared" si="83"/>
        <v>1105.8319126279571</v>
      </c>
      <c r="AV112" s="17">
        <f t="shared" si="89"/>
        <v>0</v>
      </c>
      <c r="AW112" s="17"/>
      <c r="AX112" s="1">
        <f t="shared" si="95"/>
        <v>45740</v>
      </c>
      <c r="AY112" s="44">
        <v>830.62</v>
      </c>
      <c r="AZ112" s="44">
        <v>187.82203860000001</v>
      </c>
      <c r="BA112" s="44"/>
      <c r="BB112" s="44">
        <v>69.053103225806453</v>
      </c>
      <c r="BC112" s="44">
        <f t="shared" si="84"/>
        <v>1087.4951418258065</v>
      </c>
      <c r="BD112" s="17">
        <f t="shared" si="90"/>
        <v>0</v>
      </c>
    </row>
    <row r="113" spans="1:56" x14ac:dyDescent="0.3">
      <c r="A113" s="17"/>
      <c r="B113" s="1">
        <v>43549</v>
      </c>
      <c r="C113" s="36">
        <v>905</v>
      </c>
      <c r="D113" s="36">
        <v>138</v>
      </c>
      <c r="E113" s="36"/>
      <c r="F113" s="36">
        <v>57</v>
      </c>
      <c r="G113" s="7">
        <f t="shared" si="78"/>
        <v>1100</v>
      </c>
      <c r="H113" s="17">
        <f t="shared" si="77"/>
        <v>0</v>
      </c>
      <c r="J113" s="1">
        <v>43914</v>
      </c>
      <c r="K113" s="46">
        <v>846.96500000000003</v>
      </c>
      <c r="L113" s="101">
        <v>142.87200000000001</v>
      </c>
      <c r="M113" s="46"/>
      <c r="N113" s="46">
        <v>60.29</v>
      </c>
      <c r="O113" s="7">
        <f t="shared" si="79"/>
        <v>1050.127</v>
      </c>
      <c r="P113" s="17">
        <f t="shared" si="85"/>
        <v>0</v>
      </c>
      <c r="R113" s="1">
        <f t="shared" si="91"/>
        <v>44280</v>
      </c>
      <c r="S113" s="62">
        <v>869.57553548387102</v>
      </c>
      <c r="T113" s="44">
        <v>158.03499634408601</v>
      </c>
      <c r="U113" s="36"/>
      <c r="V113" s="46">
        <v>73.799090967741932</v>
      </c>
      <c r="W113" s="7">
        <f t="shared" si="80"/>
        <v>1101.4096227956989</v>
      </c>
      <c r="X113" s="17">
        <f t="shared" si="86"/>
        <v>0</v>
      </c>
      <c r="Y113" s="17"/>
      <c r="Z113" s="1">
        <f t="shared" si="92"/>
        <v>44645</v>
      </c>
      <c r="AA113" s="101">
        <v>900.25405376344088</v>
      </c>
      <c r="AB113" s="101">
        <v>161.58391333333333</v>
      </c>
      <c r="AC113" s="101"/>
      <c r="AD113" s="101">
        <v>64.685335483870972</v>
      </c>
      <c r="AE113" s="101">
        <f t="shared" si="81"/>
        <v>1126.5233025806451</v>
      </c>
      <c r="AF113" s="17">
        <f t="shared" si="87"/>
        <v>0</v>
      </c>
      <c r="AH113" s="1">
        <f t="shared" si="93"/>
        <v>45010</v>
      </c>
      <c r="AI113" s="44">
        <v>910.76310817204296</v>
      </c>
      <c r="AJ113" s="44">
        <v>211.87965258064517</v>
      </c>
      <c r="AK113" s="44"/>
      <c r="AL113" s="44">
        <v>77.220159354838714</v>
      </c>
      <c r="AM113" s="44">
        <f t="shared" si="82"/>
        <v>1199.8629201075269</v>
      </c>
      <c r="AN113" s="17">
        <f t="shared" si="88"/>
        <v>0</v>
      </c>
      <c r="AO113" s="17"/>
      <c r="AP113" s="1">
        <f t="shared" si="94"/>
        <v>45375</v>
      </c>
      <c r="AQ113" s="44">
        <v>753.24400000000003</v>
      </c>
      <c r="AR113" s="44">
        <v>164.281497</v>
      </c>
      <c r="AS113" s="44"/>
      <c r="AT113" s="44">
        <v>47.012556989247315</v>
      </c>
      <c r="AU113" s="44">
        <f t="shared" si="83"/>
        <v>964.53805398924737</v>
      </c>
      <c r="AV113" s="17">
        <f t="shared" si="89"/>
        <v>0</v>
      </c>
      <c r="AW113" s="17"/>
      <c r="AX113" s="1">
        <f t="shared" si="95"/>
        <v>45741</v>
      </c>
      <c r="AY113" s="44">
        <v>759.85900000000004</v>
      </c>
      <c r="AZ113" s="44">
        <v>174.6455416</v>
      </c>
      <c r="BA113" s="44"/>
      <c r="BB113" s="44">
        <v>68.341282580645156</v>
      </c>
      <c r="BC113" s="44">
        <f t="shared" si="84"/>
        <v>1002.8458241806452</v>
      </c>
      <c r="BD113" s="17">
        <f t="shared" si="90"/>
        <v>0</v>
      </c>
    </row>
    <row r="114" spans="1:56" x14ac:dyDescent="0.3">
      <c r="A114" s="17"/>
      <c r="B114" s="1">
        <v>43550</v>
      </c>
      <c r="C114" s="36">
        <v>924</v>
      </c>
      <c r="D114" s="36">
        <v>139</v>
      </c>
      <c r="E114" s="36"/>
      <c r="F114" s="36">
        <v>58</v>
      </c>
      <c r="G114" s="7">
        <f t="shared" si="78"/>
        <v>1121</v>
      </c>
      <c r="H114" s="17">
        <f t="shared" si="77"/>
        <v>0</v>
      </c>
      <c r="J114" s="1">
        <v>43915</v>
      </c>
      <c r="K114" s="46">
        <v>756.09699999999998</v>
      </c>
      <c r="L114" s="101">
        <v>128.98500000000001</v>
      </c>
      <c r="M114" s="46"/>
      <c r="N114" s="46">
        <v>61.496000000000002</v>
      </c>
      <c r="O114" s="7">
        <f t="shared" si="79"/>
        <v>946.57799999999997</v>
      </c>
      <c r="P114" s="17">
        <f t="shared" si="85"/>
        <v>0</v>
      </c>
      <c r="R114" s="1">
        <f t="shared" si="91"/>
        <v>44281</v>
      </c>
      <c r="S114" s="62">
        <v>882.04627473118285</v>
      </c>
      <c r="T114" s="44">
        <v>151.23389505376343</v>
      </c>
      <c r="U114" s="36"/>
      <c r="V114" s="46">
        <v>74.650506451612898</v>
      </c>
      <c r="W114" s="7">
        <f t="shared" si="80"/>
        <v>1107.9306762365593</v>
      </c>
      <c r="X114" s="17">
        <f t="shared" si="86"/>
        <v>0</v>
      </c>
      <c r="Y114" s="17"/>
      <c r="Z114" s="1">
        <f t="shared" si="92"/>
        <v>44646</v>
      </c>
      <c r="AA114" s="101">
        <v>821.31153978494626</v>
      </c>
      <c r="AB114" s="101">
        <v>161.27790451612904</v>
      </c>
      <c r="AC114" s="101"/>
      <c r="AD114" s="101">
        <v>58.948521935483868</v>
      </c>
      <c r="AE114" s="101">
        <f t="shared" si="81"/>
        <v>1041.5379662365592</v>
      </c>
      <c r="AF114" s="17">
        <f t="shared" si="87"/>
        <v>0</v>
      </c>
      <c r="AH114" s="1">
        <f t="shared" si="93"/>
        <v>45011</v>
      </c>
      <c r="AI114" s="44">
        <v>984.30826731182799</v>
      </c>
      <c r="AJ114" s="44">
        <v>190.53383225806451</v>
      </c>
      <c r="AK114" s="44"/>
      <c r="AL114" s="44">
        <v>66.306659999999994</v>
      </c>
      <c r="AM114" s="44">
        <f t="shared" si="82"/>
        <v>1241.1487595698925</v>
      </c>
      <c r="AN114" s="17">
        <f t="shared" si="88"/>
        <v>0</v>
      </c>
      <c r="AO114" s="17"/>
      <c r="AP114" s="1">
        <f t="shared" si="94"/>
        <v>45376</v>
      </c>
      <c r="AQ114" s="44">
        <v>878.06299999999999</v>
      </c>
      <c r="AR114" s="44">
        <v>168.22574639999999</v>
      </c>
      <c r="AS114" s="44"/>
      <c r="AT114" s="44">
        <v>56.661981720430106</v>
      </c>
      <c r="AU114" s="44">
        <f t="shared" si="83"/>
        <v>1102.9507281204301</v>
      </c>
      <c r="AV114" s="17">
        <f t="shared" si="89"/>
        <v>0</v>
      </c>
      <c r="AW114" s="17"/>
      <c r="AX114" s="1">
        <f t="shared" si="95"/>
        <v>45742</v>
      </c>
      <c r="AY114" s="44">
        <v>825.57799999999997</v>
      </c>
      <c r="AZ114" s="44">
        <v>199.18472600000001</v>
      </c>
      <c r="BA114" s="44"/>
      <c r="BB114" s="44">
        <v>65.466913978494617</v>
      </c>
      <c r="BC114" s="44">
        <f t="shared" si="84"/>
        <v>1090.2296399784946</v>
      </c>
      <c r="BD114" s="17">
        <f t="shared" si="90"/>
        <v>0</v>
      </c>
    </row>
    <row r="115" spans="1:56" x14ac:dyDescent="0.3">
      <c r="A115" s="17"/>
      <c r="B115" s="1">
        <v>43551</v>
      </c>
      <c r="C115" s="36">
        <v>874</v>
      </c>
      <c r="D115" s="36">
        <v>149</v>
      </c>
      <c r="E115" s="36"/>
      <c r="F115" s="36">
        <v>57</v>
      </c>
      <c r="G115" s="7">
        <f t="shared" si="78"/>
        <v>1080</v>
      </c>
      <c r="H115" s="17">
        <f t="shared" si="77"/>
        <v>0</v>
      </c>
      <c r="J115" s="1">
        <v>43916</v>
      </c>
      <c r="K115" s="46">
        <v>820.24800000000005</v>
      </c>
      <c r="L115" s="101">
        <v>134.786</v>
      </c>
      <c r="M115" s="46"/>
      <c r="N115" s="46">
        <v>60.951000000000001</v>
      </c>
      <c r="O115" s="7">
        <f t="shared" si="79"/>
        <v>1015.9850000000001</v>
      </c>
      <c r="P115" s="17">
        <f t="shared" si="85"/>
        <v>0</v>
      </c>
      <c r="R115" s="1">
        <f t="shared" si="91"/>
        <v>44282</v>
      </c>
      <c r="S115" s="62">
        <v>785.55555698924729</v>
      </c>
      <c r="T115" s="44">
        <v>143.4213</v>
      </c>
      <c r="U115" s="36"/>
      <c r="V115" s="46">
        <v>68.735010322580649</v>
      </c>
      <c r="W115" s="7">
        <f t="shared" si="80"/>
        <v>997.71186731182797</v>
      </c>
      <c r="X115" s="17">
        <f t="shared" si="86"/>
        <v>0</v>
      </c>
      <c r="Y115" s="17"/>
      <c r="Z115" s="1">
        <f t="shared" si="92"/>
        <v>44647</v>
      </c>
      <c r="AA115" s="101">
        <v>830.10560645161286</v>
      </c>
      <c r="AB115" s="101">
        <v>167.2721976344086</v>
      </c>
      <c r="AC115" s="101"/>
      <c r="AD115" s="101">
        <v>58.812263225806454</v>
      </c>
      <c r="AE115" s="101">
        <f t="shared" si="81"/>
        <v>1056.190067311828</v>
      </c>
      <c r="AF115" s="17">
        <f t="shared" si="87"/>
        <v>0</v>
      </c>
      <c r="AH115" s="1">
        <f t="shared" si="93"/>
        <v>45012</v>
      </c>
      <c r="AI115" s="44">
        <v>1226.8483258064516</v>
      </c>
      <c r="AJ115" s="44">
        <v>210.17699236559139</v>
      </c>
      <c r="AK115" s="44"/>
      <c r="AL115" s="44">
        <v>77.815027419354834</v>
      </c>
      <c r="AM115" s="44">
        <f t="shared" si="82"/>
        <v>1514.8403455913979</v>
      </c>
      <c r="AN115" s="17">
        <f t="shared" si="88"/>
        <v>1</v>
      </c>
      <c r="AO115" s="17"/>
      <c r="AP115" s="1">
        <f t="shared" si="94"/>
        <v>45377</v>
      </c>
      <c r="AQ115" s="44">
        <v>826.46299999999997</v>
      </c>
      <c r="AR115" s="44">
        <v>170.42115089999999</v>
      </c>
      <c r="AS115" s="44"/>
      <c r="AT115" s="44">
        <v>60.995343010752691</v>
      </c>
      <c r="AU115" s="44">
        <f t="shared" si="83"/>
        <v>1057.8794939107527</v>
      </c>
      <c r="AV115" s="17">
        <f t="shared" si="89"/>
        <v>0</v>
      </c>
      <c r="AW115" s="17"/>
      <c r="AX115" s="1">
        <f t="shared" si="95"/>
        <v>45743</v>
      </c>
      <c r="AY115" s="44">
        <v>849.23500000000001</v>
      </c>
      <c r="AZ115" s="44">
        <v>201.255529</v>
      </c>
      <c r="BA115" s="44"/>
      <c r="BB115" s="44">
        <v>69.140861935483869</v>
      </c>
      <c r="BC115" s="44">
        <f t="shared" si="84"/>
        <v>1119.6313909354838</v>
      </c>
      <c r="BD115" s="17">
        <f t="shared" si="90"/>
        <v>0</v>
      </c>
    </row>
    <row r="116" spans="1:56" x14ac:dyDescent="0.3">
      <c r="A116" s="17"/>
      <c r="B116" s="1">
        <v>43552</v>
      </c>
      <c r="C116" s="36">
        <v>875</v>
      </c>
      <c r="D116" s="36">
        <v>127</v>
      </c>
      <c r="E116" s="36"/>
      <c r="F116" s="36">
        <v>63</v>
      </c>
      <c r="G116" s="7">
        <f t="shared" si="78"/>
        <v>1065</v>
      </c>
      <c r="H116" s="17">
        <f t="shared" si="77"/>
        <v>0</v>
      </c>
      <c r="J116" s="1">
        <v>43917</v>
      </c>
      <c r="K116" s="46">
        <v>859.91300000000001</v>
      </c>
      <c r="L116" s="101">
        <v>149.26499999999999</v>
      </c>
      <c r="M116" s="46"/>
      <c r="N116" s="46">
        <v>62.466000000000001</v>
      </c>
      <c r="O116" s="7">
        <f t="shared" si="79"/>
        <v>1071.644</v>
      </c>
      <c r="P116" s="17">
        <f t="shared" si="85"/>
        <v>0</v>
      </c>
      <c r="R116" s="1">
        <f t="shared" si="91"/>
        <v>44283</v>
      </c>
      <c r="S116" s="62">
        <v>755.48519408602147</v>
      </c>
      <c r="T116" s="44">
        <v>135.05622580645161</v>
      </c>
      <c r="U116" s="36"/>
      <c r="V116" s="46">
        <v>58.090150322580648</v>
      </c>
      <c r="W116" s="7">
        <f t="shared" si="80"/>
        <v>948.63157021505367</v>
      </c>
      <c r="X116" s="17">
        <f t="shared" si="86"/>
        <v>0</v>
      </c>
      <c r="Y116" s="17"/>
      <c r="Z116" s="1">
        <f t="shared" si="92"/>
        <v>44648</v>
      </c>
      <c r="AA116" s="101">
        <v>1039.3692903225806</v>
      </c>
      <c r="AB116" s="101">
        <v>190.07036623655915</v>
      </c>
      <c r="AC116" s="101"/>
      <c r="AD116" s="101">
        <v>65.56297032258064</v>
      </c>
      <c r="AE116" s="101">
        <f t="shared" si="81"/>
        <v>1295.0026268817203</v>
      </c>
      <c r="AF116" s="17">
        <f t="shared" si="87"/>
        <v>0</v>
      </c>
      <c r="AH116" s="1">
        <f t="shared" si="93"/>
        <v>45013</v>
      </c>
      <c r="AI116" s="44">
        <v>1239.3041333333333</v>
      </c>
      <c r="AJ116" s="44">
        <v>230.92995870967741</v>
      </c>
      <c r="AK116" s="44"/>
      <c r="AL116" s="44">
        <v>79.871602258064513</v>
      </c>
      <c r="AM116" s="44">
        <f t="shared" si="82"/>
        <v>1550.1056943010751</v>
      </c>
      <c r="AN116" s="17">
        <f t="shared" si="88"/>
        <v>1</v>
      </c>
      <c r="AO116" s="17"/>
      <c r="AP116" s="1">
        <f t="shared" si="94"/>
        <v>45378</v>
      </c>
      <c r="AQ116" s="44">
        <v>1016.374</v>
      </c>
      <c r="AR116" s="44">
        <v>192.2004</v>
      </c>
      <c r="AS116" s="44"/>
      <c r="AT116" s="44">
        <v>69.852578494623657</v>
      </c>
      <c r="AU116" s="44">
        <f t="shared" si="83"/>
        <v>1278.4269784946237</v>
      </c>
      <c r="AV116" s="17">
        <f t="shared" si="89"/>
        <v>0</v>
      </c>
      <c r="AW116" s="17"/>
      <c r="AX116" s="1">
        <f t="shared" si="95"/>
        <v>45744</v>
      </c>
      <c r="AY116" s="44">
        <v>925.48800000000006</v>
      </c>
      <c r="AZ116" s="44">
        <v>210.58379819999999</v>
      </c>
      <c r="BA116" s="44"/>
      <c r="BB116" s="44">
        <v>72.121407741935485</v>
      </c>
      <c r="BC116" s="44">
        <f t="shared" si="84"/>
        <v>1208.1932059419355</v>
      </c>
      <c r="BD116" s="17">
        <f t="shared" si="90"/>
        <v>0</v>
      </c>
    </row>
    <row r="117" spans="1:56" x14ac:dyDescent="0.3">
      <c r="A117" s="17"/>
      <c r="B117" s="1">
        <v>43553</v>
      </c>
      <c r="C117" s="36">
        <v>818</v>
      </c>
      <c r="D117" s="36">
        <v>123</v>
      </c>
      <c r="E117" s="36"/>
      <c r="F117" s="36">
        <v>59</v>
      </c>
      <c r="G117" s="7">
        <f t="shared" si="78"/>
        <v>1000</v>
      </c>
      <c r="H117" s="17">
        <f t="shared" si="77"/>
        <v>0</v>
      </c>
      <c r="J117" s="1">
        <v>43918</v>
      </c>
      <c r="K117" s="46">
        <v>819.26900000000001</v>
      </c>
      <c r="L117" s="101">
        <v>144.43600000000001</v>
      </c>
      <c r="M117" s="46"/>
      <c r="N117" s="46">
        <v>58.021999999999998</v>
      </c>
      <c r="O117" s="7">
        <f t="shared" si="79"/>
        <v>1021.7270000000001</v>
      </c>
      <c r="P117" s="17">
        <f t="shared" si="85"/>
        <v>0</v>
      </c>
      <c r="R117" s="1">
        <f t="shared" si="91"/>
        <v>44284</v>
      </c>
      <c r="S117" s="62">
        <v>922.60143118279575</v>
      </c>
      <c r="T117" s="44">
        <v>160.55646129032257</v>
      </c>
      <c r="U117" s="36"/>
      <c r="V117" s="46">
        <v>68.234560000000002</v>
      </c>
      <c r="W117" s="7">
        <f t="shared" si="80"/>
        <v>1151.3924524731185</v>
      </c>
      <c r="X117" s="17">
        <f t="shared" si="86"/>
        <v>0</v>
      </c>
      <c r="Y117" s="17"/>
      <c r="Z117" s="1">
        <f t="shared" si="92"/>
        <v>44649</v>
      </c>
      <c r="AA117" s="101">
        <v>1112.0830989247311</v>
      </c>
      <c r="AB117" s="101">
        <v>207.5538064516129</v>
      </c>
      <c r="AC117" s="101"/>
      <c r="AD117" s="101">
        <v>73.633348387096774</v>
      </c>
      <c r="AE117" s="101">
        <f t="shared" si="81"/>
        <v>1393.2702537634407</v>
      </c>
      <c r="AF117" s="17">
        <f t="shared" si="87"/>
        <v>0</v>
      </c>
      <c r="AH117" s="1">
        <f t="shared" si="93"/>
        <v>45014</v>
      </c>
      <c r="AI117" s="44">
        <v>1209.1086713978495</v>
      </c>
      <c r="AJ117" s="44">
        <v>250.14027387096775</v>
      </c>
      <c r="AK117" s="44"/>
      <c r="AL117" s="44">
        <v>83.091908064516133</v>
      </c>
      <c r="AM117" s="44">
        <f t="shared" si="82"/>
        <v>1542.3408533333336</v>
      </c>
      <c r="AN117" s="17">
        <f t="shared" si="88"/>
        <v>1</v>
      </c>
      <c r="AO117" s="17"/>
      <c r="AP117" s="1">
        <f t="shared" si="94"/>
        <v>45379</v>
      </c>
      <c r="AQ117" s="44">
        <v>961.98500000000001</v>
      </c>
      <c r="AR117" s="44">
        <v>184.42641330000001</v>
      </c>
      <c r="AS117" s="44"/>
      <c r="AT117" s="44">
        <v>64.549431182795701</v>
      </c>
      <c r="AU117" s="44">
        <f t="shared" si="83"/>
        <v>1210.9608444827957</v>
      </c>
      <c r="AV117" s="17">
        <f t="shared" si="89"/>
        <v>0</v>
      </c>
      <c r="AW117" s="17"/>
      <c r="AX117" s="1">
        <f t="shared" si="95"/>
        <v>45745</v>
      </c>
      <c r="AY117" s="44">
        <v>959.53099999999995</v>
      </c>
      <c r="AZ117" s="44">
        <v>222.73801399999999</v>
      </c>
      <c r="BA117" s="44"/>
      <c r="BB117" s="44">
        <v>68.152763870967746</v>
      </c>
      <c r="BC117" s="44">
        <f t="shared" si="84"/>
        <v>1250.4217778709676</v>
      </c>
      <c r="BD117" s="17">
        <f t="shared" si="90"/>
        <v>0</v>
      </c>
    </row>
    <row r="118" spans="1:56" ht="13.5" customHeight="1" x14ac:dyDescent="0.3">
      <c r="A118" s="17"/>
      <c r="B118" s="1">
        <v>43554</v>
      </c>
      <c r="C118" s="36">
        <v>860</v>
      </c>
      <c r="D118" s="36">
        <v>133</v>
      </c>
      <c r="E118" s="36"/>
      <c r="F118" s="36">
        <v>59</v>
      </c>
      <c r="G118" s="7">
        <f t="shared" si="78"/>
        <v>1052</v>
      </c>
      <c r="H118" s="17">
        <f t="shared" si="77"/>
        <v>0</v>
      </c>
      <c r="J118" s="1">
        <v>43919</v>
      </c>
      <c r="K118" s="46">
        <v>793.31399999999996</v>
      </c>
      <c r="L118" s="101">
        <v>137.36600000000001</v>
      </c>
      <c r="M118" s="46"/>
      <c r="N118" s="46">
        <v>49.186999999999998</v>
      </c>
      <c r="O118" s="7">
        <f t="shared" si="79"/>
        <v>979.86699999999996</v>
      </c>
      <c r="P118" s="17">
        <f t="shared" si="85"/>
        <v>0</v>
      </c>
      <c r="R118" s="1">
        <f t="shared" si="91"/>
        <v>44285</v>
      </c>
      <c r="S118" s="62">
        <v>818.43665268817199</v>
      </c>
      <c r="T118" s="44">
        <v>153.02841376344085</v>
      </c>
      <c r="U118" s="36"/>
      <c r="V118" s="46">
        <v>64.019728387096777</v>
      </c>
      <c r="W118" s="7">
        <f t="shared" si="80"/>
        <v>1035.4847948387096</v>
      </c>
      <c r="X118" s="17">
        <f t="shared" si="86"/>
        <v>0</v>
      </c>
      <c r="Y118" s="17"/>
      <c r="Z118" s="1">
        <f t="shared" si="92"/>
        <v>44650</v>
      </c>
      <c r="AA118" s="101">
        <v>1053.5318397849462</v>
      </c>
      <c r="AB118" s="101">
        <v>203.56238709677419</v>
      </c>
      <c r="AC118" s="101"/>
      <c r="AD118" s="101">
        <v>67.634746451612898</v>
      </c>
      <c r="AE118" s="101">
        <f t="shared" si="81"/>
        <v>1324.7289733333334</v>
      </c>
      <c r="AF118" s="17">
        <f t="shared" si="87"/>
        <v>0</v>
      </c>
      <c r="AH118" s="1">
        <f t="shared" si="93"/>
        <v>45015</v>
      </c>
      <c r="AI118" s="44">
        <v>1125.1896552688172</v>
      </c>
      <c r="AJ118" s="44">
        <v>239.8463594623656</v>
      </c>
      <c r="AK118" s="44"/>
      <c r="AL118" s="44">
        <v>83.89265032258065</v>
      </c>
      <c r="AM118" s="44">
        <f t="shared" si="82"/>
        <v>1448.9286650537636</v>
      </c>
      <c r="AN118" s="17">
        <f t="shared" si="88"/>
        <v>0</v>
      </c>
      <c r="AO118" s="17"/>
      <c r="AP118" s="1">
        <f t="shared" si="94"/>
        <v>45380</v>
      </c>
      <c r="AQ118" s="44">
        <v>1047.9659999999999</v>
      </c>
      <c r="AR118" s="44">
        <v>227.8598216</v>
      </c>
      <c r="AS118" s="44"/>
      <c r="AT118" s="44">
        <v>55.515675268817205</v>
      </c>
      <c r="AU118" s="44">
        <f t="shared" si="83"/>
        <v>1331.3414968688171</v>
      </c>
      <c r="AV118" s="17">
        <f t="shared" si="89"/>
        <v>0</v>
      </c>
      <c r="AW118" s="17"/>
      <c r="AX118" s="1">
        <f t="shared" si="95"/>
        <v>45746</v>
      </c>
      <c r="AY118" s="44">
        <v>1013.774</v>
      </c>
      <c r="AZ118" s="44">
        <v>234.24910080000001</v>
      </c>
      <c r="BA118" s="44"/>
      <c r="BB118" s="44">
        <v>65.635930752688168</v>
      </c>
      <c r="BC118" s="44">
        <f t="shared" si="84"/>
        <v>1313.6590315526882</v>
      </c>
      <c r="BD118" s="17">
        <f t="shared" si="90"/>
        <v>0</v>
      </c>
    </row>
    <row r="119" spans="1:56" x14ac:dyDescent="0.3">
      <c r="A119" s="17"/>
      <c r="B119" s="1">
        <v>43555</v>
      </c>
      <c r="C119" s="36">
        <v>741</v>
      </c>
      <c r="D119" s="36">
        <v>122</v>
      </c>
      <c r="E119" s="36"/>
      <c r="F119" s="36">
        <v>50</v>
      </c>
      <c r="G119" s="7">
        <f t="shared" si="78"/>
        <v>913</v>
      </c>
      <c r="H119" s="17">
        <f t="shared" si="77"/>
        <v>0</v>
      </c>
      <c r="J119" s="1">
        <v>43920</v>
      </c>
      <c r="K119" s="46">
        <v>814.37199999999996</v>
      </c>
      <c r="L119" s="101">
        <v>140.04</v>
      </c>
      <c r="M119" s="46"/>
      <c r="N119" s="46">
        <v>58.716999999999999</v>
      </c>
      <c r="O119" s="7">
        <f t="shared" si="79"/>
        <v>1013.1289999999999</v>
      </c>
      <c r="P119" s="17">
        <f t="shared" si="85"/>
        <v>0</v>
      </c>
      <c r="R119" s="38">
        <f t="shared" si="91"/>
        <v>44286</v>
      </c>
      <c r="S119" s="62">
        <v>885.64013870967744</v>
      </c>
      <c r="T119" s="44">
        <v>171.58008172043012</v>
      </c>
      <c r="U119" s="36"/>
      <c r="V119" s="66">
        <v>67.07009225806452</v>
      </c>
      <c r="W119" s="7">
        <f t="shared" si="80"/>
        <v>1124.290312688172</v>
      </c>
      <c r="X119" s="17">
        <f t="shared" si="86"/>
        <v>0</v>
      </c>
      <c r="Y119" s="17"/>
      <c r="Z119" s="38">
        <f t="shared" si="92"/>
        <v>44651</v>
      </c>
      <c r="AA119" s="101">
        <v>929.17712473118274</v>
      </c>
      <c r="AB119" s="101">
        <v>200.39586107526881</v>
      </c>
      <c r="AC119" s="101"/>
      <c r="AD119" s="101">
        <v>66.969546451612899</v>
      </c>
      <c r="AE119" s="101">
        <f t="shared" si="81"/>
        <v>1196.5425322580643</v>
      </c>
      <c r="AF119" s="17">
        <f t="shared" si="87"/>
        <v>0</v>
      </c>
      <c r="AH119" s="38">
        <f t="shared" si="93"/>
        <v>45016</v>
      </c>
      <c r="AI119" s="44">
        <v>1154.425163655914</v>
      </c>
      <c r="AJ119" s="44">
        <v>231.65205075268818</v>
      </c>
      <c r="AK119" s="44"/>
      <c r="AL119" s="44">
        <v>80.896639032258065</v>
      </c>
      <c r="AM119" s="44">
        <f t="shared" si="82"/>
        <v>1466.9738534408602</v>
      </c>
      <c r="AN119" s="17">
        <f t="shared" si="88"/>
        <v>0</v>
      </c>
      <c r="AO119" s="17"/>
      <c r="AP119" s="51">
        <f t="shared" si="94"/>
        <v>45381</v>
      </c>
      <c r="AQ119" s="44">
        <v>1000.04</v>
      </c>
      <c r="AR119" s="44">
        <v>231.6815292</v>
      </c>
      <c r="AS119" s="44"/>
      <c r="AT119" s="44">
        <v>52.984113978494626</v>
      </c>
      <c r="AU119" s="44">
        <f t="shared" si="83"/>
        <v>1284.7056431784947</v>
      </c>
      <c r="AV119" s="17">
        <f t="shared" si="89"/>
        <v>0</v>
      </c>
      <c r="AW119" s="17"/>
      <c r="AX119" s="38">
        <f t="shared" si="95"/>
        <v>45747</v>
      </c>
      <c r="AY119" s="44">
        <v>1128.9449999999999</v>
      </c>
      <c r="AZ119" s="44">
        <v>259.75019120000002</v>
      </c>
      <c r="BA119" s="44"/>
      <c r="BB119" s="44">
        <v>76.773702795698924</v>
      </c>
      <c r="BC119" s="44">
        <f t="shared" si="84"/>
        <v>1465.4688939956989</v>
      </c>
      <c r="BD119" s="17">
        <f t="shared" si="90"/>
        <v>0</v>
      </c>
    </row>
    <row r="120" spans="1:56" x14ac:dyDescent="0.3">
      <c r="A120" s="17"/>
      <c r="B120" s="1">
        <v>43556</v>
      </c>
      <c r="C120" s="36">
        <v>871</v>
      </c>
      <c r="D120" s="36">
        <v>135.50399999999999</v>
      </c>
      <c r="E120" s="36"/>
      <c r="F120" s="36">
        <v>56</v>
      </c>
      <c r="G120" s="7">
        <f t="shared" si="78"/>
        <v>1062.5039999999999</v>
      </c>
      <c r="H120" s="17">
        <f t="shared" si="77"/>
        <v>0</v>
      </c>
      <c r="J120" s="1">
        <v>43921</v>
      </c>
      <c r="K120" s="46">
        <v>763.44299999999998</v>
      </c>
      <c r="L120" s="101">
        <v>135.90299999999999</v>
      </c>
      <c r="M120" s="46"/>
      <c r="N120" s="46">
        <v>60.756</v>
      </c>
      <c r="O120" s="7">
        <f t="shared" si="79"/>
        <v>960.10199999999998</v>
      </c>
      <c r="P120" s="17">
        <f t="shared" si="85"/>
        <v>0</v>
      </c>
      <c r="R120" s="1">
        <f t="shared" si="91"/>
        <v>44287</v>
      </c>
      <c r="S120" s="62">
        <v>843.22945806451617</v>
      </c>
      <c r="T120" s="44">
        <v>169.04529612903227</v>
      </c>
      <c r="U120" s="36"/>
      <c r="V120" s="67">
        <v>65.582678709677424</v>
      </c>
      <c r="W120" s="7">
        <f t="shared" si="80"/>
        <v>1077.8574329032258</v>
      </c>
      <c r="X120" s="17">
        <f t="shared" si="86"/>
        <v>0</v>
      </c>
      <c r="Y120" s="17"/>
      <c r="Z120" s="1">
        <f t="shared" si="92"/>
        <v>44652</v>
      </c>
      <c r="AA120" s="101">
        <v>979.96627741935481</v>
      </c>
      <c r="AB120" s="101">
        <v>189.70456258064516</v>
      </c>
      <c r="AC120" s="101"/>
      <c r="AD120" s="101">
        <v>68.646508387096773</v>
      </c>
      <c r="AE120" s="101">
        <f t="shared" si="81"/>
        <v>1238.3173483870967</v>
      </c>
      <c r="AF120" s="17">
        <f t="shared" si="87"/>
        <v>0</v>
      </c>
      <c r="AH120" s="1">
        <f t="shared" si="93"/>
        <v>45017</v>
      </c>
      <c r="AI120" s="44">
        <v>999.32821290322579</v>
      </c>
      <c r="AJ120" s="44">
        <v>223.81931634408602</v>
      </c>
      <c r="AK120" s="44"/>
      <c r="AL120" s="44">
        <v>74.355996236559136</v>
      </c>
      <c r="AM120" s="44">
        <f t="shared" si="82"/>
        <v>1297.503525483871</v>
      </c>
      <c r="AN120" s="17">
        <f t="shared" si="88"/>
        <v>0</v>
      </c>
      <c r="AO120" s="17"/>
      <c r="AP120" s="38">
        <f t="shared" si="94"/>
        <v>45382</v>
      </c>
      <c r="AQ120" s="44">
        <v>928.95699999999999</v>
      </c>
      <c r="AR120" s="44">
        <v>209.85845800000001</v>
      </c>
      <c r="AS120" s="44"/>
      <c r="AT120" s="44">
        <v>51.08759569892473</v>
      </c>
      <c r="AU120" s="44">
        <f t="shared" si="83"/>
        <v>1189.9030536989249</v>
      </c>
      <c r="AV120" s="17">
        <f t="shared" si="89"/>
        <v>0</v>
      </c>
      <c r="AW120" s="17"/>
      <c r="AX120" s="1">
        <f t="shared" si="95"/>
        <v>45748</v>
      </c>
      <c r="AY120" s="44">
        <v>1135.1659999999999</v>
      </c>
      <c r="AZ120" s="44">
        <v>260.81649199999998</v>
      </c>
      <c r="BA120" s="44"/>
      <c r="BB120" s="44">
        <v>80.757703225806452</v>
      </c>
      <c r="BC120" s="44">
        <f t="shared" si="84"/>
        <v>1476.7401952258062</v>
      </c>
      <c r="BD120" s="17">
        <f t="shared" si="90"/>
        <v>1</v>
      </c>
    </row>
    <row r="121" spans="1:56" x14ac:dyDescent="0.3">
      <c r="A121" s="17"/>
      <c r="B121" s="1">
        <v>43557</v>
      </c>
      <c r="C121" s="36">
        <v>924</v>
      </c>
      <c r="D121" s="36">
        <v>158.197</v>
      </c>
      <c r="E121" s="36"/>
      <c r="F121" s="36">
        <v>60</v>
      </c>
      <c r="G121" s="7">
        <f t="shared" si="78"/>
        <v>1142.1970000000001</v>
      </c>
      <c r="H121" s="17">
        <f t="shared" si="77"/>
        <v>0</v>
      </c>
      <c r="J121" s="1">
        <v>43922</v>
      </c>
      <c r="K121" s="46">
        <v>738.46799999999996</v>
      </c>
      <c r="L121" s="46">
        <v>137.251</v>
      </c>
      <c r="M121" s="101"/>
      <c r="N121" s="46">
        <v>58.695</v>
      </c>
      <c r="O121" s="7">
        <f t="shared" si="79"/>
        <v>934.41399999999999</v>
      </c>
      <c r="P121" s="17">
        <f t="shared" si="85"/>
        <v>0</v>
      </c>
      <c r="R121" s="1">
        <f t="shared" si="91"/>
        <v>44288</v>
      </c>
      <c r="S121" s="62">
        <v>840.23587526881715</v>
      </c>
      <c r="T121" s="44">
        <v>161.82663548387097</v>
      </c>
      <c r="V121" s="66">
        <v>58.040402580645164</v>
      </c>
      <c r="W121" s="7">
        <f t="shared" si="80"/>
        <v>1060.1029133333334</v>
      </c>
      <c r="X121" s="17">
        <f t="shared" si="86"/>
        <v>0</v>
      </c>
      <c r="Y121" s="17"/>
      <c r="Z121" s="1">
        <f t="shared" si="92"/>
        <v>44653</v>
      </c>
      <c r="AA121" s="101">
        <v>1017.4714548387096</v>
      </c>
      <c r="AB121" s="101">
        <v>189.95809806451612</v>
      </c>
      <c r="AC121" s="101"/>
      <c r="AD121" s="101">
        <v>66.536030967741937</v>
      </c>
      <c r="AE121" s="101">
        <f t="shared" si="81"/>
        <v>1273.9655838709677</v>
      </c>
      <c r="AF121" s="17">
        <f t="shared" si="87"/>
        <v>0</v>
      </c>
      <c r="AH121" s="1">
        <f t="shared" si="93"/>
        <v>45018</v>
      </c>
      <c r="AI121" s="44">
        <v>914.48450322580641</v>
      </c>
      <c r="AJ121" s="44">
        <v>186.26127096774192</v>
      </c>
      <c r="AK121" s="44"/>
      <c r="AL121" s="44">
        <v>65.931755053763439</v>
      </c>
      <c r="AM121" s="44">
        <f t="shared" si="82"/>
        <v>1166.6775292473119</v>
      </c>
      <c r="AN121" s="17">
        <f t="shared" si="88"/>
        <v>0</v>
      </c>
      <c r="AO121" s="17"/>
      <c r="AP121" s="1">
        <f t="shared" si="94"/>
        <v>45383</v>
      </c>
      <c r="AQ121" s="44">
        <v>1073.278</v>
      </c>
      <c r="AR121" s="44">
        <v>214.62607320000001</v>
      </c>
      <c r="AS121" s="44"/>
      <c r="AT121" s="44">
        <v>64.606250322580649</v>
      </c>
      <c r="AU121" s="44">
        <f t="shared" si="83"/>
        <v>1352.5103235225806</v>
      </c>
      <c r="AV121" s="17">
        <f t="shared" si="89"/>
        <v>0</v>
      </c>
      <c r="AW121" s="17"/>
      <c r="AX121" s="1">
        <f t="shared" si="95"/>
        <v>45749</v>
      </c>
      <c r="AY121" s="44">
        <v>1196.5219999999999</v>
      </c>
      <c r="AZ121" s="44">
        <v>262.32789839999998</v>
      </c>
      <c r="BA121" s="44"/>
      <c r="BB121" s="44">
        <v>83.848242580645163</v>
      </c>
      <c r="BC121" s="44">
        <f t="shared" si="84"/>
        <v>1542.6981409806449</v>
      </c>
      <c r="BD121" s="17">
        <f t="shared" si="90"/>
        <v>1</v>
      </c>
    </row>
    <row r="122" spans="1:56" x14ac:dyDescent="0.3">
      <c r="A122" s="17"/>
      <c r="B122" s="1">
        <v>43558</v>
      </c>
      <c r="C122" s="36">
        <v>1030</v>
      </c>
      <c r="D122" s="36">
        <v>177.536</v>
      </c>
      <c r="E122" s="36"/>
      <c r="F122" s="36">
        <v>65</v>
      </c>
      <c r="G122" s="7">
        <f t="shared" si="78"/>
        <v>1272.5360000000001</v>
      </c>
      <c r="H122" s="17">
        <f t="shared" si="77"/>
        <v>0</v>
      </c>
      <c r="J122" s="1">
        <v>43923</v>
      </c>
      <c r="K122" s="46">
        <v>687.05</v>
      </c>
      <c r="L122" s="46">
        <v>131.74100000000001</v>
      </c>
      <c r="M122" s="101"/>
      <c r="N122" s="46">
        <v>57.079000000000001</v>
      </c>
      <c r="O122" s="7">
        <f t="shared" si="79"/>
        <v>875.86999999999989</v>
      </c>
      <c r="P122" s="17">
        <f t="shared" si="85"/>
        <v>0</v>
      </c>
      <c r="R122" s="1">
        <f t="shared" si="91"/>
        <v>44289</v>
      </c>
      <c r="S122" s="62">
        <v>842.60959569892475</v>
      </c>
      <c r="T122" s="44">
        <v>171.10078268817205</v>
      </c>
      <c r="V122" s="67">
        <v>60.467323870967739</v>
      </c>
      <c r="W122" s="7">
        <f t="shared" si="80"/>
        <v>1074.1777022580645</v>
      </c>
      <c r="X122" s="17">
        <f t="shared" si="86"/>
        <v>0</v>
      </c>
      <c r="Y122" s="17"/>
      <c r="Z122" s="1">
        <f t="shared" si="92"/>
        <v>44654</v>
      </c>
      <c r="AA122" s="101">
        <v>1017.4601177419355</v>
      </c>
      <c r="AB122" s="101">
        <v>222.79249548387097</v>
      </c>
      <c r="AC122" s="101"/>
      <c r="AD122" s="101">
        <v>64.598914193548381</v>
      </c>
      <c r="AE122" s="101">
        <f t="shared" si="81"/>
        <v>1304.8515274193549</v>
      </c>
      <c r="AF122" s="17">
        <f t="shared" si="87"/>
        <v>0</v>
      </c>
      <c r="AH122" s="1">
        <f t="shared" si="93"/>
        <v>45019</v>
      </c>
      <c r="AI122" s="44">
        <v>963.33163548387097</v>
      </c>
      <c r="AJ122" s="44">
        <v>180.98350301075268</v>
      </c>
      <c r="AK122" s="44"/>
      <c r="AL122" s="44">
        <v>70.572053010752683</v>
      </c>
      <c r="AM122" s="44">
        <f t="shared" si="82"/>
        <v>1214.8871915053762</v>
      </c>
      <c r="AN122" s="17">
        <f t="shared" si="88"/>
        <v>0</v>
      </c>
      <c r="AO122" s="17"/>
      <c r="AP122" s="1">
        <f t="shared" si="94"/>
        <v>45384</v>
      </c>
      <c r="AQ122" s="44">
        <v>1070.1669999999999</v>
      </c>
      <c r="AR122" s="44">
        <v>219.73582440000001</v>
      </c>
      <c r="AS122" s="44"/>
      <c r="AT122" s="44">
        <v>70.545307741935488</v>
      </c>
      <c r="AU122" s="44">
        <f t="shared" si="83"/>
        <v>1360.4481321419353</v>
      </c>
      <c r="AV122" s="17">
        <f t="shared" si="89"/>
        <v>0</v>
      </c>
      <c r="AW122" s="17"/>
      <c r="AX122" s="1">
        <f t="shared" si="95"/>
        <v>45750</v>
      </c>
      <c r="AY122" s="44">
        <v>1159.9929999999999</v>
      </c>
      <c r="AZ122" s="44">
        <v>247.71247940000001</v>
      </c>
      <c r="BA122" s="44"/>
      <c r="BB122" s="44">
        <v>86.758645161290318</v>
      </c>
      <c r="BC122" s="44">
        <f t="shared" si="84"/>
        <v>1494.4641245612904</v>
      </c>
      <c r="BD122" s="17">
        <f t="shared" si="90"/>
        <v>1</v>
      </c>
    </row>
    <row r="123" spans="1:56" x14ac:dyDescent="0.3">
      <c r="A123" s="17"/>
      <c r="B123" s="1">
        <v>43559</v>
      </c>
      <c r="C123" s="36">
        <v>1043</v>
      </c>
      <c r="D123" s="36">
        <v>182.32900000000001</v>
      </c>
      <c r="E123" s="36"/>
      <c r="F123" s="36">
        <v>70</v>
      </c>
      <c r="G123" s="7">
        <f t="shared" si="78"/>
        <v>1295.329</v>
      </c>
      <c r="H123" s="17">
        <f t="shared" si="77"/>
        <v>0</v>
      </c>
      <c r="J123" s="1">
        <v>43924</v>
      </c>
      <c r="K123" s="46">
        <v>820.73699999999997</v>
      </c>
      <c r="L123" s="46">
        <v>155.08199999999999</v>
      </c>
      <c r="M123" s="101"/>
      <c r="N123" s="46">
        <v>60.162999999999997</v>
      </c>
      <c r="O123" s="7">
        <f t="shared" si="79"/>
        <v>1035.982</v>
      </c>
      <c r="P123" s="17">
        <f t="shared" si="85"/>
        <v>0</v>
      </c>
      <c r="R123" s="1">
        <f t="shared" si="91"/>
        <v>44290</v>
      </c>
      <c r="S123" s="62">
        <v>901.13476129032256</v>
      </c>
      <c r="T123" s="44">
        <v>171.57952892473119</v>
      </c>
      <c r="V123" s="66">
        <v>60.474983225806454</v>
      </c>
      <c r="W123" s="7">
        <f t="shared" si="80"/>
        <v>1133.1892734408602</v>
      </c>
      <c r="X123" s="17">
        <f t="shared" si="86"/>
        <v>0</v>
      </c>
      <c r="Y123" s="17"/>
      <c r="Z123" s="1">
        <f t="shared" si="92"/>
        <v>44655</v>
      </c>
      <c r="AA123" s="101">
        <v>1176.4886661290323</v>
      </c>
      <c r="AB123" s="101">
        <v>218.87045677419354</v>
      </c>
      <c r="AC123" s="101"/>
      <c r="AD123" s="101">
        <v>74.312494193548389</v>
      </c>
      <c r="AE123" s="101">
        <f t="shared" si="81"/>
        <v>1469.6716170967743</v>
      </c>
      <c r="AF123" s="17">
        <f t="shared" si="87"/>
        <v>0</v>
      </c>
      <c r="AH123" s="1">
        <f t="shared" si="93"/>
        <v>45020</v>
      </c>
      <c r="AI123" s="44">
        <v>1011.5315064516129</v>
      </c>
      <c r="AJ123" s="44">
        <v>190.51312516129033</v>
      </c>
      <c r="AK123" s="44"/>
      <c r="AL123" s="44">
        <v>72.94457677419355</v>
      </c>
      <c r="AM123" s="44">
        <f t="shared" si="82"/>
        <v>1274.9892083870968</v>
      </c>
      <c r="AN123" s="17">
        <f t="shared" si="88"/>
        <v>0</v>
      </c>
      <c r="AO123" s="17"/>
      <c r="AP123" s="1">
        <f t="shared" si="94"/>
        <v>45385</v>
      </c>
      <c r="AQ123" s="44">
        <v>1229.537</v>
      </c>
      <c r="AR123" s="44">
        <v>242.81502839999999</v>
      </c>
      <c r="AS123" s="44"/>
      <c r="AT123" s="44">
        <v>79.215102580645166</v>
      </c>
      <c r="AU123" s="44">
        <f t="shared" si="83"/>
        <v>1551.5671309806453</v>
      </c>
      <c r="AV123" s="17">
        <f t="shared" si="89"/>
        <v>1</v>
      </c>
      <c r="AW123" s="17"/>
      <c r="AX123" s="1">
        <f t="shared" si="95"/>
        <v>45751</v>
      </c>
      <c r="AY123" s="44">
        <v>1195.509</v>
      </c>
      <c r="AZ123" s="44">
        <v>267.57510000000002</v>
      </c>
      <c r="BA123" s="44"/>
      <c r="BB123" s="44">
        <v>82.200967741935486</v>
      </c>
      <c r="BC123" s="44">
        <f t="shared" si="84"/>
        <v>1545.2850677419356</v>
      </c>
      <c r="BD123" s="17">
        <f t="shared" si="90"/>
        <v>1</v>
      </c>
    </row>
    <row r="124" spans="1:56" x14ac:dyDescent="0.3">
      <c r="A124" s="17"/>
      <c r="B124" s="1">
        <v>43560</v>
      </c>
      <c r="C124" s="36">
        <v>1030</v>
      </c>
      <c r="D124" s="36">
        <v>164.84</v>
      </c>
      <c r="E124" s="36"/>
      <c r="F124" s="36">
        <v>65</v>
      </c>
      <c r="G124" s="7">
        <f t="shared" si="78"/>
        <v>1259.8399999999999</v>
      </c>
      <c r="H124" s="17">
        <f t="shared" si="77"/>
        <v>0</v>
      </c>
      <c r="J124" s="1">
        <v>43925</v>
      </c>
      <c r="K124" s="46">
        <v>949.03899999999999</v>
      </c>
      <c r="L124" s="46">
        <v>180.75200000000001</v>
      </c>
      <c r="M124" s="101"/>
      <c r="N124" s="46">
        <v>64.210999999999999</v>
      </c>
      <c r="O124" s="7">
        <f t="shared" si="79"/>
        <v>1194.002</v>
      </c>
      <c r="P124" s="17">
        <f t="shared" si="85"/>
        <v>0</v>
      </c>
      <c r="R124" s="1">
        <f t="shared" si="91"/>
        <v>44291</v>
      </c>
      <c r="S124" s="62">
        <v>989.26923870967744</v>
      </c>
      <c r="T124" s="44">
        <v>188.9673840860215</v>
      </c>
      <c r="V124" s="67">
        <v>66.08381935483871</v>
      </c>
      <c r="W124" s="7">
        <f t="shared" si="80"/>
        <v>1244.3204421505375</v>
      </c>
      <c r="X124" s="17">
        <f t="shared" si="86"/>
        <v>0</v>
      </c>
      <c r="Y124" s="17"/>
      <c r="Z124" s="1">
        <f t="shared" si="92"/>
        <v>44656</v>
      </c>
      <c r="AA124" s="101">
        <v>1148.3489612903227</v>
      </c>
      <c r="AB124" s="101">
        <v>213.75317935483872</v>
      </c>
      <c r="AC124" s="101"/>
      <c r="AD124" s="101">
        <v>76.850450967741935</v>
      </c>
      <c r="AE124" s="101">
        <f t="shared" si="81"/>
        <v>1438.9525916129032</v>
      </c>
      <c r="AF124" s="17">
        <f t="shared" si="87"/>
        <v>0</v>
      </c>
      <c r="AH124" s="1">
        <f t="shared" si="93"/>
        <v>45021</v>
      </c>
      <c r="AI124" s="44">
        <v>969.18374193548391</v>
      </c>
      <c r="AJ124" s="44">
        <v>208.42434795698924</v>
      </c>
      <c r="AK124" s="44"/>
      <c r="AL124" s="44">
        <v>74.183213440860214</v>
      </c>
      <c r="AM124" s="44">
        <f t="shared" si="82"/>
        <v>1251.7913033333334</v>
      </c>
      <c r="AN124" s="17">
        <f t="shared" si="88"/>
        <v>0</v>
      </c>
      <c r="AO124" s="17"/>
      <c r="AP124" s="1">
        <f t="shared" si="94"/>
        <v>45386</v>
      </c>
      <c r="AQ124" s="44">
        <v>1133.079</v>
      </c>
      <c r="AR124" s="44">
        <v>243.61666070000001</v>
      </c>
      <c r="AS124" s="44"/>
      <c r="AT124" s="44">
        <v>80.413910322580648</v>
      </c>
      <c r="AU124" s="44">
        <f t="shared" si="83"/>
        <v>1457.1095710225807</v>
      </c>
      <c r="AV124" s="17">
        <f t="shared" si="89"/>
        <v>0</v>
      </c>
      <c r="AW124" s="17"/>
      <c r="AX124" s="1">
        <f t="shared" si="95"/>
        <v>45752</v>
      </c>
      <c r="AY124" s="44">
        <v>981.23</v>
      </c>
      <c r="AZ124" s="44">
        <v>252.77609559999999</v>
      </c>
      <c r="BA124" s="44"/>
      <c r="BB124" s="44">
        <v>66.374975483870969</v>
      </c>
      <c r="BC124" s="44">
        <f t="shared" si="84"/>
        <v>1300.3810710838709</v>
      </c>
      <c r="BD124" s="17">
        <f t="shared" si="90"/>
        <v>0</v>
      </c>
    </row>
    <row r="125" spans="1:56" x14ac:dyDescent="0.3">
      <c r="A125" s="17"/>
      <c r="B125" s="1">
        <v>43561</v>
      </c>
      <c r="C125" s="36">
        <v>1120</v>
      </c>
      <c r="D125" s="36">
        <v>180.792</v>
      </c>
      <c r="E125" s="36"/>
      <c r="F125" s="36">
        <v>66</v>
      </c>
      <c r="G125" s="7">
        <f t="shared" si="78"/>
        <v>1366.7919999999999</v>
      </c>
      <c r="H125" s="17">
        <f t="shared" si="77"/>
        <v>0</v>
      </c>
      <c r="J125" s="1">
        <v>43926</v>
      </c>
      <c r="K125" s="46">
        <v>879.50099999999998</v>
      </c>
      <c r="L125" s="46">
        <v>163.679</v>
      </c>
      <c r="M125" s="101"/>
      <c r="N125" s="46">
        <v>52.527000000000001</v>
      </c>
      <c r="O125" s="7">
        <f t="shared" si="79"/>
        <v>1095.7070000000001</v>
      </c>
      <c r="P125" s="17">
        <f t="shared" si="85"/>
        <v>0</v>
      </c>
      <c r="R125" s="1">
        <f t="shared" si="91"/>
        <v>44292</v>
      </c>
      <c r="S125" s="62">
        <v>969.20456344086017</v>
      </c>
      <c r="T125" s="44">
        <v>183.11315021505376</v>
      </c>
      <c r="V125" s="66">
        <v>70.658642580645164</v>
      </c>
      <c r="W125" s="7">
        <f t="shared" si="80"/>
        <v>1222.976356236559</v>
      </c>
      <c r="X125" s="17">
        <f t="shared" si="86"/>
        <v>0</v>
      </c>
      <c r="Y125" s="17"/>
      <c r="Z125" s="1">
        <f t="shared" si="92"/>
        <v>44657</v>
      </c>
      <c r="AA125" s="101">
        <v>1130.4415016129033</v>
      </c>
      <c r="AB125" s="101">
        <v>220.42064516129031</v>
      </c>
      <c r="AC125" s="101"/>
      <c r="AD125" s="101">
        <v>76.313140645161283</v>
      </c>
      <c r="AE125" s="101">
        <f t="shared" si="81"/>
        <v>1427.1752874193548</v>
      </c>
      <c r="AF125" s="17">
        <f t="shared" si="87"/>
        <v>0</v>
      </c>
      <c r="AH125" s="1">
        <f t="shared" si="93"/>
        <v>45022</v>
      </c>
      <c r="AI125" s="44">
        <v>951.60169677419356</v>
      </c>
      <c r="AJ125" s="44">
        <v>231.9734</v>
      </c>
      <c r="AK125" s="44"/>
      <c r="AL125" s="44">
        <v>82.480027311827953</v>
      </c>
      <c r="AM125" s="44">
        <f t="shared" si="82"/>
        <v>1266.0551240860216</v>
      </c>
      <c r="AN125" s="17">
        <f t="shared" si="88"/>
        <v>0</v>
      </c>
      <c r="AO125" s="17"/>
      <c r="AP125" s="1">
        <f t="shared" si="94"/>
        <v>45387</v>
      </c>
      <c r="AQ125" s="44">
        <v>986.31799999999998</v>
      </c>
      <c r="AR125" s="44">
        <v>210.58428799999999</v>
      </c>
      <c r="AS125" s="44"/>
      <c r="AT125" s="44">
        <v>73.58005935483871</v>
      </c>
      <c r="AU125" s="44">
        <f t="shared" si="83"/>
        <v>1270.4823473548388</v>
      </c>
      <c r="AV125" s="17">
        <f t="shared" si="89"/>
        <v>0</v>
      </c>
      <c r="AW125" s="17"/>
      <c r="AX125" s="1">
        <f t="shared" si="95"/>
        <v>45753</v>
      </c>
      <c r="AY125" s="44">
        <v>903.36500000000001</v>
      </c>
      <c r="AZ125" s="44">
        <v>196.43426959999999</v>
      </c>
      <c r="BA125" s="44"/>
      <c r="BB125" s="44">
        <v>55.168514838709676</v>
      </c>
      <c r="BC125" s="44">
        <f t="shared" si="84"/>
        <v>1154.9677844387097</v>
      </c>
      <c r="BD125" s="17">
        <f t="shared" si="90"/>
        <v>0</v>
      </c>
    </row>
    <row r="126" spans="1:56" x14ac:dyDescent="0.3">
      <c r="A126" s="17"/>
      <c r="B126" s="1">
        <v>43562</v>
      </c>
      <c r="C126" s="36">
        <v>966</v>
      </c>
      <c r="D126" s="36">
        <v>160.875</v>
      </c>
      <c r="E126" s="36"/>
      <c r="F126" s="36">
        <v>56</v>
      </c>
      <c r="G126" s="7">
        <f t="shared" si="78"/>
        <v>1182.875</v>
      </c>
      <c r="H126" s="17">
        <f t="shared" si="77"/>
        <v>0</v>
      </c>
      <c r="J126" s="1">
        <v>43927</v>
      </c>
      <c r="K126" s="46">
        <v>855.99599999999998</v>
      </c>
      <c r="L126" s="46">
        <v>157.25700000000001</v>
      </c>
      <c r="M126" s="101"/>
      <c r="N126" s="46">
        <v>62.426000000000002</v>
      </c>
      <c r="O126" s="7">
        <f t="shared" si="79"/>
        <v>1075.6789999999999</v>
      </c>
      <c r="P126" s="17">
        <f t="shared" si="85"/>
        <v>0</v>
      </c>
      <c r="R126" s="1">
        <f t="shared" si="91"/>
        <v>44293</v>
      </c>
      <c r="S126" s="62">
        <v>886.25910107526886</v>
      </c>
      <c r="T126" s="44">
        <v>185.24981548387098</v>
      </c>
      <c r="V126" s="67">
        <v>70.701316129032264</v>
      </c>
      <c r="W126" s="7">
        <f t="shared" si="80"/>
        <v>1142.210232688172</v>
      </c>
      <c r="X126" s="17">
        <f t="shared" si="86"/>
        <v>0</v>
      </c>
      <c r="Y126" s="17"/>
      <c r="Z126" s="1">
        <f t="shared" si="92"/>
        <v>44658</v>
      </c>
      <c r="AA126" s="101">
        <v>1150.9657693548388</v>
      </c>
      <c r="AB126" s="101">
        <v>230.86320258064515</v>
      </c>
      <c r="AC126" s="101"/>
      <c r="AD126" s="101">
        <v>76.163469032258064</v>
      </c>
      <c r="AE126" s="101">
        <f t="shared" si="81"/>
        <v>1457.9924409677419</v>
      </c>
      <c r="AF126" s="17">
        <f t="shared" si="87"/>
        <v>0</v>
      </c>
      <c r="AH126" s="1">
        <f t="shared" si="93"/>
        <v>45023</v>
      </c>
      <c r="AI126" s="44">
        <v>1124.2444967741935</v>
      </c>
      <c r="AJ126" s="44">
        <v>226.37940430107528</v>
      </c>
      <c r="AK126" s="44"/>
      <c r="AL126" s="44">
        <v>77.312741827956984</v>
      </c>
      <c r="AM126" s="44">
        <f t="shared" si="82"/>
        <v>1427.9366429032257</v>
      </c>
      <c r="AN126" s="17">
        <f t="shared" si="88"/>
        <v>0</v>
      </c>
      <c r="AO126" s="17"/>
      <c r="AP126" s="1">
        <f t="shared" si="94"/>
        <v>45388</v>
      </c>
      <c r="AQ126" s="44">
        <v>1029.866</v>
      </c>
      <c r="AR126" s="44">
        <v>222.751542</v>
      </c>
      <c r="AS126" s="44"/>
      <c r="AT126" s="44">
        <v>67.740183870967741</v>
      </c>
      <c r="AU126" s="44">
        <f t="shared" si="83"/>
        <v>1320.3577258709677</v>
      </c>
      <c r="AV126" s="17">
        <f t="shared" si="89"/>
        <v>0</v>
      </c>
      <c r="AW126" s="17"/>
      <c r="AX126" s="1">
        <f t="shared" si="95"/>
        <v>45754</v>
      </c>
      <c r="AY126" s="44">
        <v>905.85199999999998</v>
      </c>
      <c r="AZ126" s="44">
        <v>206.4632976</v>
      </c>
      <c r="BA126" s="44"/>
      <c r="BB126" s="44">
        <v>65.698920000000001</v>
      </c>
      <c r="BC126" s="44">
        <f t="shared" si="84"/>
        <v>1178.0142175999999</v>
      </c>
      <c r="BD126" s="17">
        <f t="shared" si="90"/>
        <v>0</v>
      </c>
    </row>
    <row r="127" spans="1:56" x14ac:dyDescent="0.3">
      <c r="A127" s="17"/>
      <c r="B127" s="1">
        <v>43563</v>
      </c>
      <c r="C127" s="36">
        <v>1121</v>
      </c>
      <c r="D127" s="36">
        <v>183.44</v>
      </c>
      <c r="E127" s="36"/>
      <c r="F127" s="36">
        <v>63</v>
      </c>
      <c r="G127" s="7">
        <f t="shared" si="78"/>
        <v>1367.44</v>
      </c>
      <c r="H127" s="17">
        <f t="shared" si="77"/>
        <v>0</v>
      </c>
      <c r="J127" s="1">
        <v>43928</v>
      </c>
      <c r="K127" s="46">
        <v>753.15899999999999</v>
      </c>
      <c r="L127" s="46">
        <v>136.76300000000001</v>
      </c>
      <c r="M127" s="101"/>
      <c r="N127" s="46">
        <v>60.491</v>
      </c>
      <c r="O127" s="7">
        <f t="shared" si="79"/>
        <v>950.41300000000001</v>
      </c>
      <c r="P127" s="17">
        <f t="shared" si="85"/>
        <v>0</v>
      </c>
      <c r="R127" s="1">
        <f t="shared" si="91"/>
        <v>44294</v>
      </c>
      <c r="S127" s="62">
        <v>927.23635698924727</v>
      </c>
      <c r="T127" s="44">
        <v>193.70905333333334</v>
      </c>
      <c r="V127" s="66">
        <v>73.930281290322583</v>
      </c>
      <c r="W127" s="7">
        <f t="shared" si="80"/>
        <v>1194.8756916129032</v>
      </c>
      <c r="X127" s="17">
        <f t="shared" si="86"/>
        <v>0</v>
      </c>
      <c r="Y127" s="17"/>
      <c r="Z127" s="1">
        <f t="shared" si="92"/>
        <v>44659</v>
      </c>
      <c r="AA127" s="101">
        <v>1129.0738354838709</v>
      </c>
      <c r="AB127" s="101">
        <v>224.93875096774192</v>
      </c>
      <c r="AC127" s="101"/>
      <c r="AD127" s="101">
        <v>76.213000645161287</v>
      </c>
      <c r="AE127" s="101">
        <f t="shared" si="81"/>
        <v>1430.2255870967742</v>
      </c>
      <c r="AF127" s="17">
        <f t="shared" si="87"/>
        <v>0</v>
      </c>
      <c r="AH127" s="1">
        <f t="shared" si="93"/>
        <v>45024</v>
      </c>
      <c r="AI127" s="44">
        <v>1086.768170967742</v>
      </c>
      <c r="AJ127" s="44">
        <v>219.46518387096773</v>
      </c>
      <c r="AK127" s="44"/>
      <c r="AL127" s="44">
        <v>70.475942580645167</v>
      </c>
      <c r="AM127" s="44">
        <f t="shared" si="82"/>
        <v>1376.7092974193547</v>
      </c>
      <c r="AN127" s="17">
        <f t="shared" si="88"/>
        <v>0</v>
      </c>
      <c r="AO127" s="17"/>
      <c r="AP127" s="1">
        <f t="shared" si="94"/>
        <v>45389</v>
      </c>
      <c r="AQ127" s="44">
        <v>1125.703</v>
      </c>
      <c r="AR127" s="44">
        <v>229.58611049999999</v>
      </c>
      <c r="AS127" s="44"/>
      <c r="AT127" s="44">
        <v>65.43743806451613</v>
      </c>
      <c r="AU127" s="44">
        <f t="shared" si="83"/>
        <v>1420.726548564516</v>
      </c>
      <c r="AV127" s="17">
        <f t="shared" si="89"/>
        <v>0</v>
      </c>
      <c r="AW127" s="17"/>
      <c r="AX127" s="1">
        <f t="shared" si="95"/>
        <v>45755</v>
      </c>
      <c r="AY127" s="44">
        <v>936.21199999999999</v>
      </c>
      <c r="AZ127" s="44">
        <v>207.62430309999999</v>
      </c>
      <c r="BA127" s="44"/>
      <c r="BB127" s="44">
        <v>72.901135483870974</v>
      </c>
      <c r="BC127" s="44">
        <f t="shared" si="84"/>
        <v>1216.7374385838709</v>
      </c>
      <c r="BD127" s="17">
        <f t="shared" si="90"/>
        <v>0</v>
      </c>
    </row>
    <row r="128" spans="1:56" x14ac:dyDescent="0.3">
      <c r="A128" s="17"/>
      <c r="B128" s="1">
        <v>43564</v>
      </c>
      <c r="C128" s="36">
        <v>1064</v>
      </c>
      <c r="D128" s="36">
        <v>165.792</v>
      </c>
      <c r="E128" s="36"/>
      <c r="F128" s="36">
        <v>62</v>
      </c>
      <c r="G128" s="7">
        <f t="shared" si="78"/>
        <v>1291.7919999999999</v>
      </c>
      <c r="H128" s="17">
        <f t="shared" si="77"/>
        <v>0</v>
      </c>
      <c r="J128" s="1">
        <v>43929</v>
      </c>
      <c r="K128" s="46">
        <v>620.94000000000005</v>
      </c>
      <c r="L128" s="46">
        <v>122.137</v>
      </c>
      <c r="M128" s="101"/>
      <c r="N128" s="46">
        <v>50.935000000000002</v>
      </c>
      <c r="O128" s="7">
        <f t="shared" si="79"/>
        <v>794.01199999999994</v>
      </c>
      <c r="P128" s="17">
        <f t="shared" si="85"/>
        <v>0</v>
      </c>
      <c r="R128" s="1">
        <f t="shared" si="91"/>
        <v>44295</v>
      </c>
      <c r="S128" s="62">
        <v>925.54780215053768</v>
      </c>
      <c r="T128" s="44">
        <v>187.66019870967742</v>
      </c>
      <c r="V128" s="67">
        <v>73.121672258064521</v>
      </c>
      <c r="W128" s="7">
        <f t="shared" si="80"/>
        <v>1186.3296731182797</v>
      </c>
      <c r="X128" s="17">
        <f t="shared" si="86"/>
        <v>0</v>
      </c>
      <c r="Y128" s="17"/>
      <c r="Z128" s="1">
        <f t="shared" si="92"/>
        <v>44660</v>
      </c>
      <c r="AA128" s="101">
        <v>993.64706129032254</v>
      </c>
      <c r="AB128" s="101">
        <v>226.42477935483871</v>
      </c>
      <c r="AC128" s="101"/>
      <c r="AD128" s="101">
        <v>70.021549032258065</v>
      </c>
      <c r="AE128" s="101">
        <f t="shared" si="81"/>
        <v>1290.0933896774193</v>
      </c>
      <c r="AF128" s="17">
        <f t="shared" si="87"/>
        <v>0</v>
      </c>
      <c r="AH128" s="1">
        <f t="shared" si="93"/>
        <v>45025</v>
      </c>
      <c r="AI128" s="44">
        <v>1159.6576129032258</v>
      </c>
      <c r="AJ128" s="44">
        <v>227.49715978494623</v>
      </c>
      <c r="AK128" s="44"/>
      <c r="AL128" s="44">
        <v>70.146575376344089</v>
      </c>
      <c r="AM128" s="44">
        <f t="shared" si="82"/>
        <v>1457.3013480645161</v>
      </c>
      <c r="AN128" s="17">
        <f t="shared" si="88"/>
        <v>0</v>
      </c>
      <c r="AO128" s="17"/>
      <c r="AP128" s="1">
        <f t="shared" si="94"/>
        <v>45390</v>
      </c>
      <c r="AQ128" s="44">
        <v>1256.825</v>
      </c>
      <c r="AR128" s="44">
        <v>257.03649819999998</v>
      </c>
      <c r="AS128" s="44"/>
      <c r="AT128" s="44">
        <v>72.057832258064522</v>
      </c>
      <c r="AU128" s="44">
        <f t="shared" si="83"/>
        <v>1585.9193304580645</v>
      </c>
      <c r="AV128" s="17">
        <f t="shared" si="89"/>
        <v>1</v>
      </c>
      <c r="AW128" s="17"/>
      <c r="AX128" s="1">
        <f t="shared" si="95"/>
        <v>45756</v>
      </c>
      <c r="AY128" s="44">
        <v>952.89</v>
      </c>
      <c r="AZ128" s="44">
        <v>218.86330950000001</v>
      </c>
      <c r="BA128" s="44"/>
      <c r="BB128" s="44">
        <v>70.970633548387099</v>
      </c>
      <c r="BC128" s="44">
        <f t="shared" si="84"/>
        <v>1242.7239430483869</v>
      </c>
      <c r="BD128" s="17">
        <f t="shared" si="90"/>
        <v>0</v>
      </c>
    </row>
    <row r="129" spans="1:56" x14ac:dyDescent="0.3">
      <c r="A129" s="17"/>
      <c r="B129" s="1">
        <v>43565</v>
      </c>
      <c r="C129" s="36">
        <v>1045</v>
      </c>
      <c r="D129" s="36">
        <v>172.482</v>
      </c>
      <c r="E129" s="36"/>
      <c r="F129" s="36">
        <v>68</v>
      </c>
      <c r="G129" s="7">
        <f t="shared" si="78"/>
        <v>1285.482</v>
      </c>
      <c r="H129" s="17">
        <f t="shared" si="77"/>
        <v>0</v>
      </c>
      <c r="J129" s="1">
        <v>43930</v>
      </c>
      <c r="K129" s="46">
        <v>659.13599999999997</v>
      </c>
      <c r="L129" s="46">
        <v>126.295</v>
      </c>
      <c r="M129" s="101"/>
      <c r="N129" s="46">
        <v>53.011000000000003</v>
      </c>
      <c r="O129" s="7">
        <f t="shared" si="79"/>
        <v>838.44199999999989</v>
      </c>
      <c r="P129" s="17">
        <f t="shared" si="85"/>
        <v>0</v>
      </c>
      <c r="R129" s="1">
        <f t="shared" si="91"/>
        <v>44296</v>
      </c>
      <c r="S129" s="62">
        <v>810.92716559139785</v>
      </c>
      <c r="T129" s="44">
        <v>158.10802612903225</v>
      </c>
      <c r="V129" s="66">
        <v>68.749274838709681</v>
      </c>
      <c r="W129" s="7">
        <f t="shared" si="80"/>
        <v>1037.7844665591399</v>
      </c>
      <c r="X129" s="17">
        <f t="shared" si="86"/>
        <v>0</v>
      </c>
      <c r="Y129" s="17"/>
      <c r="Z129" s="1">
        <f t="shared" si="92"/>
        <v>44661</v>
      </c>
      <c r="AA129" s="101">
        <v>958.11453870967739</v>
      </c>
      <c r="AB129" s="101">
        <v>185.44723612903226</v>
      </c>
      <c r="AC129" s="101"/>
      <c r="AD129" s="101">
        <v>67.184249032258066</v>
      </c>
      <c r="AE129" s="101">
        <f t="shared" si="81"/>
        <v>1210.7460238709677</v>
      </c>
      <c r="AF129" s="17">
        <f t="shared" si="87"/>
        <v>0</v>
      </c>
      <c r="AH129" s="1">
        <f t="shared" si="93"/>
        <v>45026</v>
      </c>
      <c r="AI129" s="44">
        <v>1176.568729032258</v>
      </c>
      <c r="AJ129" s="44">
        <v>246.49900301075269</v>
      </c>
      <c r="AK129" s="44"/>
      <c r="AL129" s="44">
        <v>74.629209032258061</v>
      </c>
      <c r="AM129" s="44">
        <f t="shared" si="82"/>
        <v>1497.6969410752688</v>
      </c>
      <c r="AN129" s="17">
        <f t="shared" si="88"/>
        <v>1</v>
      </c>
      <c r="AO129" s="17"/>
      <c r="AP129" s="1">
        <f t="shared" si="94"/>
        <v>45391</v>
      </c>
      <c r="AQ129" s="44">
        <v>1177.981</v>
      </c>
      <c r="AR129" s="44">
        <v>247.66396119999999</v>
      </c>
      <c r="AS129" s="44"/>
      <c r="AT129" s="44">
        <v>80.100193548387097</v>
      </c>
      <c r="AU129" s="44">
        <f t="shared" si="83"/>
        <v>1505.745154748387</v>
      </c>
      <c r="AV129" s="17">
        <f t="shared" si="89"/>
        <v>1</v>
      </c>
      <c r="AW129" s="17"/>
      <c r="AX129" s="1">
        <f t="shared" si="95"/>
        <v>45757</v>
      </c>
      <c r="AY129" s="44">
        <v>1018.42</v>
      </c>
      <c r="AZ129" s="44">
        <v>225.17779039999999</v>
      </c>
      <c r="BA129" s="44"/>
      <c r="BB129" s="44">
        <v>71.960300645161297</v>
      </c>
      <c r="BC129" s="44">
        <f t="shared" si="84"/>
        <v>1315.5580910451613</v>
      </c>
      <c r="BD129" s="17">
        <f t="shared" si="90"/>
        <v>0</v>
      </c>
    </row>
    <row r="130" spans="1:56" x14ac:dyDescent="0.3">
      <c r="A130" s="17"/>
      <c r="B130" s="1">
        <v>43566</v>
      </c>
      <c r="C130" s="36">
        <v>962</v>
      </c>
      <c r="D130" s="36">
        <v>160.45400000000001</v>
      </c>
      <c r="E130" s="36"/>
      <c r="F130" s="36">
        <v>64</v>
      </c>
      <c r="G130" s="7">
        <f t="shared" si="78"/>
        <v>1186.454</v>
      </c>
      <c r="H130" s="17">
        <f t="shared" si="77"/>
        <v>0</v>
      </c>
      <c r="J130" s="1">
        <v>43931</v>
      </c>
      <c r="K130" s="46">
        <v>781.56100000000004</v>
      </c>
      <c r="L130" s="46">
        <v>134.82499999999999</v>
      </c>
      <c r="M130" s="101"/>
      <c r="N130" s="46">
        <v>50.502000000000002</v>
      </c>
      <c r="O130" s="7">
        <f t="shared" si="79"/>
        <v>966.88799999999992</v>
      </c>
      <c r="P130" s="17">
        <f t="shared" si="85"/>
        <v>0</v>
      </c>
      <c r="R130" s="1">
        <f t="shared" si="91"/>
        <v>44297</v>
      </c>
      <c r="S130" s="62">
        <v>803.74484731182793</v>
      </c>
      <c r="T130" s="44">
        <v>144.89254849462367</v>
      </c>
      <c r="V130" s="67">
        <v>60.215659354838706</v>
      </c>
      <c r="W130" s="7">
        <f t="shared" si="80"/>
        <v>1008.8530551612904</v>
      </c>
      <c r="X130" s="17">
        <f t="shared" si="86"/>
        <v>0</v>
      </c>
      <c r="Y130" s="17"/>
      <c r="Z130" s="1">
        <f t="shared" si="92"/>
        <v>44662</v>
      </c>
      <c r="AA130" s="101">
        <v>1033.7772919354838</v>
      </c>
      <c r="AB130" s="101">
        <v>199.97533677419355</v>
      </c>
      <c r="AC130" s="101"/>
      <c r="AD130" s="101">
        <v>69.604837419354837</v>
      </c>
      <c r="AE130" s="101">
        <f t="shared" si="81"/>
        <v>1303.3574661290322</v>
      </c>
      <c r="AF130" s="17">
        <f t="shared" si="87"/>
        <v>0</v>
      </c>
      <c r="AH130" s="1">
        <f t="shared" si="93"/>
        <v>45027</v>
      </c>
      <c r="AI130" s="44">
        <v>1179.4551645161291</v>
      </c>
      <c r="AJ130" s="44">
        <v>241.36734688172044</v>
      </c>
      <c r="AK130" s="44"/>
      <c r="AL130" s="44">
        <v>79.346179354838711</v>
      </c>
      <c r="AM130" s="44">
        <f t="shared" si="82"/>
        <v>1500.1686907526885</v>
      </c>
      <c r="AN130" s="17">
        <f t="shared" si="88"/>
        <v>1</v>
      </c>
      <c r="AO130" s="17"/>
      <c r="AP130" s="1">
        <f t="shared" si="94"/>
        <v>45392</v>
      </c>
      <c r="AQ130" s="44">
        <v>1100.9749999999999</v>
      </c>
      <c r="AR130" s="44">
        <v>235.19878650000001</v>
      </c>
      <c r="AS130" s="44"/>
      <c r="AT130" s="44">
        <v>81.074763870967743</v>
      </c>
      <c r="AU130" s="44">
        <f t="shared" si="83"/>
        <v>1417.2485503709677</v>
      </c>
      <c r="AV130" s="17">
        <f t="shared" si="89"/>
        <v>0</v>
      </c>
      <c r="AW130" s="17"/>
      <c r="AX130" s="1">
        <f t="shared" si="95"/>
        <v>45758</v>
      </c>
      <c r="AY130" s="44">
        <v>1136.682</v>
      </c>
      <c r="AZ130" s="44">
        <v>242.43042209999999</v>
      </c>
      <c r="BA130" s="44"/>
      <c r="BB130" s="44">
        <v>77.506559999999993</v>
      </c>
      <c r="BC130" s="44">
        <f t="shared" si="84"/>
        <v>1456.6189821</v>
      </c>
      <c r="BD130" s="17">
        <f t="shared" si="90"/>
        <v>0</v>
      </c>
    </row>
    <row r="131" spans="1:56" x14ac:dyDescent="0.3">
      <c r="A131" s="17"/>
      <c r="B131" s="1">
        <v>43567</v>
      </c>
      <c r="C131" s="36">
        <v>1085</v>
      </c>
      <c r="D131" s="36">
        <v>170.4</v>
      </c>
      <c r="E131" s="36"/>
      <c r="F131" s="36">
        <v>67</v>
      </c>
      <c r="G131" s="7">
        <f t="shared" si="78"/>
        <v>1322.4</v>
      </c>
      <c r="H131" s="17">
        <f t="shared" si="77"/>
        <v>0</v>
      </c>
      <c r="J131" s="1">
        <v>43932</v>
      </c>
      <c r="K131" s="46">
        <v>814.86099999999999</v>
      </c>
      <c r="L131" s="46">
        <v>158.25700000000001</v>
      </c>
      <c r="M131" s="101"/>
      <c r="N131" s="46">
        <v>47.408000000000001</v>
      </c>
      <c r="O131" s="7">
        <f t="shared" si="79"/>
        <v>1020.526</v>
      </c>
      <c r="P131" s="17">
        <f t="shared" si="85"/>
        <v>0</v>
      </c>
      <c r="R131" s="1">
        <f t="shared" si="91"/>
        <v>44298</v>
      </c>
      <c r="S131" s="62">
        <v>955.20997849462367</v>
      </c>
      <c r="T131" s="44">
        <v>181.56034720430108</v>
      </c>
      <c r="V131" s="66">
        <v>68.661739354838716</v>
      </c>
      <c r="W131" s="7">
        <f t="shared" si="80"/>
        <v>1205.4320650537636</v>
      </c>
      <c r="X131" s="17">
        <f t="shared" si="86"/>
        <v>0</v>
      </c>
      <c r="Y131" s="17"/>
      <c r="Z131" s="1">
        <f t="shared" si="92"/>
        <v>44663</v>
      </c>
      <c r="AA131" s="101">
        <v>1005.8406241935484</v>
      </c>
      <c r="AB131" s="101">
        <v>208.50758193548387</v>
      </c>
      <c r="AC131" s="101"/>
      <c r="AD131" s="101">
        <v>70.870047096774186</v>
      </c>
      <c r="AE131" s="101">
        <f t="shared" si="81"/>
        <v>1285.2182532258064</v>
      </c>
      <c r="AF131" s="17">
        <f t="shared" si="87"/>
        <v>0</v>
      </c>
      <c r="AH131" s="1">
        <f t="shared" si="93"/>
        <v>45028</v>
      </c>
      <c r="AI131" s="44">
        <v>1233.7921838709678</v>
      </c>
      <c r="AJ131" s="44">
        <v>243.7134853763441</v>
      </c>
      <c r="AK131" s="44"/>
      <c r="AL131" s="44">
        <v>87.945363118279573</v>
      </c>
      <c r="AM131" s="44">
        <f t="shared" si="82"/>
        <v>1565.4510323655916</v>
      </c>
      <c r="AN131" s="17">
        <f t="shared" si="88"/>
        <v>1</v>
      </c>
      <c r="AO131" s="17"/>
      <c r="AP131" s="1">
        <f t="shared" si="94"/>
        <v>45393</v>
      </c>
      <c r="AQ131" s="44">
        <v>1039.883</v>
      </c>
      <c r="AR131" s="44">
        <v>236.79386909999999</v>
      </c>
      <c r="AS131" s="44"/>
      <c r="AT131" s="44">
        <v>75.522731612903229</v>
      </c>
      <c r="AU131" s="44">
        <f t="shared" si="83"/>
        <v>1352.1996007129032</v>
      </c>
      <c r="AV131" s="17">
        <f t="shared" si="89"/>
        <v>0</v>
      </c>
      <c r="AW131" s="17"/>
      <c r="AX131" s="1">
        <f t="shared" si="95"/>
        <v>45759</v>
      </c>
      <c r="AY131" s="44">
        <v>1036.2940000000001</v>
      </c>
      <c r="AZ131" s="44">
        <v>241.78729010000001</v>
      </c>
      <c r="BA131" s="44"/>
      <c r="BB131" s="44">
        <v>71.753034838709681</v>
      </c>
      <c r="BC131" s="44">
        <f t="shared" si="84"/>
        <v>1349.8343249387099</v>
      </c>
      <c r="BD131" s="17">
        <f t="shared" si="90"/>
        <v>0</v>
      </c>
    </row>
    <row r="132" spans="1:56" x14ac:dyDescent="0.3">
      <c r="A132" s="17"/>
      <c r="B132" s="1">
        <v>43568</v>
      </c>
      <c r="C132" s="36">
        <v>1053</v>
      </c>
      <c r="D132" s="36">
        <v>201.06700000000001</v>
      </c>
      <c r="E132" s="36"/>
      <c r="F132" s="36">
        <v>69</v>
      </c>
      <c r="G132" s="7">
        <f t="shared" si="78"/>
        <v>1323.067</v>
      </c>
      <c r="H132" s="17">
        <f t="shared" si="77"/>
        <v>0</v>
      </c>
      <c r="J132" s="1">
        <v>43933</v>
      </c>
      <c r="K132" s="46">
        <v>757.56600000000003</v>
      </c>
      <c r="L132" s="46">
        <v>141.69399999999999</v>
      </c>
      <c r="M132" s="101"/>
      <c r="N132" s="46">
        <v>48.686999999999998</v>
      </c>
      <c r="O132" s="7">
        <f t="shared" si="79"/>
        <v>947.947</v>
      </c>
      <c r="P132" s="17">
        <f t="shared" si="85"/>
        <v>0</v>
      </c>
      <c r="R132" s="1">
        <f t="shared" si="91"/>
        <v>44299</v>
      </c>
      <c r="S132" s="62">
        <v>1013.9196516129032</v>
      </c>
      <c r="T132" s="44">
        <v>181.14404612903226</v>
      </c>
      <c r="V132" s="67">
        <v>79.796252903225806</v>
      </c>
      <c r="W132" s="7">
        <f t="shared" si="80"/>
        <v>1274.8599506451612</v>
      </c>
      <c r="X132" s="17">
        <f t="shared" si="86"/>
        <v>0</v>
      </c>
      <c r="Y132" s="17"/>
      <c r="Z132" s="1">
        <f t="shared" si="92"/>
        <v>44664</v>
      </c>
      <c r="AA132" s="101">
        <v>928.59067741935485</v>
      </c>
      <c r="AB132" s="101">
        <v>179.96052129032259</v>
      </c>
      <c r="AC132" s="101"/>
      <c r="AD132" s="101">
        <v>68.36116322580645</v>
      </c>
      <c r="AE132" s="101">
        <f t="shared" si="81"/>
        <v>1176.9123619354839</v>
      </c>
      <c r="AF132" s="17">
        <f t="shared" si="87"/>
        <v>0</v>
      </c>
      <c r="AH132" s="1">
        <f t="shared" si="93"/>
        <v>45029</v>
      </c>
      <c r="AI132" s="44">
        <v>1224.5339806451614</v>
      </c>
      <c r="AJ132" s="44">
        <v>253.94861892473119</v>
      </c>
      <c r="AK132" s="44"/>
      <c r="AL132" s="44">
        <v>88.187259032258069</v>
      </c>
      <c r="AM132" s="44">
        <f t="shared" si="82"/>
        <v>1566.6698586021505</v>
      </c>
      <c r="AN132" s="17">
        <f t="shared" si="88"/>
        <v>1</v>
      </c>
      <c r="AO132" s="17"/>
      <c r="AP132" s="1">
        <f t="shared" si="94"/>
        <v>45394</v>
      </c>
      <c r="AQ132" s="44">
        <v>975.80700000000002</v>
      </c>
      <c r="AR132" s="44">
        <v>205.58643979999999</v>
      </c>
      <c r="AS132" s="44"/>
      <c r="AT132" s="44">
        <v>74.617157419354839</v>
      </c>
      <c r="AU132" s="44">
        <f t="shared" si="83"/>
        <v>1256.0105972193551</v>
      </c>
      <c r="AV132" s="17">
        <f t="shared" si="89"/>
        <v>0</v>
      </c>
      <c r="AW132" s="17"/>
      <c r="AX132" s="1">
        <f t="shared" si="95"/>
        <v>45760</v>
      </c>
      <c r="AY132" s="44">
        <v>1073.0550000000001</v>
      </c>
      <c r="AZ132" s="44">
        <v>251.84667189999999</v>
      </c>
      <c r="BA132" s="44"/>
      <c r="BB132" s="44">
        <v>68.561575483870968</v>
      </c>
      <c r="BC132" s="44">
        <f t="shared" si="84"/>
        <v>1393.463247383871</v>
      </c>
      <c r="BD132" s="17">
        <f t="shared" si="90"/>
        <v>0</v>
      </c>
    </row>
    <row r="133" spans="1:56" x14ac:dyDescent="0.3">
      <c r="A133" s="17"/>
      <c r="B133" s="1">
        <v>43569</v>
      </c>
      <c r="C133" s="36">
        <v>999</v>
      </c>
      <c r="D133" s="36">
        <v>201.35499999999999</v>
      </c>
      <c r="E133" s="36"/>
      <c r="F133" s="36">
        <v>64</v>
      </c>
      <c r="G133" s="7">
        <f t="shared" si="78"/>
        <v>1264.355</v>
      </c>
      <c r="H133" s="17">
        <f t="shared" si="77"/>
        <v>0</v>
      </c>
      <c r="J133" s="1">
        <v>43934</v>
      </c>
      <c r="K133" s="46">
        <v>822.69600000000003</v>
      </c>
      <c r="L133" s="46">
        <v>149.72300000000001</v>
      </c>
      <c r="M133" s="101"/>
      <c r="N133" s="46">
        <v>58.759</v>
      </c>
      <c r="O133" s="7">
        <f t="shared" si="79"/>
        <v>1031.1780000000001</v>
      </c>
      <c r="P133" s="17">
        <f t="shared" si="85"/>
        <v>0</v>
      </c>
      <c r="R133" s="1">
        <f t="shared" si="91"/>
        <v>44300</v>
      </c>
      <c r="S133" s="62">
        <v>1055.6463397849463</v>
      </c>
      <c r="T133" s="44">
        <v>201.24202129032258</v>
      </c>
      <c r="V133" s="66">
        <v>79.878317419354843</v>
      </c>
      <c r="W133" s="7">
        <f t="shared" si="80"/>
        <v>1336.7666784946236</v>
      </c>
      <c r="X133" s="17">
        <f t="shared" si="86"/>
        <v>0</v>
      </c>
      <c r="Y133" s="17"/>
      <c r="Z133" s="1">
        <f t="shared" si="92"/>
        <v>44665</v>
      </c>
      <c r="AA133" s="101">
        <v>903.74182258064513</v>
      </c>
      <c r="AB133" s="101">
        <v>166.9215535483871</v>
      </c>
      <c r="AC133" s="101"/>
      <c r="AD133" s="101">
        <v>62.866384516129031</v>
      </c>
      <c r="AE133" s="101">
        <f t="shared" si="81"/>
        <v>1133.5297606451613</v>
      </c>
      <c r="AF133" s="17">
        <f t="shared" si="87"/>
        <v>0</v>
      </c>
      <c r="AH133" s="1">
        <f t="shared" si="93"/>
        <v>45030</v>
      </c>
      <c r="AI133" s="44">
        <v>1180.7980516129032</v>
      </c>
      <c r="AJ133" s="44">
        <v>244.81036774193549</v>
      </c>
      <c r="AK133" s="44"/>
      <c r="AL133" s="44">
        <v>86.228334086021505</v>
      </c>
      <c r="AM133" s="44">
        <f t="shared" si="82"/>
        <v>1511.8367534408603</v>
      </c>
      <c r="AN133" s="17">
        <f t="shared" si="88"/>
        <v>1</v>
      </c>
      <c r="AO133" s="17"/>
      <c r="AP133" s="1">
        <f t="shared" si="94"/>
        <v>45395</v>
      </c>
      <c r="AQ133" s="44">
        <v>963.35599999999999</v>
      </c>
      <c r="AR133" s="44">
        <v>215.74259040000001</v>
      </c>
      <c r="AS133" s="44"/>
      <c r="AT133" s="44">
        <v>71.863780645161285</v>
      </c>
      <c r="AU133" s="44">
        <f t="shared" si="83"/>
        <v>1250.9623710451613</v>
      </c>
      <c r="AV133" s="17">
        <f t="shared" si="89"/>
        <v>0</v>
      </c>
      <c r="AW133" s="17"/>
      <c r="AX133" s="1">
        <f t="shared" si="95"/>
        <v>45761</v>
      </c>
      <c r="AY133" s="44">
        <v>1178.761</v>
      </c>
      <c r="AZ133" s="44">
        <v>268.66057569999998</v>
      </c>
      <c r="BA133" s="44"/>
      <c r="BB133" s="44">
        <v>75.680233548387093</v>
      </c>
      <c r="BC133" s="44">
        <f t="shared" si="84"/>
        <v>1523.1018092483871</v>
      </c>
      <c r="BD133" s="17">
        <f t="shared" si="90"/>
        <v>1</v>
      </c>
    </row>
    <row r="134" spans="1:56" x14ac:dyDescent="0.3">
      <c r="A134" s="17"/>
      <c r="B134" s="1">
        <v>43570</v>
      </c>
      <c r="C134" s="36">
        <v>1045</v>
      </c>
      <c r="D134" s="36">
        <v>181.435</v>
      </c>
      <c r="E134" s="36"/>
      <c r="F134" s="36">
        <v>65</v>
      </c>
      <c r="G134" s="7">
        <f t="shared" si="78"/>
        <v>1291.4349999999999</v>
      </c>
      <c r="H134" s="17">
        <f t="shared" si="77"/>
        <v>0</v>
      </c>
      <c r="J134" s="1">
        <v>43935</v>
      </c>
      <c r="K134" s="46">
        <v>787.928</v>
      </c>
      <c r="L134" s="46">
        <v>142.495</v>
      </c>
      <c r="M134" s="101"/>
      <c r="N134" s="46">
        <v>61.412999999999997</v>
      </c>
      <c r="O134" s="7">
        <f t="shared" si="79"/>
        <v>991.83600000000001</v>
      </c>
      <c r="P134" s="17">
        <f t="shared" si="85"/>
        <v>0</v>
      </c>
      <c r="R134" s="1">
        <f t="shared" si="91"/>
        <v>44301</v>
      </c>
      <c r="S134" s="62">
        <v>1000.1417075268818</v>
      </c>
      <c r="T134" s="44">
        <v>172.46625021505378</v>
      </c>
      <c r="V134" s="67">
        <v>78.916521290322578</v>
      </c>
      <c r="W134" s="7">
        <f t="shared" si="80"/>
        <v>1251.5244790322581</v>
      </c>
      <c r="X134" s="17">
        <f t="shared" si="86"/>
        <v>0</v>
      </c>
      <c r="Y134" s="17"/>
      <c r="Z134" s="1">
        <f t="shared" si="92"/>
        <v>44666</v>
      </c>
      <c r="AA134" s="101">
        <v>896.88700161290319</v>
      </c>
      <c r="AB134" s="101">
        <v>166.97640000000001</v>
      </c>
      <c r="AC134" s="101"/>
      <c r="AD134" s="101">
        <v>58.727264516129033</v>
      </c>
      <c r="AE134" s="101">
        <f t="shared" si="81"/>
        <v>1122.5906661290321</v>
      </c>
      <c r="AF134" s="17">
        <f t="shared" si="87"/>
        <v>0</v>
      </c>
      <c r="AH134" s="1">
        <f t="shared" si="93"/>
        <v>45031</v>
      </c>
      <c r="AI134" s="44">
        <v>1129.1910548387098</v>
      </c>
      <c r="AJ134" s="44">
        <v>225.99742623655914</v>
      </c>
      <c r="AK134" s="44"/>
      <c r="AL134" s="44">
        <v>81.718703118279564</v>
      </c>
      <c r="AM134" s="44">
        <f t="shared" si="82"/>
        <v>1436.9071841935486</v>
      </c>
      <c r="AN134" s="17">
        <f t="shared" si="88"/>
        <v>0</v>
      </c>
      <c r="AO134" s="17"/>
      <c r="AP134" s="1">
        <f t="shared" si="94"/>
        <v>45396</v>
      </c>
      <c r="AQ134" s="44">
        <v>834.98699999999997</v>
      </c>
      <c r="AR134" s="44">
        <v>183.94291759999999</v>
      </c>
      <c r="AS134" s="44"/>
      <c r="AT134" s="44">
        <v>58.836449032258066</v>
      </c>
      <c r="AU134" s="44">
        <f t="shared" si="83"/>
        <v>1077.766366632258</v>
      </c>
      <c r="AV134" s="17">
        <f t="shared" si="89"/>
        <v>0</v>
      </c>
      <c r="AW134" s="17"/>
      <c r="AX134" s="1">
        <f t="shared" si="95"/>
        <v>45762</v>
      </c>
      <c r="AY134" s="44">
        <v>1151.355</v>
      </c>
      <c r="AZ134" s="44">
        <v>260.65099550000002</v>
      </c>
      <c r="BA134" s="44"/>
      <c r="BB134" s="44">
        <v>77.554307096774195</v>
      </c>
      <c r="BC134" s="44">
        <f t="shared" si="84"/>
        <v>1489.5603025967744</v>
      </c>
      <c r="BD134" s="17">
        <f t="shared" si="90"/>
        <v>1</v>
      </c>
    </row>
    <row r="135" spans="1:56" x14ac:dyDescent="0.3">
      <c r="A135" s="17"/>
      <c r="B135" s="1">
        <v>43571</v>
      </c>
      <c r="C135" s="36">
        <v>1126</v>
      </c>
      <c r="D135" s="36">
        <v>189.93</v>
      </c>
      <c r="E135" s="36"/>
      <c r="F135" s="36">
        <v>68</v>
      </c>
      <c r="G135" s="7">
        <f t="shared" si="78"/>
        <v>1383.93</v>
      </c>
      <c r="H135" s="17">
        <f t="shared" si="77"/>
        <v>0</v>
      </c>
      <c r="J135" s="1">
        <v>43936</v>
      </c>
      <c r="K135" s="46">
        <v>732.10199999999998</v>
      </c>
      <c r="L135" s="46">
        <v>149.82300000000001</v>
      </c>
      <c r="M135" s="101"/>
      <c r="N135" s="46">
        <v>57.905999999999999</v>
      </c>
      <c r="O135" s="7">
        <f t="shared" si="79"/>
        <v>939.8309999999999</v>
      </c>
      <c r="P135" s="17">
        <f t="shared" si="85"/>
        <v>0</v>
      </c>
      <c r="R135" s="1">
        <f t="shared" si="91"/>
        <v>44302</v>
      </c>
      <c r="S135" s="62">
        <v>1042.4208817204301</v>
      </c>
      <c r="T135" s="44">
        <v>183.41288698924731</v>
      </c>
      <c r="V135" s="66">
        <v>77.46780903225806</v>
      </c>
      <c r="W135" s="7">
        <f t="shared" si="80"/>
        <v>1303.3015777419355</v>
      </c>
      <c r="X135" s="17">
        <f t="shared" si="86"/>
        <v>0</v>
      </c>
      <c r="Y135" s="17"/>
      <c r="Z135" s="1">
        <f t="shared" si="92"/>
        <v>44667</v>
      </c>
      <c r="AA135" s="101">
        <v>954.34959193548389</v>
      </c>
      <c r="AB135" s="101">
        <v>167.25373677419356</v>
      </c>
      <c r="AC135" s="101"/>
      <c r="AD135" s="101">
        <v>60.951880000000003</v>
      </c>
      <c r="AE135" s="101">
        <f t="shared" si="81"/>
        <v>1182.5552087096776</v>
      </c>
      <c r="AF135" s="17">
        <f t="shared" si="87"/>
        <v>0</v>
      </c>
      <c r="AH135" s="1">
        <f t="shared" si="93"/>
        <v>45032</v>
      </c>
      <c r="AI135" s="44">
        <v>1063.0644129032257</v>
      </c>
      <c r="AJ135" s="44">
        <v>220.91064731182794</v>
      </c>
      <c r="AK135" s="44"/>
      <c r="AL135" s="44">
        <v>77.812732043010755</v>
      </c>
      <c r="AM135" s="44">
        <f t="shared" si="82"/>
        <v>1361.7877922580644</v>
      </c>
      <c r="AN135" s="17">
        <f t="shared" si="88"/>
        <v>0</v>
      </c>
      <c r="AO135" s="17"/>
      <c r="AP135" s="1">
        <f t="shared" si="94"/>
        <v>45397</v>
      </c>
      <c r="AQ135" s="44">
        <v>848.46100000000001</v>
      </c>
      <c r="AR135" s="44">
        <v>177.97898499999999</v>
      </c>
      <c r="AS135" s="44"/>
      <c r="AT135" s="44">
        <v>57.34872</v>
      </c>
      <c r="AU135" s="44">
        <f t="shared" si="83"/>
        <v>1083.7887049999999</v>
      </c>
      <c r="AV135" s="17">
        <f t="shared" si="89"/>
        <v>0</v>
      </c>
      <c r="AW135" s="17"/>
      <c r="AX135" s="1">
        <f t="shared" si="95"/>
        <v>45763</v>
      </c>
      <c r="AY135" s="44">
        <v>1068.193</v>
      </c>
      <c r="AZ135" s="44">
        <v>265.41270159999999</v>
      </c>
      <c r="BA135" s="44"/>
      <c r="BB135" s="44">
        <v>74.525621935483869</v>
      </c>
      <c r="BC135" s="44">
        <f t="shared" si="84"/>
        <v>1408.1313235354839</v>
      </c>
      <c r="BD135" s="17">
        <f t="shared" si="90"/>
        <v>0</v>
      </c>
    </row>
    <row r="136" spans="1:56" x14ac:dyDescent="0.3">
      <c r="A136" s="17"/>
      <c r="B136" s="1">
        <v>43572</v>
      </c>
      <c r="C136" s="36">
        <v>1151</v>
      </c>
      <c r="D136" s="36">
        <v>201.81100000000001</v>
      </c>
      <c r="E136" s="36"/>
      <c r="F136" s="36">
        <v>70</v>
      </c>
      <c r="G136" s="7">
        <f t="shared" si="78"/>
        <v>1422.8109999999999</v>
      </c>
      <c r="H136" s="17">
        <f t="shared" si="77"/>
        <v>0</v>
      </c>
      <c r="J136" s="1">
        <v>43937</v>
      </c>
      <c r="K136" s="46">
        <v>774.70600000000002</v>
      </c>
      <c r="L136" s="46">
        <v>156.095</v>
      </c>
      <c r="M136" s="101"/>
      <c r="N136" s="46">
        <v>58.671999999999997</v>
      </c>
      <c r="O136" s="7">
        <f t="shared" si="79"/>
        <v>989.47300000000007</v>
      </c>
      <c r="P136" s="17">
        <f t="shared" si="85"/>
        <v>0</v>
      </c>
      <c r="R136" s="1">
        <f t="shared" si="91"/>
        <v>44303</v>
      </c>
      <c r="S136" s="62">
        <v>886.02380215053768</v>
      </c>
      <c r="T136" s="44">
        <v>172.89087731182795</v>
      </c>
      <c r="V136" s="67">
        <v>68.125584516129038</v>
      </c>
      <c r="W136" s="7">
        <f t="shared" si="80"/>
        <v>1127.0402639784947</v>
      </c>
      <c r="X136" s="17">
        <f t="shared" si="86"/>
        <v>0</v>
      </c>
      <c r="Y136" s="17"/>
      <c r="Z136" s="1">
        <f t="shared" si="92"/>
        <v>44668</v>
      </c>
      <c r="AA136" s="101">
        <v>942.12820161290324</v>
      </c>
      <c r="AB136" s="101">
        <v>176.07366709677419</v>
      </c>
      <c r="AC136" s="101"/>
      <c r="AD136" s="101">
        <v>61.538721935483871</v>
      </c>
      <c r="AE136" s="101">
        <f t="shared" si="81"/>
        <v>1179.7405906451613</v>
      </c>
      <c r="AF136" s="17">
        <f t="shared" si="87"/>
        <v>0</v>
      </c>
      <c r="AH136" s="1">
        <f t="shared" si="93"/>
        <v>45033</v>
      </c>
      <c r="AI136" s="44">
        <v>1269.5850129032258</v>
      </c>
      <c r="AJ136" s="44">
        <v>240.44892967741936</v>
      </c>
      <c r="AK136" s="44"/>
      <c r="AL136" s="44">
        <v>86.145182365591396</v>
      </c>
      <c r="AM136" s="44">
        <f t="shared" si="82"/>
        <v>1596.1791249462365</v>
      </c>
      <c r="AN136" s="17">
        <f t="shared" si="88"/>
        <v>1</v>
      </c>
      <c r="AO136" s="17"/>
      <c r="AP136" s="1">
        <f t="shared" si="94"/>
        <v>45398</v>
      </c>
      <c r="AQ136" s="44">
        <v>950.95</v>
      </c>
      <c r="AR136" s="44">
        <v>200.06651350000001</v>
      </c>
      <c r="AS136" s="44"/>
      <c r="AT136" s="44">
        <v>68.022636774193543</v>
      </c>
      <c r="AU136" s="44">
        <f t="shared" si="83"/>
        <v>1219.0391502741936</v>
      </c>
      <c r="AV136" s="17">
        <f t="shared" si="89"/>
        <v>0</v>
      </c>
      <c r="AW136" s="17"/>
      <c r="AX136" s="1">
        <f t="shared" si="95"/>
        <v>45764</v>
      </c>
      <c r="AY136" s="44">
        <v>992.70299999999997</v>
      </c>
      <c r="AZ136" s="44">
        <v>250.52389650000001</v>
      </c>
      <c r="BA136" s="44"/>
      <c r="BB136" s="44">
        <v>74.805593548387094</v>
      </c>
      <c r="BC136" s="44">
        <f t="shared" si="84"/>
        <v>1318.0324900483872</v>
      </c>
      <c r="BD136" s="17">
        <f t="shared" si="90"/>
        <v>0</v>
      </c>
    </row>
    <row r="137" spans="1:56" x14ac:dyDescent="0.3">
      <c r="A137" s="17"/>
      <c r="B137" s="1">
        <v>43573</v>
      </c>
      <c r="C137" s="36">
        <v>1062</v>
      </c>
      <c r="D137" s="36">
        <v>183.49</v>
      </c>
      <c r="E137" s="36"/>
      <c r="F137" s="36">
        <v>70</v>
      </c>
      <c r="G137" s="7">
        <f t="shared" si="78"/>
        <v>1315.49</v>
      </c>
      <c r="H137" s="17">
        <f t="shared" si="77"/>
        <v>0</v>
      </c>
      <c r="J137" s="1">
        <v>43938</v>
      </c>
      <c r="K137" s="46">
        <v>788.90700000000004</v>
      </c>
      <c r="L137" s="46">
        <v>157.19</v>
      </c>
      <c r="M137" s="101"/>
      <c r="N137" s="46">
        <v>61.595999999999997</v>
      </c>
      <c r="O137" s="7">
        <f t="shared" si="79"/>
        <v>1007.693</v>
      </c>
      <c r="P137" s="17">
        <f t="shared" si="85"/>
        <v>0</v>
      </c>
      <c r="R137" s="1">
        <f t="shared" si="91"/>
        <v>44304</v>
      </c>
      <c r="S137" s="62">
        <v>884.9965720430107</v>
      </c>
      <c r="T137" s="44">
        <v>141.83898010752688</v>
      </c>
      <c r="V137" s="66">
        <v>65.566265806451611</v>
      </c>
      <c r="W137" s="7">
        <f t="shared" si="80"/>
        <v>1092.4018179569891</v>
      </c>
      <c r="X137" s="17">
        <f t="shared" si="86"/>
        <v>0</v>
      </c>
      <c r="Y137" s="17"/>
      <c r="Z137" s="1">
        <f t="shared" si="92"/>
        <v>44669</v>
      </c>
      <c r="AA137" s="101">
        <v>1058.8786548387097</v>
      </c>
      <c r="AB137" s="101">
        <v>211.44031483870967</v>
      </c>
      <c r="AC137" s="101"/>
      <c r="AD137" s="101">
        <v>64.177895483870969</v>
      </c>
      <c r="AE137" s="101">
        <f t="shared" si="81"/>
        <v>1334.4968651612903</v>
      </c>
      <c r="AF137" s="17">
        <f t="shared" si="87"/>
        <v>0</v>
      </c>
      <c r="AH137" s="1">
        <f t="shared" si="93"/>
        <v>45034</v>
      </c>
      <c r="AI137" s="44">
        <v>1082.3793483870968</v>
      </c>
      <c r="AJ137" s="44">
        <v>218.37247612903226</v>
      </c>
      <c r="AK137" s="44"/>
      <c r="AL137" s="44">
        <v>84.756440645161291</v>
      </c>
      <c r="AM137" s="44">
        <f t="shared" si="82"/>
        <v>1385.5082651612904</v>
      </c>
      <c r="AN137" s="17">
        <f t="shared" si="88"/>
        <v>0</v>
      </c>
      <c r="AO137" s="17"/>
      <c r="AP137" s="1">
        <f t="shared" si="94"/>
        <v>45399</v>
      </c>
      <c r="AQ137" s="44">
        <v>926.50699999999995</v>
      </c>
      <c r="AR137" s="44">
        <v>187.43269599999999</v>
      </c>
      <c r="AS137" s="44"/>
      <c r="AT137" s="44">
        <v>70.305977419354832</v>
      </c>
      <c r="AU137" s="44">
        <f t="shared" si="83"/>
        <v>1184.2456734193547</v>
      </c>
      <c r="AV137" s="17">
        <f t="shared" si="89"/>
        <v>0</v>
      </c>
      <c r="AW137" s="17"/>
      <c r="AX137" s="1">
        <f t="shared" si="95"/>
        <v>45765</v>
      </c>
      <c r="AY137" s="44">
        <v>975.60199999999998</v>
      </c>
      <c r="AZ137" s="44">
        <v>222.70876319999999</v>
      </c>
      <c r="BA137" s="44"/>
      <c r="BB137" s="44">
        <v>62.91005548387097</v>
      </c>
      <c r="BC137" s="44">
        <f t="shared" si="84"/>
        <v>1261.2208186838709</v>
      </c>
      <c r="BD137" s="17">
        <f t="shared" si="90"/>
        <v>0</v>
      </c>
    </row>
    <row r="138" spans="1:56" x14ac:dyDescent="0.3">
      <c r="A138" s="17"/>
      <c r="B138" s="1">
        <v>43574</v>
      </c>
      <c r="C138" s="36">
        <v>898</v>
      </c>
      <c r="D138" s="36">
        <v>169.54499999999999</v>
      </c>
      <c r="E138" s="36"/>
      <c r="F138" s="36">
        <v>57</v>
      </c>
      <c r="G138" s="7">
        <f t="shared" si="78"/>
        <v>1124.5450000000001</v>
      </c>
      <c r="H138" s="17">
        <f t="shared" si="77"/>
        <v>0</v>
      </c>
      <c r="J138" s="1">
        <v>43939</v>
      </c>
      <c r="K138" s="46">
        <v>801.63900000000001</v>
      </c>
      <c r="L138" s="46">
        <v>156.34700000000001</v>
      </c>
      <c r="M138" s="101"/>
      <c r="N138" s="46">
        <v>59.378999999999998</v>
      </c>
      <c r="O138" s="7">
        <f t="shared" si="79"/>
        <v>1017.365</v>
      </c>
      <c r="P138" s="17">
        <f t="shared" si="85"/>
        <v>0</v>
      </c>
      <c r="R138" s="1">
        <f t="shared" si="91"/>
        <v>44305</v>
      </c>
      <c r="S138" s="62">
        <v>976.44389247311824</v>
      </c>
      <c r="T138" s="44">
        <v>179.19783860215054</v>
      </c>
      <c r="V138" s="67">
        <v>68.717543225806452</v>
      </c>
      <c r="W138" s="7">
        <f t="shared" si="80"/>
        <v>1224.3592743010752</v>
      </c>
      <c r="X138" s="17">
        <f t="shared" si="86"/>
        <v>0</v>
      </c>
      <c r="Y138" s="17"/>
      <c r="Z138" s="1">
        <f t="shared" si="92"/>
        <v>44670</v>
      </c>
      <c r="AA138" s="101">
        <v>1040.5238951612903</v>
      </c>
      <c r="AB138" s="101">
        <v>217.55724645161291</v>
      </c>
      <c r="AC138" s="101"/>
      <c r="AD138" s="101">
        <v>66.313138709677418</v>
      </c>
      <c r="AE138" s="101">
        <f t="shared" si="81"/>
        <v>1324.3942803225805</v>
      </c>
      <c r="AF138" s="17">
        <f t="shared" si="87"/>
        <v>0</v>
      </c>
      <c r="AH138" s="1">
        <f t="shared" si="93"/>
        <v>45035</v>
      </c>
      <c r="AI138" s="44">
        <v>1072.6982129032258</v>
      </c>
      <c r="AJ138" s="44">
        <v>207.48610129032258</v>
      </c>
      <c r="AK138" s="44"/>
      <c r="AL138" s="44">
        <v>79.554598602150534</v>
      </c>
      <c r="AM138" s="44">
        <f t="shared" si="82"/>
        <v>1359.7389127956988</v>
      </c>
      <c r="AN138" s="17">
        <f t="shared" si="88"/>
        <v>0</v>
      </c>
      <c r="AO138" s="17"/>
      <c r="AP138" s="1">
        <f t="shared" si="94"/>
        <v>45400</v>
      </c>
      <c r="AQ138" s="44">
        <v>1053.191</v>
      </c>
      <c r="AR138" s="44">
        <v>202.35508920000001</v>
      </c>
      <c r="AS138" s="44"/>
      <c r="AT138" s="44">
        <v>71.461662580645168</v>
      </c>
      <c r="AU138" s="44">
        <f t="shared" si="83"/>
        <v>1327.0077517806453</v>
      </c>
      <c r="AV138" s="17">
        <f t="shared" si="89"/>
        <v>0</v>
      </c>
      <c r="AW138" s="17"/>
      <c r="AX138" s="1">
        <f t="shared" si="95"/>
        <v>45766</v>
      </c>
      <c r="AY138" s="44">
        <v>978.64300000000003</v>
      </c>
      <c r="AZ138" s="44">
        <v>230.9322708</v>
      </c>
      <c r="BA138" s="44"/>
      <c r="BB138" s="44">
        <v>57.434331612903229</v>
      </c>
      <c r="BC138" s="44">
        <f t="shared" si="84"/>
        <v>1267.0096024129032</v>
      </c>
      <c r="BD138" s="17">
        <f t="shared" si="90"/>
        <v>0</v>
      </c>
    </row>
    <row r="139" spans="1:56" x14ac:dyDescent="0.3">
      <c r="A139" s="17"/>
      <c r="B139" s="1">
        <v>43575</v>
      </c>
      <c r="C139" s="36">
        <v>832</v>
      </c>
      <c r="D139" s="36">
        <v>159.63200000000001</v>
      </c>
      <c r="E139" s="36"/>
      <c r="F139" s="36">
        <v>51</v>
      </c>
      <c r="G139" s="7">
        <f t="shared" si="78"/>
        <v>1042.6320000000001</v>
      </c>
      <c r="H139" s="17">
        <f t="shared" si="77"/>
        <v>0</v>
      </c>
      <c r="J139" s="1">
        <v>43940</v>
      </c>
      <c r="K139" s="46">
        <v>890.27499999999998</v>
      </c>
      <c r="L139" s="46">
        <v>164.934</v>
      </c>
      <c r="M139" s="101"/>
      <c r="N139" s="46">
        <v>59.552999999999997</v>
      </c>
      <c r="O139" s="7">
        <f t="shared" si="79"/>
        <v>1114.7620000000002</v>
      </c>
      <c r="P139" s="17">
        <f t="shared" si="85"/>
        <v>0</v>
      </c>
      <c r="R139" s="1">
        <f t="shared" si="91"/>
        <v>44306</v>
      </c>
      <c r="S139" s="62">
        <v>991.51442580645164</v>
      </c>
      <c r="T139" s="44">
        <v>192.41539774193549</v>
      </c>
      <c r="V139" s="66">
        <v>75.347261935483871</v>
      </c>
      <c r="W139" s="7">
        <f t="shared" si="80"/>
        <v>1259.2770854838709</v>
      </c>
      <c r="X139" s="17">
        <f t="shared" si="86"/>
        <v>0</v>
      </c>
      <c r="Y139" s="17"/>
      <c r="Z139" s="1">
        <f t="shared" si="92"/>
        <v>44671</v>
      </c>
      <c r="AA139" s="101">
        <v>1083.7563677419355</v>
      </c>
      <c r="AB139" s="101">
        <v>207.04949419354838</v>
      </c>
      <c r="AC139" s="101"/>
      <c r="AD139" s="101">
        <v>69.547768387096781</v>
      </c>
      <c r="AE139" s="101">
        <f t="shared" si="81"/>
        <v>1360.3536303225806</v>
      </c>
      <c r="AF139" s="17">
        <f t="shared" si="87"/>
        <v>0</v>
      </c>
      <c r="AH139" s="1">
        <f t="shared" si="93"/>
        <v>45036</v>
      </c>
      <c r="AI139" s="44">
        <v>1180.3216096774192</v>
      </c>
      <c r="AJ139" s="44">
        <v>199.27461655913979</v>
      </c>
      <c r="AK139" s="44"/>
      <c r="AL139" s="44">
        <v>86.07714913978495</v>
      </c>
      <c r="AM139" s="44">
        <f t="shared" si="82"/>
        <v>1465.673375376344</v>
      </c>
      <c r="AN139" s="17">
        <f t="shared" si="88"/>
        <v>0</v>
      </c>
      <c r="AO139" s="17"/>
      <c r="AP139" s="1">
        <f t="shared" si="94"/>
        <v>45401</v>
      </c>
      <c r="AQ139" s="44">
        <v>1119.9839999999999</v>
      </c>
      <c r="AR139" s="44">
        <v>233.13021879999999</v>
      </c>
      <c r="AS139" s="44"/>
      <c r="AT139" s="44">
        <v>75.972284516129037</v>
      </c>
      <c r="AU139" s="44">
        <f t="shared" si="83"/>
        <v>1429.086503316129</v>
      </c>
      <c r="AV139" s="17">
        <f t="shared" si="89"/>
        <v>0</v>
      </c>
      <c r="AW139" s="17"/>
      <c r="AX139" s="1">
        <f t="shared" si="95"/>
        <v>45767</v>
      </c>
      <c r="AY139" s="44">
        <v>997.32</v>
      </c>
      <c r="AZ139" s="44">
        <v>232.8288249</v>
      </c>
      <c r="BA139" s="44"/>
      <c r="BB139" s="44">
        <v>60.084295483870967</v>
      </c>
      <c r="BC139" s="44">
        <f t="shared" si="84"/>
        <v>1290.2331203838712</v>
      </c>
      <c r="BD139" s="17">
        <f t="shared" si="90"/>
        <v>0</v>
      </c>
    </row>
    <row r="140" spans="1:56" x14ac:dyDescent="0.3">
      <c r="A140" s="17"/>
      <c r="B140" s="1">
        <v>43576</v>
      </c>
      <c r="C140" s="36">
        <v>831</v>
      </c>
      <c r="D140" s="36">
        <v>153.715</v>
      </c>
      <c r="E140" s="36"/>
      <c r="F140" s="36">
        <v>50</v>
      </c>
      <c r="G140" s="7">
        <f t="shared" si="78"/>
        <v>1034.7150000000001</v>
      </c>
      <c r="H140" s="17">
        <f t="shared" si="77"/>
        <v>0</v>
      </c>
      <c r="J140" s="1">
        <v>43941</v>
      </c>
      <c r="K140" s="46">
        <v>885.37800000000004</v>
      </c>
      <c r="L140" s="46">
        <v>174.55699999999999</v>
      </c>
      <c r="M140" s="101"/>
      <c r="N140" s="46">
        <v>64.674999999999997</v>
      </c>
      <c r="O140" s="7">
        <f t="shared" si="79"/>
        <v>1124.6099999999999</v>
      </c>
      <c r="P140" s="17">
        <f t="shared" si="85"/>
        <v>0</v>
      </c>
      <c r="R140" s="1">
        <f t="shared" si="91"/>
        <v>44307</v>
      </c>
      <c r="S140" s="62">
        <v>1051.261694623656</v>
      </c>
      <c r="T140" s="44">
        <v>216.36103559139784</v>
      </c>
      <c r="V140" s="67">
        <v>79.46142967741936</v>
      </c>
      <c r="W140" s="7">
        <f t="shared" si="80"/>
        <v>1347.0841598924733</v>
      </c>
      <c r="X140" s="17">
        <f t="shared" si="86"/>
        <v>0</v>
      </c>
      <c r="Y140" s="17"/>
      <c r="Z140" s="1">
        <f t="shared" si="92"/>
        <v>44672</v>
      </c>
      <c r="AA140" s="101">
        <v>1112.8648790322582</v>
      </c>
      <c r="AB140" s="101">
        <v>209.87563870967742</v>
      </c>
      <c r="AC140" s="101"/>
      <c r="AD140" s="101">
        <v>72.601500000000001</v>
      </c>
      <c r="AE140" s="101">
        <f t="shared" si="81"/>
        <v>1395.3420177419355</v>
      </c>
      <c r="AF140" s="17">
        <f t="shared" si="87"/>
        <v>0</v>
      </c>
      <c r="AH140" s="1">
        <f t="shared" si="93"/>
        <v>45037</v>
      </c>
      <c r="AI140" s="44">
        <v>1151.9491322580645</v>
      </c>
      <c r="AJ140" s="44">
        <v>231.69787483870968</v>
      </c>
      <c r="AK140" s="44"/>
      <c r="AL140" s="44">
        <v>86.375199462365586</v>
      </c>
      <c r="AM140" s="44">
        <f t="shared" si="82"/>
        <v>1470.0222065591397</v>
      </c>
      <c r="AN140" s="17">
        <f t="shared" si="88"/>
        <v>0</v>
      </c>
      <c r="AO140" s="17"/>
      <c r="AP140" s="1">
        <f t="shared" si="94"/>
        <v>45402</v>
      </c>
      <c r="AQ140" s="44">
        <v>1165.028</v>
      </c>
      <c r="AR140" s="44">
        <v>256.47966259999998</v>
      </c>
      <c r="AS140" s="44"/>
      <c r="AT140" s="44">
        <v>82.200263225806452</v>
      </c>
      <c r="AU140" s="44">
        <f t="shared" si="83"/>
        <v>1503.7079258258063</v>
      </c>
      <c r="AV140" s="17">
        <f t="shared" si="89"/>
        <v>1</v>
      </c>
      <c r="AW140" s="17"/>
      <c r="AX140" s="1">
        <f t="shared" si="95"/>
        <v>45768</v>
      </c>
      <c r="AY140" s="44">
        <v>1088.2070000000001</v>
      </c>
      <c r="AZ140" s="44">
        <v>253.4110838</v>
      </c>
      <c r="BA140" s="44"/>
      <c r="BB140" s="44">
        <v>74.449660645161288</v>
      </c>
      <c r="BC140" s="44">
        <f t="shared" si="84"/>
        <v>1416.0677444451612</v>
      </c>
      <c r="BD140" s="17">
        <f t="shared" si="90"/>
        <v>0</v>
      </c>
    </row>
    <row r="141" spans="1:56" x14ac:dyDescent="0.3">
      <c r="A141" s="17"/>
      <c r="B141" s="1">
        <v>43577</v>
      </c>
      <c r="C141" s="36">
        <v>1042</v>
      </c>
      <c r="D141" s="36">
        <v>168.15899999999999</v>
      </c>
      <c r="E141" s="36"/>
      <c r="F141" s="36">
        <v>62</v>
      </c>
      <c r="G141" s="7">
        <f t="shared" si="78"/>
        <v>1272.1590000000001</v>
      </c>
      <c r="H141" s="17">
        <f t="shared" si="77"/>
        <v>0</v>
      </c>
      <c r="J141" s="1">
        <v>43942</v>
      </c>
      <c r="K141" s="46">
        <v>861.87199999999996</v>
      </c>
      <c r="L141" s="46">
        <v>160.476</v>
      </c>
      <c r="M141" s="101"/>
      <c r="N141" s="46">
        <v>65.614000000000004</v>
      </c>
      <c r="O141" s="7">
        <f t="shared" si="79"/>
        <v>1087.962</v>
      </c>
      <c r="P141" s="17">
        <f t="shared" si="85"/>
        <v>0</v>
      </c>
      <c r="R141" s="89">
        <f t="shared" si="91"/>
        <v>44308</v>
      </c>
      <c r="S141" s="96">
        <v>984.33936344086021</v>
      </c>
      <c r="T141" s="97">
        <v>199.15947516129032</v>
      </c>
      <c r="U141" s="98"/>
      <c r="V141" s="99">
        <v>80.080743225806458</v>
      </c>
      <c r="W141" s="7">
        <f t="shared" si="80"/>
        <v>1263.5795818279569</v>
      </c>
      <c r="X141" s="17">
        <f t="shared" si="86"/>
        <v>0</v>
      </c>
      <c r="Y141" s="17"/>
      <c r="Z141" s="1">
        <f t="shared" si="92"/>
        <v>44673</v>
      </c>
      <c r="AA141" s="101">
        <v>1152.7858887096775</v>
      </c>
      <c r="AB141" s="101">
        <v>214.88632774193547</v>
      </c>
      <c r="AC141" s="101"/>
      <c r="AD141" s="101">
        <v>74.254348387096769</v>
      </c>
      <c r="AE141" s="101">
        <f t="shared" si="81"/>
        <v>1441.9265648387097</v>
      </c>
      <c r="AF141" s="17">
        <f t="shared" si="87"/>
        <v>0</v>
      </c>
      <c r="AH141" s="1">
        <f t="shared" si="93"/>
        <v>45038</v>
      </c>
      <c r="AI141" s="44">
        <v>1089.4837870967742</v>
      </c>
      <c r="AJ141" s="44">
        <v>212.72629763440861</v>
      </c>
      <c r="AK141" s="44"/>
      <c r="AL141" s="44">
        <v>81.367738064516132</v>
      </c>
      <c r="AM141" s="44">
        <f t="shared" si="82"/>
        <v>1383.5778227956989</v>
      </c>
      <c r="AN141" s="17">
        <f t="shared" si="88"/>
        <v>0</v>
      </c>
      <c r="AO141" s="17"/>
      <c r="AP141" s="1">
        <f t="shared" si="94"/>
        <v>45403</v>
      </c>
      <c r="AQ141" s="44">
        <v>1057.4079999999999</v>
      </c>
      <c r="AR141" s="44">
        <v>231.523933</v>
      </c>
      <c r="AS141" s="44"/>
      <c r="AT141" s="44">
        <v>66.935947741935479</v>
      </c>
      <c r="AU141" s="44">
        <f t="shared" si="83"/>
        <v>1355.8678807419353</v>
      </c>
      <c r="AV141" s="17">
        <f t="shared" si="89"/>
        <v>0</v>
      </c>
      <c r="AW141" s="17"/>
      <c r="AX141" s="1">
        <f t="shared" si="95"/>
        <v>45769</v>
      </c>
      <c r="AY141" s="44">
        <v>1153.5550000000001</v>
      </c>
      <c r="AZ141" s="44">
        <v>272.11925719999999</v>
      </c>
      <c r="BA141" s="44"/>
      <c r="BB141" s="44">
        <v>83.387049032258062</v>
      </c>
      <c r="BC141" s="44">
        <f t="shared" si="84"/>
        <v>1509.0613062322582</v>
      </c>
      <c r="BD141" s="17">
        <f t="shared" si="90"/>
        <v>1</v>
      </c>
    </row>
    <row r="142" spans="1:56" x14ac:dyDescent="0.3">
      <c r="A142" s="17"/>
      <c r="B142" s="1">
        <v>43578</v>
      </c>
      <c r="C142" s="36">
        <v>1043</v>
      </c>
      <c r="D142" s="36">
        <v>178.68299999999999</v>
      </c>
      <c r="E142" s="36"/>
      <c r="F142" s="36">
        <v>66</v>
      </c>
      <c r="G142" s="7">
        <f t="shared" si="78"/>
        <v>1287.683</v>
      </c>
      <c r="H142" s="17">
        <f t="shared" si="77"/>
        <v>0</v>
      </c>
      <c r="J142" s="1">
        <v>43943</v>
      </c>
      <c r="K142" s="46">
        <v>820.73699999999997</v>
      </c>
      <c r="L142" s="46">
        <v>150.37200000000001</v>
      </c>
      <c r="M142" s="101"/>
      <c r="N142" s="46">
        <v>62.857999999999997</v>
      </c>
      <c r="O142" s="7">
        <f t="shared" si="79"/>
        <v>1033.9669999999999</v>
      </c>
      <c r="P142" s="17">
        <f t="shared" si="85"/>
        <v>0</v>
      </c>
      <c r="R142" s="1">
        <f t="shared" si="91"/>
        <v>44309</v>
      </c>
      <c r="S142" s="62">
        <v>987.6791569892473</v>
      </c>
      <c r="T142" s="44">
        <v>191.25079548387097</v>
      </c>
      <c r="V142" s="67">
        <v>76.357202580645165</v>
      </c>
      <c r="W142" s="7">
        <f t="shared" si="80"/>
        <v>1255.2871550537634</v>
      </c>
      <c r="X142" s="17">
        <f t="shared" si="86"/>
        <v>0</v>
      </c>
      <c r="Y142" s="17"/>
      <c r="Z142" s="1">
        <f t="shared" si="92"/>
        <v>44674</v>
      </c>
      <c r="AA142" s="101">
        <v>1086.8112000000001</v>
      </c>
      <c r="AB142" s="101">
        <v>213.64245161290322</v>
      </c>
      <c r="AC142" s="101"/>
      <c r="AD142" s="101">
        <v>70.209984516129026</v>
      </c>
      <c r="AE142" s="101">
        <f t="shared" si="81"/>
        <v>1370.6636361290323</v>
      </c>
      <c r="AF142" s="17">
        <f t="shared" si="87"/>
        <v>0</v>
      </c>
      <c r="AH142" s="1">
        <f t="shared" si="93"/>
        <v>45039</v>
      </c>
      <c r="AI142" s="44">
        <v>1048.8287806451613</v>
      </c>
      <c r="AJ142" s="44">
        <v>203.22172322580644</v>
      </c>
      <c r="AK142" s="44"/>
      <c r="AL142" s="44">
        <v>74.200491720430108</v>
      </c>
      <c r="AM142" s="44">
        <f t="shared" si="82"/>
        <v>1326.2509955913979</v>
      </c>
      <c r="AN142" s="17">
        <f t="shared" si="88"/>
        <v>0</v>
      </c>
      <c r="AO142" s="17"/>
      <c r="AP142" s="1">
        <f t="shared" si="94"/>
        <v>45404</v>
      </c>
      <c r="AQ142" s="44">
        <v>1122.2919999999999</v>
      </c>
      <c r="AR142" s="44">
        <v>237.85794000000001</v>
      </c>
      <c r="AS142" s="44"/>
      <c r="AT142" s="44">
        <v>66.150038709677418</v>
      </c>
      <c r="AU142" s="44">
        <f t="shared" si="83"/>
        <v>1426.2999787096774</v>
      </c>
      <c r="AV142" s="17">
        <f t="shared" si="89"/>
        <v>0</v>
      </c>
      <c r="AW142" s="17"/>
      <c r="AX142" s="1">
        <f t="shared" si="95"/>
        <v>45770</v>
      </c>
      <c r="AY142" s="44">
        <v>1210.405</v>
      </c>
      <c r="AZ142" s="44">
        <v>275.86877759999999</v>
      </c>
      <c r="BA142" s="44"/>
      <c r="BB142" s="44">
        <v>78.24446967741936</v>
      </c>
      <c r="BC142" s="44">
        <f t="shared" si="84"/>
        <v>1564.5182472774193</v>
      </c>
      <c r="BD142" s="17">
        <f t="shared" si="90"/>
        <v>1</v>
      </c>
    </row>
    <row r="143" spans="1:56" x14ac:dyDescent="0.3">
      <c r="A143" s="17"/>
      <c r="B143" s="1">
        <v>43579</v>
      </c>
      <c r="C143" s="36">
        <v>985</v>
      </c>
      <c r="D143" s="36">
        <v>155.12</v>
      </c>
      <c r="E143" s="36"/>
      <c r="F143" s="36">
        <v>64</v>
      </c>
      <c r="G143" s="7">
        <f t="shared" si="78"/>
        <v>1204.1199999999999</v>
      </c>
      <c r="H143" s="17">
        <f t="shared" si="77"/>
        <v>0</v>
      </c>
      <c r="J143" s="1">
        <v>43944</v>
      </c>
      <c r="K143" s="46">
        <v>820.24800000000005</v>
      </c>
      <c r="L143" s="46">
        <v>159.84299999999999</v>
      </c>
      <c r="M143" s="101"/>
      <c r="N143" s="46">
        <v>63.652999999999999</v>
      </c>
      <c r="O143" s="7">
        <f t="shared" si="79"/>
        <v>1043.7439999999999</v>
      </c>
      <c r="P143" s="17">
        <f t="shared" si="85"/>
        <v>0</v>
      </c>
      <c r="R143" s="1">
        <f t="shared" si="91"/>
        <v>44310</v>
      </c>
      <c r="S143" s="62">
        <v>926.74813763440864</v>
      </c>
      <c r="T143" s="44">
        <v>187.84649344086023</v>
      </c>
      <c r="V143" s="66">
        <v>73.152309677419353</v>
      </c>
      <c r="W143" s="7">
        <f t="shared" si="80"/>
        <v>1187.7469407526883</v>
      </c>
      <c r="X143" s="17">
        <f t="shared" si="86"/>
        <v>0</v>
      </c>
      <c r="Y143" s="17"/>
      <c r="Z143" s="1">
        <f t="shared" si="92"/>
        <v>44675</v>
      </c>
      <c r="AA143" s="101">
        <v>1055.802179032258</v>
      </c>
      <c r="AB143" s="101">
        <v>224.20712</v>
      </c>
      <c r="AC143" s="101"/>
      <c r="AD143" s="101">
        <v>66.248532258064515</v>
      </c>
      <c r="AE143" s="101">
        <f t="shared" si="81"/>
        <v>1346.2578312903224</v>
      </c>
      <c r="AF143" s="17">
        <f t="shared" si="87"/>
        <v>0</v>
      </c>
      <c r="AH143" s="1">
        <f t="shared" si="93"/>
        <v>45040</v>
      </c>
      <c r="AI143" s="44">
        <v>1204.624264516129</v>
      </c>
      <c r="AJ143" s="44">
        <v>219.42239397849463</v>
      </c>
      <c r="AK143" s="44"/>
      <c r="AL143" s="44">
        <v>75.954237096774193</v>
      </c>
      <c r="AM143" s="44">
        <f t="shared" si="82"/>
        <v>1500.0008955913979</v>
      </c>
      <c r="AN143" s="17">
        <f t="shared" si="88"/>
        <v>1</v>
      </c>
      <c r="AO143" s="17"/>
      <c r="AP143" s="1">
        <f t="shared" si="94"/>
        <v>45405</v>
      </c>
      <c r="AQ143" s="44">
        <v>1099.4290000000001</v>
      </c>
      <c r="AR143" s="44">
        <v>220.01266559999999</v>
      </c>
      <c r="AS143" s="44"/>
      <c r="AT143" s="44">
        <v>72.075081290322586</v>
      </c>
      <c r="AU143" s="44">
        <f t="shared" si="83"/>
        <v>1391.5167468903226</v>
      </c>
      <c r="AV143" s="17">
        <f t="shared" si="89"/>
        <v>0</v>
      </c>
      <c r="AW143" s="17"/>
      <c r="AX143" s="1">
        <f t="shared" si="95"/>
        <v>45771</v>
      </c>
      <c r="AY143" s="44">
        <v>1085.28</v>
      </c>
      <c r="AZ143" s="44">
        <v>258.3256063</v>
      </c>
      <c r="BA143" s="44"/>
      <c r="BB143" s="44">
        <v>82.599221935483868</v>
      </c>
      <c r="BC143" s="44">
        <f t="shared" si="84"/>
        <v>1426.204828235484</v>
      </c>
      <c r="BD143" s="17">
        <f t="shared" si="90"/>
        <v>0</v>
      </c>
    </row>
    <row r="144" spans="1:56" x14ac:dyDescent="0.3">
      <c r="A144" s="17"/>
      <c r="B144" s="1">
        <v>43580</v>
      </c>
      <c r="C144" s="36">
        <v>1069</v>
      </c>
      <c r="D144" s="36">
        <v>170.06800000000001</v>
      </c>
      <c r="E144" s="36"/>
      <c r="F144" s="36">
        <v>65</v>
      </c>
      <c r="G144" s="7">
        <f t="shared" si="78"/>
        <v>1304.068</v>
      </c>
      <c r="H144" s="17">
        <f t="shared" ref="H144:H207" si="96">IF(G144&gt;1758,1,0)</f>
        <v>0</v>
      </c>
      <c r="J144" s="1">
        <v>43945</v>
      </c>
      <c r="K144" s="46">
        <v>943.65200000000004</v>
      </c>
      <c r="L144" s="46">
        <v>169.756</v>
      </c>
      <c r="M144" s="101"/>
      <c r="N144" s="46">
        <v>68.637</v>
      </c>
      <c r="O144" s="7">
        <f t="shared" si="79"/>
        <v>1182.0450000000001</v>
      </c>
      <c r="P144" s="17">
        <f t="shared" si="85"/>
        <v>0</v>
      </c>
      <c r="R144" s="1">
        <f t="shared" si="91"/>
        <v>44311</v>
      </c>
      <c r="S144" s="62">
        <v>877.58932043010748</v>
      </c>
      <c r="T144" s="44">
        <v>167.23022344086021</v>
      </c>
      <c r="V144" s="67">
        <v>67.765594838709674</v>
      </c>
      <c r="W144" s="7">
        <f t="shared" si="80"/>
        <v>1112.5851387096773</v>
      </c>
      <c r="X144" s="17">
        <f t="shared" si="86"/>
        <v>0</v>
      </c>
      <c r="Y144" s="17"/>
      <c r="Z144" s="1">
        <f t="shared" si="92"/>
        <v>44676</v>
      </c>
      <c r="AA144" s="101">
        <v>1148.5695193548388</v>
      </c>
      <c r="AB144" s="101">
        <v>228.39718193548387</v>
      </c>
      <c r="AC144" s="101"/>
      <c r="AD144" s="101">
        <v>70.669767096774194</v>
      </c>
      <c r="AE144" s="101">
        <f t="shared" si="81"/>
        <v>1447.6364683870968</v>
      </c>
      <c r="AF144" s="17">
        <f t="shared" si="87"/>
        <v>0</v>
      </c>
      <c r="AH144" s="1">
        <f t="shared" si="93"/>
        <v>45041</v>
      </c>
      <c r="AI144" s="44">
        <v>1206.0700548387097</v>
      </c>
      <c r="AJ144" s="44">
        <v>223.83288387096775</v>
      </c>
      <c r="AK144" s="44"/>
      <c r="AL144" s="44">
        <v>81.796455376344085</v>
      </c>
      <c r="AM144" s="44">
        <f t="shared" si="82"/>
        <v>1511.6993940860216</v>
      </c>
      <c r="AN144" s="17">
        <f t="shared" si="88"/>
        <v>1</v>
      </c>
      <c r="AO144" s="17"/>
      <c r="AP144" s="1">
        <f t="shared" si="94"/>
        <v>45406</v>
      </c>
      <c r="AQ144" s="44">
        <v>1121.915</v>
      </c>
      <c r="AR144" s="44">
        <v>232.6262572</v>
      </c>
      <c r="AS144" s="44"/>
      <c r="AT144" s="44">
        <v>74.286191612903224</v>
      </c>
      <c r="AU144" s="44">
        <f t="shared" si="83"/>
        <v>1428.8274488129032</v>
      </c>
      <c r="AV144" s="17">
        <f t="shared" si="89"/>
        <v>0</v>
      </c>
      <c r="AW144" s="17"/>
      <c r="AX144" s="1">
        <f t="shared" si="95"/>
        <v>45772</v>
      </c>
      <c r="AY144" s="44">
        <v>1096.855</v>
      </c>
      <c r="AZ144" s="44">
        <v>274.91971119999999</v>
      </c>
      <c r="BA144" s="44"/>
      <c r="BB144" s="44">
        <v>78.352985806451613</v>
      </c>
      <c r="BC144" s="44">
        <f t="shared" si="84"/>
        <v>1450.1276970064516</v>
      </c>
      <c r="BD144" s="17">
        <f t="shared" si="90"/>
        <v>0</v>
      </c>
    </row>
    <row r="145" spans="1:56" x14ac:dyDescent="0.3">
      <c r="A145" s="17"/>
      <c r="B145" s="1">
        <v>43581</v>
      </c>
      <c r="C145" s="36">
        <v>986</v>
      </c>
      <c r="D145" s="36">
        <v>162.67500000000001</v>
      </c>
      <c r="E145" s="36"/>
      <c r="F145" s="36">
        <v>63</v>
      </c>
      <c r="G145" s="7">
        <f t="shared" si="78"/>
        <v>1211.675</v>
      </c>
      <c r="H145" s="17">
        <f t="shared" si="96"/>
        <v>0</v>
      </c>
      <c r="J145" s="1">
        <v>43946</v>
      </c>
      <c r="K145" s="46">
        <v>943.16200000000003</v>
      </c>
      <c r="L145" s="46">
        <v>184.01300000000001</v>
      </c>
      <c r="M145" s="101"/>
      <c r="N145" s="46">
        <v>67.566999999999993</v>
      </c>
      <c r="O145" s="7">
        <f t="shared" si="79"/>
        <v>1194.742</v>
      </c>
      <c r="P145" s="17">
        <f t="shared" si="85"/>
        <v>0</v>
      </c>
      <c r="R145" s="1">
        <f t="shared" si="91"/>
        <v>44312</v>
      </c>
      <c r="S145" s="62">
        <v>1047.9063526881721</v>
      </c>
      <c r="T145" s="44">
        <v>191.16337225806453</v>
      </c>
      <c r="V145" s="66">
        <v>72.39184516129032</v>
      </c>
      <c r="W145" s="7">
        <f t="shared" si="80"/>
        <v>1311.461570107527</v>
      </c>
      <c r="X145" s="17">
        <f t="shared" si="86"/>
        <v>0</v>
      </c>
      <c r="Y145" s="17"/>
      <c r="Z145" s="1">
        <f t="shared" si="92"/>
        <v>44677</v>
      </c>
      <c r="AA145" s="101">
        <v>1245.2193</v>
      </c>
      <c r="AB145" s="101">
        <v>232.5065264516129</v>
      </c>
      <c r="AC145" s="101"/>
      <c r="AD145" s="101">
        <v>78.616360645161294</v>
      </c>
      <c r="AE145" s="101">
        <f t="shared" si="81"/>
        <v>1556.3421870967741</v>
      </c>
      <c r="AF145" s="17">
        <f t="shared" si="87"/>
        <v>1</v>
      </c>
      <c r="AH145" s="1">
        <f t="shared" si="93"/>
        <v>45042</v>
      </c>
      <c r="AI145" s="44">
        <v>1131.8737419354838</v>
      </c>
      <c r="AJ145" s="44">
        <v>226.57874258064516</v>
      </c>
      <c r="AK145" s="44"/>
      <c r="AL145" s="44">
        <v>86.721844946236558</v>
      </c>
      <c r="AM145" s="44">
        <f t="shared" si="82"/>
        <v>1445.1743294623657</v>
      </c>
      <c r="AN145" s="17">
        <f t="shared" si="88"/>
        <v>0</v>
      </c>
      <c r="AO145" s="17"/>
      <c r="AP145" s="1">
        <f t="shared" si="94"/>
        <v>45407</v>
      </c>
      <c r="AQ145" s="44">
        <v>1116.8219999999999</v>
      </c>
      <c r="AR145" s="44">
        <v>248.88568409999999</v>
      </c>
      <c r="AS145" s="44"/>
      <c r="AT145" s="44">
        <v>72.295006451612906</v>
      </c>
      <c r="AU145" s="44">
        <f t="shared" si="83"/>
        <v>1438.0026905516127</v>
      </c>
      <c r="AV145" s="17">
        <f t="shared" si="89"/>
        <v>0</v>
      </c>
      <c r="AW145" s="17"/>
      <c r="AX145" s="1">
        <f t="shared" si="95"/>
        <v>45773</v>
      </c>
      <c r="AY145" s="44">
        <v>1111.7660000000001</v>
      </c>
      <c r="AZ145" s="44">
        <v>278.86761239999998</v>
      </c>
      <c r="BA145" s="44"/>
      <c r="BB145" s="44">
        <v>75.143078709677425</v>
      </c>
      <c r="BC145" s="44">
        <f t="shared" si="84"/>
        <v>1465.7766911096774</v>
      </c>
      <c r="BD145" s="17">
        <f t="shared" si="90"/>
        <v>0</v>
      </c>
    </row>
    <row r="146" spans="1:56" x14ac:dyDescent="0.3">
      <c r="A146" s="17"/>
      <c r="B146" s="1">
        <v>43582</v>
      </c>
      <c r="C146" s="36">
        <v>1016</v>
      </c>
      <c r="D146" s="36">
        <v>180.066</v>
      </c>
      <c r="E146" s="36"/>
      <c r="F146" s="36">
        <v>64</v>
      </c>
      <c r="G146" s="7">
        <f t="shared" si="78"/>
        <v>1260.066</v>
      </c>
      <c r="H146" s="17">
        <f t="shared" si="96"/>
        <v>0</v>
      </c>
      <c r="J146" s="1">
        <v>43947</v>
      </c>
      <c r="K146" s="46">
        <v>926.02300000000002</v>
      </c>
      <c r="L146" s="46">
        <v>184.44300000000001</v>
      </c>
      <c r="M146" s="101"/>
      <c r="N146" s="46">
        <v>57.970999999999997</v>
      </c>
      <c r="O146" s="7">
        <f t="shared" si="79"/>
        <v>1168.4370000000001</v>
      </c>
      <c r="P146" s="17">
        <f t="shared" si="85"/>
        <v>0</v>
      </c>
      <c r="R146" s="1">
        <f t="shared" si="91"/>
        <v>44313</v>
      </c>
      <c r="S146" s="62">
        <v>1039.1702322580645</v>
      </c>
      <c r="T146" s="44">
        <v>191.92104021505375</v>
      </c>
      <c r="V146" s="67">
        <v>74.907396129032264</v>
      </c>
      <c r="W146" s="7">
        <f t="shared" si="80"/>
        <v>1305.9986686021507</v>
      </c>
      <c r="X146" s="17">
        <f t="shared" si="86"/>
        <v>0</v>
      </c>
      <c r="Y146" s="17"/>
      <c r="Z146" s="1">
        <f t="shared" si="92"/>
        <v>44678</v>
      </c>
      <c r="AA146" s="101">
        <v>1264.6469612903227</v>
      </c>
      <c r="AB146" s="101">
        <v>250.88940129032258</v>
      </c>
      <c r="AC146" s="101"/>
      <c r="AD146" s="101">
        <v>81.436432258064514</v>
      </c>
      <c r="AE146" s="101">
        <f t="shared" si="81"/>
        <v>1596.9727948387099</v>
      </c>
      <c r="AF146" s="17">
        <f t="shared" si="87"/>
        <v>1</v>
      </c>
      <c r="AH146" s="1">
        <f t="shared" si="93"/>
        <v>45043</v>
      </c>
      <c r="AI146" s="44">
        <v>1175.9410193548388</v>
      </c>
      <c r="AJ146" s="44">
        <v>231.04767720430107</v>
      </c>
      <c r="AK146" s="44"/>
      <c r="AL146" s="44">
        <v>84.786677634408605</v>
      </c>
      <c r="AM146" s="44">
        <f t="shared" si="82"/>
        <v>1491.7753741935485</v>
      </c>
      <c r="AN146" s="17">
        <f t="shared" si="88"/>
        <v>1</v>
      </c>
      <c r="AO146" s="17"/>
      <c r="AP146" s="1">
        <f t="shared" si="94"/>
        <v>45408</v>
      </c>
      <c r="AQ146" s="44">
        <v>1255.5730000000001</v>
      </c>
      <c r="AR146" s="44">
        <v>266.68720080000003</v>
      </c>
      <c r="AS146" s="44"/>
      <c r="AT146" s="44">
        <v>79.677592258064522</v>
      </c>
      <c r="AU146" s="44">
        <f t="shared" si="83"/>
        <v>1601.9377930580647</v>
      </c>
      <c r="AV146" s="17">
        <f t="shared" si="89"/>
        <v>1</v>
      </c>
      <c r="AW146" s="17"/>
      <c r="AX146" s="1">
        <f t="shared" si="95"/>
        <v>45774</v>
      </c>
      <c r="AY146" s="44">
        <v>978.59799999999996</v>
      </c>
      <c r="AZ146" s="44">
        <v>230.771151</v>
      </c>
      <c r="BA146" s="44"/>
      <c r="BB146" s="44">
        <v>66.081981935483867</v>
      </c>
      <c r="BC146" s="44">
        <f t="shared" si="84"/>
        <v>1275.4511329354837</v>
      </c>
      <c r="BD146" s="17">
        <f t="shared" si="90"/>
        <v>0</v>
      </c>
    </row>
    <row r="147" spans="1:56" x14ac:dyDescent="0.3">
      <c r="A147" s="17"/>
      <c r="B147" s="1">
        <v>43583</v>
      </c>
      <c r="C147" s="36">
        <v>960</v>
      </c>
      <c r="D147" s="36">
        <v>179.02099999999999</v>
      </c>
      <c r="E147" s="36"/>
      <c r="F147" s="36">
        <v>58</v>
      </c>
      <c r="G147" s="7">
        <f t="shared" si="78"/>
        <v>1197.021</v>
      </c>
      <c r="H147" s="17">
        <f t="shared" si="96"/>
        <v>0</v>
      </c>
      <c r="J147" s="1">
        <v>43948</v>
      </c>
      <c r="K147" s="46">
        <v>993.601</v>
      </c>
      <c r="L147" s="46">
        <v>197.58099999999999</v>
      </c>
      <c r="M147" s="101"/>
      <c r="N147" s="46">
        <v>67.41</v>
      </c>
      <c r="O147" s="7">
        <f t="shared" si="79"/>
        <v>1258.5920000000001</v>
      </c>
      <c r="P147" s="17">
        <f t="shared" si="85"/>
        <v>0</v>
      </c>
      <c r="R147" s="1">
        <f t="shared" si="91"/>
        <v>44314</v>
      </c>
      <c r="S147" s="62">
        <v>1164.4560258064516</v>
      </c>
      <c r="T147" s="44">
        <v>210.11027494623656</v>
      </c>
      <c r="V147" s="66">
        <v>79.471277419354834</v>
      </c>
      <c r="W147" s="7">
        <f t="shared" si="80"/>
        <v>1454.0375781720431</v>
      </c>
      <c r="X147" s="17">
        <f t="shared" si="86"/>
        <v>0</v>
      </c>
      <c r="Y147" s="17"/>
      <c r="Z147" s="1">
        <f t="shared" si="92"/>
        <v>44679</v>
      </c>
      <c r="AA147" s="101">
        <v>1205.5621354838709</v>
      </c>
      <c r="AB147" s="101">
        <v>248.82696774193548</v>
      </c>
      <c r="AC147" s="101"/>
      <c r="AD147" s="101">
        <v>82.677952903225801</v>
      </c>
      <c r="AE147" s="101">
        <f t="shared" si="81"/>
        <v>1537.0670561290322</v>
      </c>
      <c r="AF147" s="17">
        <f t="shared" si="87"/>
        <v>1</v>
      </c>
      <c r="AH147" s="1">
        <f t="shared" si="93"/>
        <v>45044</v>
      </c>
      <c r="AI147" s="44">
        <v>1292.2628258064517</v>
      </c>
      <c r="AJ147" s="44">
        <v>235.49469505376345</v>
      </c>
      <c r="AK147" s="44"/>
      <c r="AL147" s="44">
        <v>89.119206236559137</v>
      </c>
      <c r="AM147" s="44">
        <f t="shared" si="82"/>
        <v>1616.8767270967744</v>
      </c>
      <c r="AN147" s="17">
        <f t="shared" si="88"/>
        <v>1</v>
      </c>
      <c r="AO147" s="17"/>
      <c r="AP147" s="1">
        <f t="shared" si="94"/>
        <v>45409</v>
      </c>
      <c r="AQ147" s="44">
        <v>1201.2629999999999</v>
      </c>
      <c r="AR147" s="44">
        <v>267.36775519999998</v>
      </c>
      <c r="AS147" s="44"/>
      <c r="AT147" s="44">
        <v>78.230829677419351</v>
      </c>
      <c r="AU147" s="44">
        <f t="shared" si="83"/>
        <v>1546.8615848774191</v>
      </c>
      <c r="AV147" s="17">
        <f t="shared" si="89"/>
        <v>1</v>
      </c>
      <c r="AW147" s="17"/>
      <c r="AX147" s="1">
        <f t="shared" si="95"/>
        <v>45775</v>
      </c>
      <c r="AY147" s="44">
        <v>1046.498</v>
      </c>
      <c r="AZ147" s="44">
        <v>235.752917</v>
      </c>
      <c r="BA147" s="44"/>
      <c r="BB147" s="44">
        <v>71.494766451612904</v>
      </c>
      <c r="BC147" s="44">
        <f t="shared" si="84"/>
        <v>1353.7456834516129</v>
      </c>
      <c r="BD147" s="17">
        <f t="shared" si="90"/>
        <v>0</v>
      </c>
    </row>
    <row r="148" spans="1:56" x14ac:dyDescent="0.3">
      <c r="A148" s="17"/>
      <c r="B148" s="1">
        <v>43584</v>
      </c>
      <c r="C148" s="36">
        <v>1122</v>
      </c>
      <c r="D148" s="36">
        <v>193.44900000000001</v>
      </c>
      <c r="E148" s="36"/>
      <c r="F148" s="36">
        <v>65</v>
      </c>
      <c r="G148" s="7">
        <f t="shared" si="78"/>
        <v>1380.4490000000001</v>
      </c>
      <c r="H148" s="17">
        <f t="shared" si="96"/>
        <v>0</v>
      </c>
      <c r="J148" s="1">
        <v>43949</v>
      </c>
      <c r="K148" s="46">
        <v>979.4</v>
      </c>
      <c r="L148" s="46">
        <v>201.75700000000001</v>
      </c>
      <c r="M148" s="101"/>
      <c r="N148" s="46">
        <v>69.192999999999998</v>
      </c>
      <c r="O148" s="7">
        <f t="shared" si="79"/>
        <v>1250.3499999999999</v>
      </c>
      <c r="P148" s="17">
        <f t="shared" si="85"/>
        <v>0</v>
      </c>
      <c r="R148" s="1">
        <f t="shared" si="91"/>
        <v>44315</v>
      </c>
      <c r="S148" s="62">
        <v>1182.9948860215054</v>
      </c>
      <c r="T148" s="44">
        <v>212.39784935483871</v>
      </c>
      <c r="V148" s="67">
        <v>82.419034838709678</v>
      </c>
      <c r="W148" s="7">
        <f t="shared" si="80"/>
        <v>1477.8117702150537</v>
      </c>
      <c r="X148" s="17">
        <f t="shared" si="86"/>
        <v>1</v>
      </c>
      <c r="Y148" s="17"/>
      <c r="Z148" s="1">
        <f t="shared" si="92"/>
        <v>44680</v>
      </c>
      <c r="AA148" s="101">
        <v>1161.9617225806451</v>
      </c>
      <c r="AB148" s="101">
        <v>231.73039741935483</v>
      </c>
      <c r="AC148" s="101"/>
      <c r="AD148" s="101">
        <v>78.655124516129035</v>
      </c>
      <c r="AE148" s="101">
        <f t="shared" si="81"/>
        <v>1472.347244516129</v>
      </c>
      <c r="AF148" s="17">
        <f t="shared" si="87"/>
        <v>0</v>
      </c>
      <c r="AH148" s="1">
        <f t="shared" si="93"/>
        <v>45045</v>
      </c>
      <c r="AI148" s="44">
        <v>1245.3420419354838</v>
      </c>
      <c r="AJ148" s="44">
        <v>253.09490838709678</v>
      </c>
      <c r="AK148" s="44"/>
      <c r="AL148" s="44">
        <v>90.858913010752687</v>
      </c>
      <c r="AM148" s="44">
        <f t="shared" si="82"/>
        <v>1589.2958633333335</v>
      </c>
      <c r="AN148" s="17">
        <f t="shared" si="88"/>
        <v>1</v>
      </c>
      <c r="AO148" s="17"/>
      <c r="AP148" s="1">
        <f t="shared" si="94"/>
        <v>45410</v>
      </c>
      <c r="AQ148" s="44">
        <v>1175.904</v>
      </c>
      <c r="AR148" s="44">
        <v>256.43978520000002</v>
      </c>
      <c r="AS148" s="44"/>
      <c r="AT148" s="44">
        <v>73.876527096774197</v>
      </c>
      <c r="AU148" s="44">
        <f t="shared" si="83"/>
        <v>1506.2203122967742</v>
      </c>
      <c r="AV148" s="17">
        <f t="shared" si="89"/>
        <v>1</v>
      </c>
      <c r="AW148" s="17"/>
      <c r="AX148" s="1">
        <f t="shared" si="95"/>
        <v>45776</v>
      </c>
      <c r="AY148" s="44">
        <v>1066.4380000000001</v>
      </c>
      <c r="AZ148" s="44">
        <v>232.99551049999999</v>
      </c>
      <c r="BA148" s="44"/>
      <c r="BB148" s="44">
        <v>77.12783870967742</v>
      </c>
      <c r="BC148" s="44">
        <f t="shared" si="84"/>
        <v>1376.5613492096775</v>
      </c>
      <c r="BD148" s="17">
        <f t="shared" si="90"/>
        <v>0</v>
      </c>
    </row>
    <row r="149" spans="1:56" x14ac:dyDescent="0.3">
      <c r="A149" s="17"/>
      <c r="B149" s="1">
        <v>43585</v>
      </c>
      <c r="C149" s="36">
        <v>1134</v>
      </c>
      <c r="D149" s="36">
        <v>197.083</v>
      </c>
      <c r="E149" s="36"/>
      <c r="F149" s="36">
        <v>67</v>
      </c>
      <c r="G149" s="7">
        <f t="shared" si="78"/>
        <v>1398.0830000000001</v>
      </c>
      <c r="H149" s="17">
        <f t="shared" si="96"/>
        <v>0</v>
      </c>
      <c r="J149" s="1">
        <v>43950</v>
      </c>
      <c r="K149" s="46">
        <v>961.28099999999995</v>
      </c>
      <c r="L149" s="46">
        <v>206.57599999999999</v>
      </c>
      <c r="M149" s="101"/>
      <c r="N149" s="46">
        <v>71.403999999999996</v>
      </c>
      <c r="O149" s="7">
        <f t="shared" si="79"/>
        <v>1239.261</v>
      </c>
      <c r="P149" s="17">
        <f t="shared" si="85"/>
        <v>0</v>
      </c>
      <c r="R149" s="38">
        <f t="shared" si="91"/>
        <v>44316</v>
      </c>
      <c r="S149" s="62">
        <v>1173.5725634408602</v>
      </c>
      <c r="T149" s="44">
        <v>209.02476989247313</v>
      </c>
      <c r="V149" s="65">
        <v>81.908046451612904</v>
      </c>
      <c r="W149" s="7">
        <f t="shared" si="80"/>
        <v>1464.5053797849464</v>
      </c>
      <c r="X149" s="17">
        <f t="shared" si="86"/>
        <v>0</v>
      </c>
      <c r="Y149" s="17"/>
      <c r="Z149" s="38">
        <f t="shared" si="92"/>
        <v>44681</v>
      </c>
      <c r="AA149" s="101">
        <v>1161.9277112903226</v>
      </c>
      <c r="AB149" s="101">
        <v>253.63689806451612</v>
      </c>
      <c r="AC149" s="101"/>
      <c r="AD149" s="101">
        <v>75.804903225806456</v>
      </c>
      <c r="AE149" s="101">
        <f t="shared" si="81"/>
        <v>1491.3695125806451</v>
      </c>
      <c r="AF149" s="17">
        <f t="shared" si="87"/>
        <v>1</v>
      </c>
      <c r="AH149" s="38">
        <f t="shared" si="93"/>
        <v>45046</v>
      </c>
      <c r="AI149" s="44">
        <v>1171.8629645161291</v>
      </c>
      <c r="AJ149" s="44">
        <v>262.36466021505379</v>
      </c>
      <c r="AK149" s="44"/>
      <c r="AL149" s="44">
        <v>83.227312903225808</v>
      </c>
      <c r="AM149" s="44">
        <f t="shared" si="82"/>
        <v>1517.4549376344087</v>
      </c>
      <c r="AN149" s="17">
        <f t="shared" si="88"/>
        <v>1</v>
      </c>
      <c r="AO149" s="17"/>
      <c r="AP149" s="1">
        <f t="shared" si="94"/>
        <v>45411</v>
      </c>
      <c r="AQ149" s="44">
        <v>1298.4929999999999</v>
      </c>
      <c r="AR149" s="44">
        <v>271.04377950000003</v>
      </c>
      <c r="AS149" s="44"/>
      <c r="AT149" s="44">
        <v>77.983952903225813</v>
      </c>
      <c r="AU149" s="44">
        <f t="shared" si="83"/>
        <v>1647.5207324032258</v>
      </c>
      <c r="AV149" s="17">
        <f t="shared" si="89"/>
        <v>1</v>
      </c>
      <c r="AW149" s="17"/>
      <c r="AX149" s="38">
        <f t="shared" si="95"/>
        <v>45777</v>
      </c>
      <c r="AY149" s="44">
        <v>1103.595</v>
      </c>
      <c r="AZ149" s="44">
        <v>257.0903735</v>
      </c>
      <c r="BA149" s="44"/>
      <c r="BB149" s="44">
        <v>78.949824516129027</v>
      </c>
      <c r="BC149" s="44">
        <f t="shared" si="84"/>
        <v>1439.6351980161289</v>
      </c>
      <c r="BD149" s="17">
        <f t="shared" si="90"/>
        <v>0</v>
      </c>
    </row>
    <row r="150" spans="1:56" x14ac:dyDescent="0.3">
      <c r="A150" s="17"/>
      <c r="B150" s="1">
        <v>43586</v>
      </c>
      <c r="C150" s="36">
        <v>1051</v>
      </c>
      <c r="D150" s="36">
        <v>198.95</v>
      </c>
      <c r="E150" s="37"/>
      <c r="F150" s="36">
        <v>59</v>
      </c>
      <c r="G150" s="7">
        <f t="shared" si="78"/>
        <v>1308.95</v>
      </c>
      <c r="H150" s="17">
        <f t="shared" si="96"/>
        <v>0</v>
      </c>
      <c r="J150" s="1">
        <v>43951</v>
      </c>
      <c r="K150" s="46">
        <v>927.98199999999997</v>
      </c>
      <c r="L150" s="46">
        <v>189.83</v>
      </c>
      <c r="M150" s="101"/>
      <c r="N150" s="48">
        <v>68.852999999999994</v>
      </c>
      <c r="O150" s="7">
        <f t="shared" si="79"/>
        <v>1186.665</v>
      </c>
      <c r="P150" s="17">
        <f t="shared" si="85"/>
        <v>0</v>
      </c>
      <c r="R150" s="1">
        <f t="shared" si="91"/>
        <v>44317</v>
      </c>
      <c r="S150" s="62">
        <v>1071.8279630107527</v>
      </c>
      <c r="T150" s="76">
        <v>206.41032774193548</v>
      </c>
      <c r="V150" s="66">
        <v>62.458844623655914</v>
      </c>
      <c r="W150" s="7">
        <f t="shared" si="80"/>
        <v>1340.697135376344</v>
      </c>
      <c r="X150" s="17">
        <f t="shared" si="86"/>
        <v>0</v>
      </c>
      <c r="Y150" s="17"/>
      <c r="Z150" s="1">
        <f t="shared" si="92"/>
        <v>44682</v>
      </c>
      <c r="AA150" s="115">
        <v>981.28697806451612</v>
      </c>
      <c r="AB150" s="115">
        <v>189.50721505376345</v>
      </c>
      <c r="AC150" s="101"/>
      <c r="AD150" s="115">
        <v>69.691079462365593</v>
      </c>
      <c r="AE150" s="101">
        <f t="shared" si="81"/>
        <v>1240.4852725806452</v>
      </c>
      <c r="AF150" s="17">
        <f t="shared" si="87"/>
        <v>0</v>
      </c>
      <c r="AH150" s="1">
        <f t="shared" si="93"/>
        <v>45047</v>
      </c>
      <c r="AI150" s="119">
        <v>1210.9732252688173</v>
      </c>
      <c r="AJ150" s="119">
        <v>246.46255032258065</v>
      </c>
      <c r="AK150" s="44"/>
      <c r="AL150" s="119">
        <v>72.482589677419355</v>
      </c>
      <c r="AM150" s="44">
        <f t="shared" si="82"/>
        <v>1529.9183652688173</v>
      </c>
      <c r="AN150" s="17">
        <f t="shared" si="88"/>
        <v>1</v>
      </c>
      <c r="AO150" s="17"/>
      <c r="AP150" s="38">
        <f t="shared" si="94"/>
        <v>45412</v>
      </c>
      <c r="AQ150" s="119">
        <v>1279.347</v>
      </c>
      <c r="AR150" s="119">
        <v>265.21000199999997</v>
      </c>
      <c r="AS150" s="44"/>
      <c r="AT150" s="119">
        <v>80.004245806451607</v>
      </c>
      <c r="AU150" s="44">
        <f t="shared" si="83"/>
        <v>1624.5612478064515</v>
      </c>
      <c r="AV150" s="17">
        <f t="shared" si="89"/>
        <v>1</v>
      </c>
      <c r="AW150" s="17"/>
      <c r="AX150" s="1">
        <f t="shared" si="95"/>
        <v>45778</v>
      </c>
      <c r="AY150" s="119">
        <v>1060.6389999999999</v>
      </c>
      <c r="AZ150" s="119">
        <v>247.484274</v>
      </c>
      <c r="BA150" s="44"/>
      <c r="BB150" s="119">
        <v>59.694863225806451</v>
      </c>
      <c r="BC150" s="44">
        <f t="shared" si="84"/>
        <v>1367.8181372258064</v>
      </c>
      <c r="BD150" s="17">
        <f t="shared" si="90"/>
        <v>0</v>
      </c>
    </row>
    <row r="151" spans="1:56" s="58" customFormat="1" x14ac:dyDescent="0.3">
      <c r="A151" s="68"/>
      <c r="B151" s="69">
        <v>43587</v>
      </c>
      <c r="C151" s="71">
        <v>1160</v>
      </c>
      <c r="D151" s="71">
        <v>188.351</v>
      </c>
      <c r="E151" s="71"/>
      <c r="F151" s="71">
        <v>68</v>
      </c>
      <c r="G151" s="74">
        <f t="shared" si="78"/>
        <v>1416.3510000000001</v>
      </c>
      <c r="H151" s="68">
        <f t="shared" si="96"/>
        <v>0</v>
      </c>
      <c r="J151" s="69">
        <v>43952</v>
      </c>
      <c r="K151" s="70">
        <v>853.05799999999999</v>
      </c>
      <c r="L151" s="70">
        <v>164.76150000000001</v>
      </c>
      <c r="M151" s="70"/>
      <c r="N151" s="70">
        <v>57.252000000000002</v>
      </c>
      <c r="O151" s="74">
        <f t="shared" si="79"/>
        <v>1075.0715</v>
      </c>
      <c r="P151" s="68">
        <f t="shared" ref="P151:P207" si="97">IF(O151&gt;1758,1,0)</f>
        <v>0</v>
      </c>
      <c r="R151" s="69">
        <f t="shared" si="91"/>
        <v>44318</v>
      </c>
      <c r="S151" s="62">
        <v>1103.2285359139785</v>
      </c>
      <c r="T151" s="77">
        <v>203.6564223655914</v>
      </c>
      <c r="U151" s="71"/>
      <c r="V151" s="67">
        <v>61.084625806451612</v>
      </c>
      <c r="W151" s="74">
        <f t="shared" si="80"/>
        <v>1367.9695840860215</v>
      </c>
      <c r="X151" s="17">
        <f t="shared" si="86"/>
        <v>0</v>
      </c>
      <c r="Y151" s="17"/>
      <c r="Z151" s="69">
        <f t="shared" si="92"/>
        <v>44683</v>
      </c>
      <c r="AA151" s="116">
        <v>1158.8758606451613</v>
      </c>
      <c r="AB151" s="116">
        <v>218.16121290322582</v>
      </c>
      <c r="AC151" s="101"/>
      <c r="AD151" s="116">
        <v>75.634149462365585</v>
      </c>
      <c r="AE151" s="101">
        <f t="shared" si="81"/>
        <v>1452.6712230107526</v>
      </c>
      <c r="AF151" s="17">
        <f t="shared" si="87"/>
        <v>0</v>
      </c>
      <c r="AH151" s="69">
        <f t="shared" si="93"/>
        <v>45048</v>
      </c>
      <c r="AI151" s="120">
        <v>1161.5633150537635</v>
      </c>
      <c r="AJ151" s="120">
        <v>235.34808139784946</v>
      </c>
      <c r="AK151" s="44"/>
      <c r="AL151" s="120">
        <v>75.007416774193544</v>
      </c>
      <c r="AM151" s="44">
        <f t="shared" si="82"/>
        <v>1471.9188132258066</v>
      </c>
      <c r="AN151" s="17">
        <f t="shared" si="88"/>
        <v>0</v>
      </c>
      <c r="AO151" s="17"/>
      <c r="AP151" s="69">
        <f t="shared" si="94"/>
        <v>45413</v>
      </c>
      <c r="AQ151" s="120">
        <v>1237.0409999999999</v>
      </c>
      <c r="AR151" s="120">
        <v>261.36831599999999</v>
      </c>
      <c r="AS151" s="44"/>
      <c r="AT151" s="120">
        <v>66.196270967741938</v>
      </c>
      <c r="AU151" s="44">
        <f t="shared" si="83"/>
        <v>1564.6055869677418</v>
      </c>
      <c r="AV151" s="17">
        <f t="shared" si="89"/>
        <v>1</v>
      </c>
      <c r="AW151" s="17"/>
      <c r="AX151" s="69">
        <f t="shared" si="95"/>
        <v>45779</v>
      </c>
      <c r="AY151" s="120">
        <v>1061.4190000000001</v>
      </c>
      <c r="AZ151" s="120">
        <v>254.6671365</v>
      </c>
      <c r="BA151" s="44"/>
      <c r="BB151" s="120">
        <v>64.572788817204298</v>
      </c>
      <c r="BC151" s="44">
        <f t="shared" si="84"/>
        <v>1380.6589253172044</v>
      </c>
      <c r="BD151" s="17">
        <f t="shared" si="90"/>
        <v>0</v>
      </c>
    </row>
    <row r="152" spans="1:56" x14ac:dyDescent="0.3">
      <c r="A152" s="17"/>
      <c r="B152" s="1">
        <v>43588</v>
      </c>
      <c r="C152" s="36">
        <v>1189</v>
      </c>
      <c r="D152" s="36">
        <v>188.434</v>
      </c>
      <c r="E152" s="37"/>
      <c r="F152" s="36">
        <v>71</v>
      </c>
      <c r="G152" s="7">
        <f t="shared" si="78"/>
        <v>1448.434</v>
      </c>
      <c r="H152" s="17">
        <f t="shared" si="96"/>
        <v>0</v>
      </c>
      <c r="J152" s="1">
        <v>43953</v>
      </c>
      <c r="K152" s="46">
        <v>820.24800000000005</v>
      </c>
      <c r="L152" s="46">
        <v>172.52800000000002</v>
      </c>
      <c r="M152" s="48"/>
      <c r="N152" s="46">
        <v>56.482999999999997</v>
      </c>
      <c r="O152" s="7">
        <f t="shared" si="79"/>
        <v>1049.259</v>
      </c>
      <c r="P152" s="17">
        <f t="shared" si="97"/>
        <v>0</v>
      </c>
      <c r="R152" s="1">
        <f t="shared" si="91"/>
        <v>44319</v>
      </c>
      <c r="S152" s="62">
        <v>1326.269329892473</v>
      </c>
      <c r="T152" s="76">
        <v>223.12346150537635</v>
      </c>
      <c r="U152" s="37"/>
      <c r="V152" s="66">
        <v>81.236929032258061</v>
      </c>
      <c r="W152" s="7">
        <f t="shared" si="80"/>
        <v>1630.6297204301075</v>
      </c>
      <c r="X152" s="17">
        <f t="shared" si="86"/>
        <v>1</v>
      </c>
      <c r="Y152" s="17"/>
      <c r="Z152" s="1">
        <f t="shared" si="92"/>
        <v>44684</v>
      </c>
      <c r="AA152" s="115">
        <v>1231.076624516129</v>
      </c>
      <c r="AB152" s="115">
        <v>237.67479967741934</v>
      </c>
      <c r="AC152" s="101"/>
      <c r="AD152" s="115">
        <v>81.632458494623663</v>
      </c>
      <c r="AE152" s="101">
        <f t="shared" si="81"/>
        <v>1550.383882688172</v>
      </c>
      <c r="AF152" s="17">
        <f t="shared" si="87"/>
        <v>1</v>
      </c>
      <c r="AH152" s="1">
        <f t="shared" si="93"/>
        <v>45049</v>
      </c>
      <c r="AI152" s="119">
        <v>1113.6395795698925</v>
      </c>
      <c r="AJ152" s="119">
        <v>216.81710129032257</v>
      </c>
      <c r="AK152" s="44"/>
      <c r="AL152" s="119">
        <v>76.113510967741931</v>
      </c>
      <c r="AM152" s="44">
        <f t="shared" si="82"/>
        <v>1406.5701918279569</v>
      </c>
      <c r="AN152" s="17">
        <f t="shared" si="88"/>
        <v>0</v>
      </c>
      <c r="AO152" s="17"/>
      <c r="AP152" s="1">
        <f t="shared" si="94"/>
        <v>45414</v>
      </c>
      <c r="AQ152" s="119">
        <v>1240.5050000000001</v>
      </c>
      <c r="AR152" s="119">
        <v>270.08604000000003</v>
      </c>
      <c r="AS152" s="44"/>
      <c r="AT152" s="119">
        <v>73.889907634408601</v>
      </c>
      <c r="AU152" s="44">
        <f t="shared" si="83"/>
        <v>1584.4809476344089</v>
      </c>
      <c r="AV152" s="17">
        <f t="shared" si="89"/>
        <v>1</v>
      </c>
      <c r="AW152" s="17"/>
      <c r="AX152" s="1">
        <f t="shared" si="95"/>
        <v>45780</v>
      </c>
      <c r="AY152" s="119">
        <v>1134.1420000000001</v>
      </c>
      <c r="AZ152" s="119">
        <v>262.08424170000001</v>
      </c>
      <c r="BA152" s="44"/>
      <c r="BB152" s="119">
        <v>75.368945591397846</v>
      </c>
      <c r="BC152" s="44">
        <f t="shared" si="84"/>
        <v>1471.5951872913979</v>
      </c>
      <c r="BD152" s="17">
        <f t="shared" si="90"/>
        <v>0</v>
      </c>
    </row>
    <row r="153" spans="1:56" x14ac:dyDescent="0.3">
      <c r="A153" s="17"/>
      <c r="B153" s="1">
        <v>43589</v>
      </c>
      <c r="C153" s="36">
        <v>1149</v>
      </c>
      <c r="D153" s="36">
        <v>199.18100000000001</v>
      </c>
      <c r="E153" s="37"/>
      <c r="F153" s="36">
        <v>67</v>
      </c>
      <c r="G153" s="7">
        <f t="shared" si="78"/>
        <v>1415.181</v>
      </c>
      <c r="H153" s="17">
        <f t="shared" si="96"/>
        <v>0</v>
      </c>
      <c r="J153" s="1">
        <v>43954</v>
      </c>
      <c r="K153" s="46">
        <v>838.85599999999999</v>
      </c>
      <c r="L153" s="46">
        <v>163.75550000000001</v>
      </c>
      <c r="M153" s="48"/>
      <c r="N153" s="46">
        <v>51.2</v>
      </c>
      <c r="O153" s="7">
        <f t="shared" si="79"/>
        <v>1053.8115</v>
      </c>
      <c r="P153" s="17">
        <f t="shared" si="97"/>
        <v>0</v>
      </c>
      <c r="R153" s="1">
        <f t="shared" si="91"/>
        <v>44320</v>
      </c>
      <c r="S153" s="62">
        <v>1243.419648172043</v>
      </c>
      <c r="T153" s="77">
        <v>224.12478365591397</v>
      </c>
      <c r="U153" s="37"/>
      <c r="V153" s="67">
        <v>85.76825483870968</v>
      </c>
      <c r="W153" s="7">
        <f t="shared" si="80"/>
        <v>1553.3126866666667</v>
      </c>
      <c r="X153" s="17">
        <f t="shared" si="86"/>
        <v>1</v>
      </c>
      <c r="Y153" s="17"/>
      <c r="Z153" s="1">
        <f t="shared" si="92"/>
        <v>44685</v>
      </c>
      <c r="AA153" s="116">
        <v>1175.7061161290324</v>
      </c>
      <c r="AB153" s="116">
        <v>239.62870935483872</v>
      </c>
      <c r="AC153" s="101"/>
      <c r="AD153" s="116">
        <v>80.526594731182797</v>
      </c>
      <c r="AE153" s="101">
        <f t="shared" si="81"/>
        <v>1495.8614202150538</v>
      </c>
      <c r="AF153" s="17">
        <f t="shared" si="87"/>
        <v>1</v>
      </c>
      <c r="AH153" s="1">
        <f t="shared" si="93"/>
        <v>45050</v>
      </c>
      <c r="AI153" s="120">
        <v>1149.927955376344</v>
      </c>
      <c r="AJ153" s="120">
        <v>217.07145817204301</v>
      </c>
      <c r="AK153" s="44"/>
      <c r="AL153" s="120">
        <v>83.007733548387094</v>
      </c>
      <c r="AM153" s="44">
        <f t="shared" si="82"/>
        <v>1450.0071470967741</v>
      </c>
      <c r="AN153" s="17">
        <f t="shared" si="88"/>
        <v>0</v>
      </c>
      <c r="AO153" s="17"/>
      <c r="AP153" s="1">
        <f t="shared" si="94"/>
        <v>45415</v>
      </c>
      <c r="AQ153" s="120">
        <v>1266.4739999999999</v>
      </c>
      <c r="AR153" s="120">
        <v>265.50551894408602</v>
      </c>
      <c r="AS153" s="44"/>
      <c r="AT153" s="120">
        <v>84.771976344086028</v>
      </c>
      <c r="AU153" s="44">
        <f t="shared" si="83"/>
        <v>1616.751495288172</v>
      </c>
      <c r="AV153" s="17">
        <f t="shared" si="89"/>
        <v>1</v>
      </c>
      <c r="AW153" s="17"/>
      <c r="AX153" s="1">
        <f t="shared" si="95"/>
        <v>45781</v>
      </c>
      <c r="AY153" s="120">
        <v>1133.69</v>
      </c>
      <c r="AZ153" s="120">
        <v>246.22550000000001</v>
      </c>
      <c r="BA153" s="44"/>
      <c r="BB153" s="120">
        <v>74.502386236559133</v>
      </c>
      <c r="BC153" s="44">
        <f t="shared" si="84"/>
        <v>1454.4178862365593</v>
      </c>
      <c r="BD153" s="17">
        <f t="shared" si="90"/>
        <v>0</v>
      </c>
    </row>
    <row r="154" spans="1:56" x14ac:dyDescent="0.3">
      <c r="A154" s="17"/>
      <c r="B154" s="1">
        <v>43590</v>
      </c>
      <c r="C154" s="36">
        <v>1016</v>
      </c>
      <c r="D154" s="36">
        <v>192.61799999999999</v>
      </c>
      <c r="E154" s="37"/>
      <c r="F154" s="36">
        <v>56</v>
      </c>
      <c r="G154" s="7">
        <f t="shared" si="78"/>
        <v>1264.6179999999999</v>
      </c>
      <c r="H154" s="17">
        <f t="shared" si="96"/>
        <v>0</v>
      </c>
      <c r="J154" s="1">
        <v>43955</v>
      </c>
      <c r="K154" s="46">
        <v>944.14200000000005</v>
      </c>
      <c r="L154" s="46">
        <v>189.86950000000002</v>
      </c>
      <c r="M154" s="48"/>
      <c r="N154" s="46">
        <v>63.011000000000003</v>
      </c>
      <c r="O154" s="7">
        <f t="shared" si="79"/>
        <v>1197.0225</v>
      </c>
      <c r="P154" s="17">
        <f t="shared" si="97"/>
        <v>0</v>
      </c>
      <c r="R154" s="1">
        <f t="shared" si="91"/>
        <v>44321</v>
      </c>
      <c r="S154" s="62">
        <v>1122.8289359139785</v>
      </c>
      <c r="T154" s="76">
        <v>227.45641634408602</v>
      </c>
      <c r="U154" s="37"/>
      <c r="V154" s="66">
        <v>78.478683333333336</v>
      </c>
      <c r="W154" s="7">
        <f t="shared" si="80"/>
        <v>1428.7640355913977</v>
      </c>
      <c r="X154" s="17">
        <f t="shared" si="86"/>
        <v>0</v>
      </c>
      <c r="Y154" s="17"/>
      <c r="Z154" s="1">
        <f t="shared" si="92"/>
        <v>44686</v>
      </c>
      <c r="AA154" s="115">
        <v>1204.9661729032257</v>
      </c>
      <c r="AB154" s="115">
        <v>222.82130107526882</v>
      </c>
      <c r="AC154" s="101"/>
      <c r="AD154" s="115">
        <v>78.874839354838713</v>
      </c>
      <c r="AE154" s="101">
        <f t="shared" si="81"/>
        <v>1506.6623133333333</v>
      </c>
      <c r="AF154" s="17">
        <f t="shared" si="87"/>
        <v>1</v>
      </c>
      <c r="AH154" s="1">
        <f t="shared" si="93"/>
        <v>45051</v>
      </c>
      <c r="AI154" s="119">
        <v>1112.9031774193547</v>
      </c>
      <c r="AJ154" s="119">
        <v>211.89320989247312</v>
      </c>
      <c r="AK154" s="44"/>
      <c r="AL154" s="119">
        <v>86.04571935483871</v>
      </c>
      <c r="AM154" s="44">
        <f t="shared" si="82"/>
        <v>1410.8421066666665</v>
      </c>
      <c r="AN154" s="17">
        <f t="shared" si="88"/>
        <v>0</v>
      </c>
      <c r="AO154" s="17"/>
      <c r="AP154" s="1">
        <f t="shared" si="94"/>
        <v>45416</v>
      </c>
      <c r="AQ154" s="119">
        <v>1250.6130000000001</v>
      </c>
      <c r="AR154" s="119">
        <v>265.16288419354839</v>
      </c>
      <c r="AS154" s="44"/>
      <c r="AT154" s="119">
        <v>82.58710924731183</v>
      </c>
      <c r="AU154" s="44">
        <f t="shared" si="83"/>
        <v>1598.3629934408602</v>
      </c>
      <c r="AV154" s="17">
        <f t="shared" si="89"/>
        <v>1</v>
      </c>
      <c r="AW154" s="17"/>
      <c r="AX154" s="1">
        <f t="shared" si="95"/>
        <v>45782</v>
      </c>
      <c r="AY154" s="119">
        <v>1218.029</v>
      </c>
      <c r="AZ154" s="119">
        <v>271.69100939999998</v>
      </c>
      <c r="BA154" s="44"/>
      <c r="BB154" s="119">
        <v>78.156486774193553</v>
      </c>
      <c r="BC154" s="44">
        <f t="shared" si="84"/>
        <v>1567.8764961741936</v>
      </c>
      <c r="BD154" s="17">
        <f t="shared" si="90"/>
        <v>1</v>
      </c>
    </row>
    <row r="155" spans="1:56" x14ac:dyDescent="0.3">
      <c r="A155" s="17"/>
      <c r="B155" s="1">
        <v>43591</v>
      </c>
      <c r="C155" s="36">
        <v>1011</v>
      </c>
      <c r="D155" s="36">
        <v>161.315</v>
      </c>
      <c r="E155" s="37"/>
      <c r="F155" s="36">
        <v>62</v>
      </c>
      <c r="G155" s="7">
        <f t="shared" si="78"/>
        <v>1234.3150000000001</v>
      </c>
      <c r="H155" s="17">
        <f t="shared" si="96"/>
        <v>0</v>
      </c>
      <c r="J155" s="1">
        <v>43956</v>
      </c>
      <c r="K155" s="46">
        <v>1001.926</v>
      </c>
      <c r="L155" s="46">
        <v>194.82400000000001</v>
      </c>
      <c r="M155" s="48"/>
      <c r="N155" s="46">
        <v>67.468000000000004</v>
      </c>
      <c r="O155" s="7">
        <f t="shared" si="79"/>
        <v>1264.2180000000001</v>
      </c>
      <c r="P155" s="17">
        <f t="shared" si="97"/>
        <v>0</v>
      </c>
      <c r="R155" s="1">
        <f t="shared" si="91"/>
        <v>44322</v>
      </c>
      <c r="S155" s="62">
        <v>1224.2762580645162</v>
      </c>
      <c r="T155" s="77">
        <v>234.07225634408601</v>
      </c>
      <c r="U155" s="37"/>
      <c r="V155" s="67">
        <v>79.638214516129025</v>
      </c>
      <c r="W155" s="7">
        <f t="shared" si="80"/>
        <v>1537.9867289247313</v>
      </c>
      <c r="X155" s="17">
        <f t="shared" si="86"/>
        <v>1</v>
      </c>
      <c r="Y155" s="17"/>
      <c r="Z155" s="1">
        <f t="shared" si="92"/>
        <v>44687</v>
      </c>
      <c r="AA155" s="116">
        <v>1235.3329858064517</v>
      </c>
      <c r="AB155" s="116">
        <v>219.24258053763441</v>
      </c>
      <c r="AC155" s="101"/>
      <c r="AD155" s="116">
        <v>81.528479139784949</v>
      </c>
      <c r="AE155" s="101">
        <f t="shared" si="81"/>
        <v>1536.104045483871</v>
      </c>
      <c r="AF155" s="17">
        <f t="shared" si="87"/>
        <v>1</v>
      </c>
      <c r="AH155" s="1">
        <f t="shared" si="93"/>
        <v>45052</v>
      </c>
      <c r="AI155" s="120">
        <v>1106.8011188172043</v>
      </c>
      <c r="AJ155" s="120">
        <v>223.25906451612903</v>
      </c>
      <c r="AK155" s="44"/>
      <c r="AL155" s="120">
        <v>82.002977419354835</v>
      </c>
      <c r="AM155" s="44">
        <f t="shared" si="82"/>
        <v>1412.0631607526882</v>
      </c>
      <c r="AN155" s="17">
        <f t="shared" si="88"/>
        <v>0</v>
      </c>
      <c r="AO155" s="17"/>
      <c r="AP155" s="1">
        <f t="shared" si="94"/>
        <v>45417</v>
      </c>
      <c r="AQ155" s="120">
        <v>1251.9000000000001</v>
      </c>
      <c r="AR155" s="120">
        <v>267.00845858924731</v>
      </c>
      <c r="AS155" s="44"/>
      <c r="AT155" s="120">
        <v>77.337359139784951</v>
      </c>
      <c r="AU155" s="44">
        <f t="shared" si="83"/>
        <v>1596.2458177290323</v>
      </c>
      <c r="AV155" s="17">
        <f t="shared" si="89"/>
        <v>1</v>
      </c>
      <c r="AW155" s="17"/>
      <c r="AX155" s="1">
        <f t="shared" si="95"/>
        <v>45783</v>
      </c>
      <c r="AY155" s="120">
        <v>1279.135</v>
      </c>
      <c r="AZ155" s="120">
        <v>268.29381999999998</v>
      </c>
      <c r="BA155" s="44"/>
      <c r="BB155" s="120">
        <v>82.178712150537635</v>
      </c>
      <c r="BC155" s="44">
        <f t="shared" si="84"/>
        <v>1629.6075321505377</v>
      </c>
      <c r="BD155" s="17">
        <f t="shared" si="90"/>
        <v>1</v>
      </c>
    </row>
    <row r="156" spans="1:56" x14ac:dyDescent="0.3">
      <c r="A156" s="17"/>
      <c r="B156" s="1">
        <v>43592</v>
      </c>
      <c r="C156" s="36">
        <v>1015</v>
      </c>
      <c r="D156" s="36">
        <v>182.14400000000001</v>
      </c>
      <c r="E156" s="37"/>
      <c r="F156" s="36">
        <v>65</v>
      </c>
      <c r="G156" s="7">
        <f t="shared" si="78"/>
        <v>1262.144</v>
      </c>
      <c r="H156" s="17">
        <f t="shared" si="96"/>
        <v>0</v>
      </c>
      <c r="J156" s="1">
        <v>43957</v>
      </c>
      <c r="K156" s="46">
        <v>985.27700000000004</v>
      </c>
      <c r="L156" s="46">
        <v>193.25200000000001</v>
      </c>
      <c r="M156" s="48"/>
      <c r="N156" s="46">
        <v>67.623999999999995</v>
      </c>
      <c r="O156" s="7">
        <f t="shared" si="79"/>
        <v>1246.153</v>
      </c>
      <c r="P156" s="17">
        <f t="shared" si="97"/>
        <v>0</v>
      </c>
      <c r="R156" s="1">
        <f t="shared" si="91"/>
        <v>44323</v>
      </c>
      <c r="S156" s="62">
        <v>1189.3837746236559</v>
      </c>
      <c r="T156" s="76">
        <v>243.84188387096773</v>
      </c>
      <c r="U156" s="37"/>
      <c r="V156" s="66">
        <v>76.116029569892476</v>
      </c>
      <c r="W156" s="7">
        <f t="shared" si="80"/>
        <v>1509.3416880645159</v>
      </c>
      <c r="X156" s="17">
        <f t="shared" si="86"/>
        <v>1</v>
      </c>
      <c r="Y156" s="17"/>
      <c r="Z156" s="1">
        <f t="shared" si="92"/>
        <v>44688</v>
      </c>
      <c r="AA156" s="115">
        <v>1030.9939199999999</v>
      </c>
      <c r="AB156" s="115">
        <v>201.02307784946237</v>
      </c>
      <c r="AC156" s="101"/>
      <c r="AD156" s="115">
        <v>75.479263548387095</v>
      </c>
      <c r="AE156" s="101">
        <f t="shared" si="81"/>
        <v>1307.4962613978494</v>
      </c>
      <c r="AF156" s="17">
        <f t="shared" si="87"/>
        <v>0</v>
      </c>
      <c r="AH156" s="1">
        <f t="shared" si="93"/>
        <v>45053</v>
      </c>
      <c r="AI156" s="119">
        <v>993.81481344086023</v>
      </c>
      <c r="AJ156" s="119">
        <v>198.74574290322582</v>
      </c>
      <c r="AK156" s="44"/>
      <c r="AL156" s="119">
        <v>74.27972322580645</v>
      </c>
      <c r="AM156" s="44">
        <f t="shared" si="82"/>
        <v>1266.8402795698926</v>
      </c>
      <c r="AN156" s="17">
        <f t="shared" si="88"/>
        <v>0</v>
      </c>
      <c r="AO156" s="17"/>
      <c r="AP156" s="1">
        <f t="shared" si="94"/>
        <v>45418</v>
      </c>
      <c r="AQ156" s="119">
        <v>1312.1079999999999</v>
      </c>
      <c r="AR156" s="119">
        <v>276.14608166129034</v>
      </c>
      <c r="AS156" s="44"/>
      <c r="AT156" s="119">
        <v>78.78093204301075</v>
      </c>
      <c r="AU156" s="44">
        <f t="shared" si="83"/>
        <v>1667.035013704301</v>
      </c>
      <c r="AV156" s="17">
        <f t="shared" si="89"/>
        <v>1</v>
      </c>
      <c r="AW156" s="17"/>
      <c r="AX156" s="1">
        <f t="shared" si="95"/>
        <v>45784</v>
      </c>
      <c r="AY156" s="119">
        <v>1299.634</v>
      </c>
      <c r="AZ156" s="119">
        <v>274.00168589677418</v>
      </c>
      <c r="BA156" s="44"/>
      <c r="BB156" s="119">
        <v>82.990975806451615</v>
      </c>
      <c r="BC156" s="44">
        <f t="shared" si="84"/>
        <v>1656.6266617032259</v>
      </c>
      <c r="BD156" s="17">
        <f t="shared" si="90"/>
        <v>1</v>
      </c>
    </row>
    <row r="157" spans="1:56" x14ac:dyDescent="0.3">
      <c r="A157" s="17"/>
      <c r="B157" s="1">
        <v>43593</v>
      </c>
      <c r="C157" s="36">
        <v>1043</v>
      </c>
      <c r="D157" s="36">
        <v>182.13399999999999</v>
      </c>
      <c r="E157" s="37"/>
      <c r="F157" s="36">
        <v>65</v>
      </c>
      <c r="G157" s="7">
        <f t="shared" si="78"/>
        <v>1290.134</v>
      </c>
      <c r="H157" s="17">
        <f t="shared" si="96"/>
        <v>0</v>
      </c>
      <c r="J157" s="1">
        <v>43958</v>
      </c>
      <c r="K157" s="46">
        <v>956.38400000000001</v>
      </c>
      <c r="L157" s="46">
        <v>184.8845</v>
      </c>
      <c r="M157" s="48"/>
      <c r="N157" s="46">
        <v>66.832999999999998</v>
      </c>
      <c r="O157" s="7">
        <f t="shared" si="79"/>
        <v>1208.1015000000002</v>
      </c>
      <c r="P157" s="17">
        <f t="shared" si="97"/>
        <v>0</v>
      </c>
      <c r="R157" s="1">
        <f t="shared" si="91"/>
        <v>44324</v>
      </c>
      <c r="S157" s="62">
        <v>1087.1555423655914</v>
      </c>
      <c r="T157" s="77">
        <v>227.07377978494623</v>
      </c>
      <c r="U157" s="37"/>
      <c r="V157" s="67">
        <v>75.180994086021499</v>
      </c>
      <c r="W157" s="7">
        <f t="shared" si="80"/>
        <v>1389.4103162365591</v>
      </c>
      <c r="X157" s="17">
        <f t="shared" si="86"/>
        <v>0</v>
      </c>
      <c r="Y157" s="17"/>
      <c r="Z157" s="1">
        <f t="shared" si="92"/>
        <v>44689</v>
      </c>
      <c r="AA157" s="116">
        <v>1015.5095535483871</v>
      </c>
      <c r="AB157" s="116">
        <v>191.34114537634409</v>
      </c>
      <c r="AC157" s="101"/>
      <c r="AD157" s="116">
        <v>67.562752043010747</v>
      </c>
      <c r="AE157" s="101">
        <f t="shared" si="81"/>
        <v>1274.4134509677419</v>
      </c>
      <c r="AF157" s="17">
        <f t="shared" si="87"/>
        <v>0</v>
      </c>
      <c r="AH157" s="1">
        <f t="shared" si="93"/>
        <v>45054</v>
      </c>
      <c r="AI157" s="120">
        <v>1157.3166607526882</v>
      </c>
      <c r="AJ157" s="120">
        <v>244.76100795698926</v>
      </c>
      <c r="AK157" s="44"/>
      <c r="AL157" s="120">
        <v>80.846214193548391</v>
      </c>
      <c r="AM157" s="44">
        <f t="shared" si="82"/>
        <v>1482.9238829032258</v>
      </c>
      <c r="AN157" s="17">
        <f t="shared" si="88"/>
        <v>1</v>
      </c>
      <c r="AO157" s="17"/>
      <c r="AP157" s="1">
        <f t="shared" si="94"/>
        <v>45419</v>
      </c>
      <c r="AQ157" s="120">
        <v>1360.3040000000001</v>
      </c>
      <c r="AR157" s="120">
        <v>295.61138741505374</v>
      </c>
      <c r="AS157" s="44"/>
      <c r="AT157" s="120">
        <v>78.399447311827956</v>
      </c>
      <c r="AU157" s="44">
        <f t="shared" si="83"/>
        <v>1734.3148347268818</v>
      </c>
      <c r="AV157" s="17">
        <f t="shared" si="89"/>
        <v>1</v>
      </c>
      <c r="AW157" s="17"/>
      <c r="AX157" s="1">
        <f t="shared" si="95"/>
        <v>45785</v>
      </c>
      <c r="AY157" s="120">
        <v>1318.78</v>
      </c>
      <c r="AZ157" s="120">
        <v>302.91976579999999</v>
      </c>
      <c r="BA157" s="44"/>
      <c r="BB157" s="120">
        <v>84.004133548387102</v>
      </c>
      <c r="BC157" s="44">
        <f t="shared" si="84"/>
        <v>1705.703899348387</v>
      </c>
      <c r="BD157" s="17">
        <f t="shared" si="90"/>
        <v>1</v>
      </c>
    </row>
    <row r="158" spans="1:56" x14ac:dyDescent="0.3">
      <c r="A158" s="17"/>
      <c r="B158" s="1">
        <v>43594</v>
      </c>
      <c r="C158" s="36">
        <v>1044</v>
      </c>
      <c r="D158" s="36">
        <v>180.268</v>
      </c>
      <c r="E158" s="37"/>
      <c r="F158" s="36">
        <v>65</v>
      </c>
      <c r="G158" s="7">
        <f t="shared" ref="G158:G180" si="98">SUM(C158:F158)</f>
        <v>1289.268</v>
      </c>
      <c r="H158" s="17">
        <f t="shared" si="96"/>
        <v>0</v>
      </c>
      <c r="J158" s="1">
        <v>43959</v>
      </c>
      <c r="K158" s="46">
        <v>927.49199999999996</v>
      </c>
      <c r="L158" s="46">
        <v>181.28500000000003</v>
      </c>
      <c r="M158" s="48"/>
      <c r="N158" s="46">
        <v>64.980999999999995</v>
      </c>
      <c r="O158" s="7">
        <f t="shared" ref="O158:O221" si="99">SUM(K158:N158)</f>
        <v>1173.758</v>
      </c>
      <c r="P158" s="17">
        <f t="shared" si="97"/>
        <v>0</v>
      </c>
      <c r="R158" s="1">
        <f t="shared" si="91"/>
        <v>44325</v>
      </c>
      <c r="S158" s="62">
        <v>1038.2854335483871</v>
      </c>
      <c r="T158" s="76">
        <v>199.10574193548388</v>
      </c>
      <c r="U158" s="37"/>
      <c r="V158" s="66">
        <v>70.494918817204308</v>
      </c>
      <c r="W158" s="7">
        <f t="shared" ref="W158:W221" si="100">SUM(S158:V158)</f>
        <v>1307.8860943010752</v>
      </c>
      <c r="X158" s="17">
        <f t="shared" si="86"/>
        <v>0</v>
      </c>
      <c r="Y158" s="17"/>
      <c r="Z158" s="1">
        <f t="shared" si="92"/>
        <v>44690</v>
      </c>
      <c r="AA158" s="115">
        <v>1097.9991638709678</v>
      </c>
      <c r="AB158" s="115">
        <v>215.42698333333334</v>
      </c>
      <c r="AC158" s="101"/>
      <c r="AD158" s="115">
        <v>72.833205591397856</v>
      </c>
      <c r="AE158" s="101">
        <f t="shared" ref="AE158:AE221" si="101">SUM(AA158:AD158)</f>
        <v>1386.259352795699</v>
      </c>
      <c r="AF158" s="17">
        <f t="shared" si="87"/>
        <v>0</v>
      </c>
      <c r="AH158" s="1">
        <f t="shared" si="93"/>
        <v>45055</v>
      </c>
      <c r="AI158" s="119">
        <v>1232.3031752688173</v>
      </c>
      <c r="AJ158" s="119">
        <v>235.78482838709678</v>
      </c>
      <c r="AK158" s="44"/>
      <c r="AL158" s="119">
        <v>86.044641290322588</v>
      </c>
      <c r="AM158" s="44">
        <f t="shared" ref="AM158:AM221" si="102">SUM(AI158:AL158)</f>
        <v>1554.1326449462365</v>
      </c>
      <c r="AN158" s="17">
        <f t="shared" si="88"/>
        <v>1</v>
      </c>
      <c r="AO158" s="17"/>
      <c r="AP158" s="1">
        <f t="shared" si="94"/>
        <v>45420</v>
      </c>
      <c r="AQ158" s="119">
        <v>1355.5170000000001</v>
      </c>
      <c r="AR158" s="119">
        <v>303.30543694623657</v>
      </c>
      <c r="AS158" s="44"/>
      <c r="AT158" s="119">
        <v>82.201289462365594</v>
      </c>
      <c r="AU158" s="44">
        <f t="shared" ref="AU158:AU221" si="103">SUM(AQ158:AT158)</f>
        <v>1741.0237264086022</v>
      </c>
      <c r="AV158" s="17">
        <f t="shared" si="89"/>
        <v>1</v>
      </c>
      <c r="AW158" s="17"/>
      <c r="AX158" s="1">
        <f t="shared" si="95"/>
        <v>45786</v>
      </c>
      <c r="AY158" s="119">
        <v>1218.576</v>
      </c>
      <c r="AZ158" s="119">
        <v>279.40113120000001</v>
      </c>
      <c r="BA158" s="44"/>
      <c r="BB158" s="119">
        <v>82.962742043010749</v>
      </c>
      <c r="BC158" s="44">
        <f t="shared" ref="BC158:BC221" si="104">SUM(AY158:BB158)</f>
        <v>1580.9398732430109</v>
      </c>
      <c r="BD158" s="17">
        <f t="shared" si="90"/>
        <v>1</v>
      </c>
    </row>
    <row r="159" spans="1:56" x14ac:dyDescent="0.3">
      <c r="A159" s="17"/>
      <c r="B159" s="1">
        <v>43595</v>
      </c>
      <c r="C159" s="36">
        <v>1131</v>
      </c>
      <c r="D159" s="36">
        <v>194.14500000000001</v>
      </c>
      <c r="E159" s="37"/>
      <c r="F159" s="36">
        <v>65</v>
      </c>
      <c r="G159" s="7">
        <f t="shared" si="98"/>
        <v>1390.145</v>
      </c>
      <c r="H159" s="17">
        <f t="shared" si="96"/>
        <v>0</v>
      </c>
      <c r="J159" s="1">
        <v>43960</v>
      </c>
      <c r="K159" s="46">
        <v>878.03300000000002</v>
      </c>
      <c r="L159" s="46">
        <v>175.6275</v>
      </c>
      <c r="M159" s="48"/>
      <c r="N159" s="46">
        <v>62.905999999999999</v>
      </c>
      <c r="O159" s="7">
        <f t="shared" si="99"/>
        <v>1116.5664999999999</v>
      </c>
      <c r="P159" s="17">
        <f t="shared" si="97"/>
        <v>0</v>
      </c>
      <c r="R159" s="1">
        <f t="shared" si="91"/>
        <v>44326</v>
      </c>
      <c r="S159" s="62">
        <v>1106.8446821505377</v>
      </c>
      <c r="T159" s="77">
        <v>207.18961290322579</v>
      </c>
      <c r="U159" s="37"/>
      <c r="V159" s="67">
        <v>73.904855913978494</v>
      </c>
      <c r="W159" s="7">
        <f t="shared" si="100"/>
        <v>1387.9391509677419</v>
      </c>
      <c r="X159" s="17">
        <f t="shared" ref="X159:X222" si="105">IF(W159&gt;1476,1,0)</f>
        <v>0</v>
      </c>
      <c r="Y159" s="17"/>
      <c r="Z159" s="1">
        <f t="shared" si="92"/>
        <v>44691</v>
      </c>
      <c r="AA159" s="116">
        <v>1187.5595458064515</v>
      </c>
      <c r="AB159" s="116">
        <v>230.14912376344085</v>
      </c>
      <c r="AC159" s="101"/>
      <c r="AD159" s="116">
        <v>74.673423548387092</v>
      </c>
      <c r="AE159" s="101">
        <f t="shared" si="101"/>
        <v>1492.3820931182795</v>
      </c>
      <c r="AF159" s="17">
        <f t="shared" ref="AF159:AF222" si="106">IF(AE159&gt;1476,1,0)</f>
        <v>1</v>
      </c>
      <c r="AH159" s="1">
        <f t="shared" si="93"/>
        <v>45056</v>
      </c>
      <c r="AI159" s="120">
        <v>1276.7146016129032</v>
      </c>
      <c r="AJ159" s="120">
        <v>264.27107720430109</v>
      </c>
      <c r="AK159" s="44"/>
      <c r="AL159" s="120">
        <v>89.600098064516132</v>
      </c>
      <c r="AM159" s="44">
        <f t="shared" si="102"/>
        <v>1630.5857768817202</v>
      </c>
      <c r="AN159" s="17">
        <f t="shared" ref="AN159:AN222" si="107">IF(AM159&gt;1476,1,0)</f>
        <v>1</v>
      </c>
      <c r="AO159" s="17"/>
      <c r="AP159" s="1">
        <f t="shared" si="94"/>
        <v>45421</v>
      </c>
      <c r="AQ159" s="120">
        <v>1320.8810000000001</v>
      </c>
      <c r="AR159" s="120">
        <v>305.8819429172043</v>
      </c>
      <c r="AS159" s="44"/>
      <c r="AT159" s="120">
        <v>84.551972365591396</v>
      </c>
      <c r="AU159" s="44">
        <f t="shared" si="103"/>
        <v>1711.3149152827957</v>
      </c>
      <c r="AV159" s="17">
        <f t="shared" ref="AV159:AV222" si="108">IF(AU159&gt;1476,1,0)</f>
        <v>1</v>
      </c>
      <c r="AW159" s="17"/>
      <c r="AX159" s="1">
        <f t="shared" si="95"/>
        <v>45787</v>
      </c>
      <c r="AY159" s="120">
        <v>1192.442</v>
      </c>
      <c r="AZ159" s="120">
        <v>259.76025659999999</v>
      </c>
      <c r="BA159" s="44"/>
      <c r="BB159" s="120">
        <v>81.073251720430108</v>
      </c>
      <c r="BC159" s="44">
        <f t="shared" si="104"/>
        <v>1533.2755083204302</v>
      </c>
      <c r="BD159" s="17">
        <f t="shared" ref="BD159:BD222" si="109">IF(BC159&gt;1476,1,0)</f>
        <v>1</v>
      </c>
    </row>
    <row r="160" spans="1:56" x14ac:dyDescent="0.3">
      <c r="A160" s="17"/>
      <c r="B160" s="1">
        <v>43596</v>
      </c>
      <c r="C160" s="36">
        <v>1128</v>
      </c>
      <c r="D160" s="36">
        <v>195.333</v>
      </c>
      <c r="E160" s="37"/>
      <c r="F160" s="36">
        <v>70</v>
      </c>
      <c r="G160" s="7">
        <f t="shared" si="98"/>
        <v>1393.3330000000001</v>
      </c>
      <c r="H160" s="17">
        <f t="shared" si="96"/>
        <v>0</v>
      </c>
      <c r="J160" s="1">
        <v>43961</v>
      </c>
      <c r="K160" s="46">
        <v>858.93399999999997</v>
      </c>
      <c r="L160" s="46">
        <v>168.48400000000001</v>
      </c>
      <c r="M160" s="48"/>
      <c r="N160" s="46">
        <v>58.612000000000002</v>
      </c>
      <c r="O160" s="7">
        <f t="shared" si="99"/>
        <v>1086.03</v>
      </c>
      <c r="P160" s="17">
        <f t="shared" si="97"/>
        <v>0</v>
      </c>
      <c r="R160" s="1">
        <f t="shared" ref="R160:R223" si="110">R159+1</f>
        <v>44327</v>
      </c>
      <c r="S160" s="62">
        <v>1182.4576344086022</v>
      </c>
      <c r="T160" s="76">
        <v>209.44447397849461</v>
      </c>
      <c r="U160" s="37"/>
      <c r="V160" s="66">
        <v>77.049975268817207</v>
      </c>
      <c r="W160" s="7">
        <f t="shared" si="100"/>
        <v>1468.9520836559141</v>
      </c>
      <c r="X160" s="17">
        <f t="shared" si="105"/>
        <v>0</v>
      </c>
      <c r="Y160" s="17"/>
      <c r="Z160" s="1">
        <f t="shared" ref="Z160:Z223" si="111">Z159+1</f>
        <v>44692</v>
      </c>
      <c r="AA160" s="115">
        <v>1133.0106735483871</v>
      </c>
      <c r="AB160" s="115">
        <v>207.65558473118278</v>
      </c>
      <c r="AC160" s="101"/>
      <c r="AD160" s="115">
        <v>76.736763870967735</v>
      </c>
      <c r="AE160" s="101">
        <f t="shared" si="101"/>
        <v>1417.4030221505375</v>
      </c>
      <c r="AF160" s="17">
        <f t="shared" si="106"/>
        <v>0</v>
      </c>
      <c r="AH160" s="1">
        <f t="shared" ref="AH160:AH223" si="112">AH159+1</f>
        <v>45057</v>
      </c>
      <c r="AI160" s="119">
        <v>1186.0754274193548</v>
      </c>
      <c r="AJ160" s="119">
        <v>246.21898086021505</v>
      </c>
      <c r="AK160" s="44"/>
      <c r="AL160" s="119">
        <v>86.097466451612902</v>
      </c>
      <c r="AM160" s="44">
        <f t="shared" si="102"/>
        <v>1518.3918747311827</v>
      </c>
      <c r="AN160" s="17">
        <f t="shared" si="107"/>
        <v>1</v>
      </c>
      <c r="AO160" s="17"/>
      <c r="AP160" s="1">
        <f t="shared" ref="AP160:AP223" si="113">AP159+1</f>
        <v>45422</v>
      </c>
      <c r="AQ160" s="119">
        <v>1338.0440000000001</v>
      </c>
      <c r="AR160" s="119">
        <v>313.03732332795698</v>
      </c>
      <c r="AS160" s="44"/>
      <c r="AT160" s="119">
        <v>81.303933333333333</v>
      </c>
      <c r="AU160" s="44">
        <f t="shared" si="103"/>
        <v>1732.3852566612904</v>
      </c>
      <c r="AV160" s="17">
        <f t="shared" si="108"/>
        <v>1</v>
      </c>
      <c r="AW160" s="17"/>
      <c r="AX160" s="1">
        <f t="shared" ref="AX160:AX223" si="114">AX159+1</f>
        <v>45788</v>
      </c>
      <c r="AY160" s="119">
        <v>1109.971</v>
      </c>
      <c r="AZ160" s="119">
        <v>228.11827719999999</v>
      </c>
      <c r="BA160" s="44"/>
      <c r="BB160" s="119">
        <v>72.284949892473122</v>
      </c>
      <c r="BC160" s="44">
        <f t="shared" si="104"/>
        <v>1410.3742270924731</v>
      </c>
      <c r="BD160" s="17">
        <f t="shared" si="109"/>
        <v>0</v>
      </c>
    </row>
    <row r="161" spans="1:56" x14ac:dyDescent="0.3">
      <c r="A161" s="17"/>
      <c r="B161" s="1">
        <v>43597</v>
      </c>
      <c r="C161" s="36">
        <v>1055</v>
      </c>
      <c r="D161" s="36">
        <v>196.126</v>
      </c>
      <c r="E161" s="37"/>
      <c r="F161" s="36">
        <v>60</v>
      </c>
      <c r="G161" s="7">
        <f t="shared" si="98"/>
        <v>1311.126</v>
      </c>
      <c r="H161" s="17">
        <f t="shared" si="96"/>
        <v>0</v>
      </c>
      <c r="J161" s="1">
        <v>43962</v>
      </c>
      <c r="K161" s="46">
        <v>1038.654</v>
      </c>
      <c r="L161" s="46">
        <v>194.06399999999999</v>
      </c>
      <c r="M161" s="48"/>
      <c r="N161" s="46">
        <v>64.977000000000004</v>
      </c>
      <c r="O161" s="7">
        <f t="shared" si="99"/>
        <v>1297.6950000000002</v>
      </c>
      <c r="P161" s="17">
        <f t="shared" si="97"/>
        <v>0</v>
      </c>
      <c r="R161" s="1">
        <f t="shared" si="110"/>
        <v>44328</v>
      </c>
      <c r="S161" s="62">
        <v>1191.9705393548388</v>
      </c>
      <c r="T161" s="77">
        <v>204.86792516129032</v>
      </c>
      <c r="U161" s="37"/>
      <c r="V161" s="67">
        <v>79.34070322580645</v>
      </c>
      <c r="W161" s="7">
        <f t="shared" si="100"/>
        <v>1476.1791677419355</v>
      </c>
      <c r="X161" s="17">
        <f t="shared" si="105"/>
        <v>1</v>
      </c>
      <c r="Y161" s="17"/>
      <c r="Z161" s="1">
        <f t="shared" si="111"/>
        <v>44693</v>
      </c>
      <c r="AA161" s="116">
        <v>1156.6040980645162</v>
      </c>
      <c r="AB161" s="116">
        <v>218.49769741935484</v>
      </c>
      <c r="AC161" s="101"/>
      <c r="AD161" s="116">
        <v>74.367984193548381</v>
      </c>
      <c r="AE161" s="101">
        <f t="shared" si="101"/>
        <v>1449.4697796774194</v>
      </c>
      <c r="AF161" s="17">
        <f t="shared" si="106"/>
        <v>0</v>
      </c>
      <c r="AH161" s="1">
        <f t="shared" si="112"/>
        <v>45058</v>
      </c>
      <c r="AI161" s="120">
        <v>1198.7207688172043</v>
      </c>
      <c r="AJ161" s="120">
        <v>254.11140462365591</v>
      </c>
      <c r="AK161" s="44"/>
      <c r="AL161" s="120">
        <v>84.975201290322588</v>
      </c>
      <c r="AM161" s="44">
        <f t="shared" si="102"/>
        <v>1537.8073747311828</v>
      </c>
      <c r="AN161" s="17">
        <f t="shared" si="107"/>
        <v>1</v>
      </c>
      <c r="AO161" s="17"/>
      <c r="AP161" s="1">
        <f t="shared" si="113"/>
        <v>45423</v>
      </c>
      <c r="AQ161" s="120">
        <v>1276.0899999999999</v>
      </c>
      <c r="AR161" s="120">
        <v>308.56477995698924</v>
      </c>
      <c r="AS161" s="44"/>
      <c r="AT161" s="120">
        <v>80.636335053763446</v>
      </c>
      <c r="AU161" s="44">
        <f t="shared" si="103"/>
        <v>1665.2911150107525</v>
      </c>
      <c r="AV161" s="17">
        <f t="shared" si="108"/>
        <v>1</v>
      </c>
      <c r="AW161" s="17"/>
      <c r="AX161" s="1">
        <f t="shared" si="114"/>
        <v>45789</v>
      </c>
      <c r="AY161" s="120">
        <v>1194.5820000000001</v>
      </c>
      <c r="AZ161" s="120">
        <v>249.5859652</v>
      </c>
      <c r="BA161" s="44"/>
      <c r="BB161" s="120">
        <v>79.723460645161296</v>
      </c>
      <c r="BC161" s="44">
        <f t="shared" si="104"/>
        <v>1523.8914258451614</v>
      </c>
      <c r="BD161" s="17">
        <f t="shared" si="109"/>
        <v>1</v>
      </c>
    </row>
    <row r="162" spans="1:56" x14ac:dyDescent="0.3">
      <c r="A162" s="17"/>
      <c r="B162" s="1">
        <v>43598</v>
      </c>
      <c r="C162" s="36">
        <v>1141</v>
      </c>
      <c r="D162" s="36">
        <v>195.25</v>
      </c>
      <c r="E162" s="37"/>
      <c r="F162" s="36">
        <v>65</v>
      </c>
      <c r="G162" s="7">
        <f t="shared" si="98"/>
        <v>1401.25</v>
      </c>
      <c r="H162" s="17">
        <f t="shared" si="96"/>
        <v>0</v>
      </c>
      <c r="J162" s="1">
        <v>43963</v>
      </c>
      <c r="K162" s="46">
        <v>1070.4839999999999</v>
      </c>
      <c r="L162" s="46">
        <v>202.12350000000001</v>
      </c>
      <c r="M162" s="48"/>
      <c r="N162" s="46">
        <v>68.259</v>
      </c>
      <c r="O162" s="7">
        <f t="shared" si="99"/>
        <v>1340.8664999999999</v>
      </c>
      <c r="P162" s="17">
        <f t="shared" si="97"/>
        <v>0</v>
      </c>
      <c r="R162" s="1">
        <f t="shared" si="110"/>
        <v>44329</v>
      </c>
      <c r="S162" s="62">
        <v>1131.3967621505376</v>
      </c>
      <c r="T162" s="76">
        <v>201.22263827956991</v>
      </c>
      <c r="U162" s="37"/>
      <c r="V162" s="66">
        <v>76.893046236559144</v>
      </c>
      <c r="W162" s="7">
        <f t="shared" si="100"/>
        <v>1409.5124466666666</v>
      </c>
      <c r="X162" s="17">
        <f t="shared" si="105"/>
        <v>0</v>
      </c>
      <c r="Y162" s="17"/>
      <c r="Z162" s="1">
        <f t="shared" si="111"/>
        <v>44694</v>
      </c>
      <c r="AA162" s="115">
        <v>1149.3575535483872</v>
      </c>
      <c r="AB162" s="115">
        <v>239.97046741935483</v>
      </c>
      <c r="AC162" s="101"/>
      <c r="AD162" s="115">
        <v>71.690515806451614</v>
      </c>
      <c r="AE162" s="101">
        <f t="shared" si="101"/>
        <v>1461.0185367741938</v>
      </c>
      <c r="AF162" s="17">
        <f t="shared" si="106"/>
        <v>0</v>
      </c>
      <c r="AH162" s="1">
        <f t="shared" si="112"/>
        <v>45059</v>
      </c>
      <c r="AI162" s="119">
        <v>1243.8901956989248</v>
      </c>
      <c r="AJ162" s="119">
        <v>247.63530655913979</v>
      </c>
      <c r="AK162" s="44"/>
      <c r="AL162" s="119">
        <v>90.78489096774193</v>
      </c>
      <c r="AM162" s="44">
        <f t="shared" si="102"/>
        <v>1582.3103932258064</v>
      </c>
      <c r="AN162" s="17">
        <f t="shared" si="107"/>
        <v>1</v>
      </c>
      <c r="AO162" s="17"/>
      <c r="AP162" s="1">
        <f t="shared" si="113"/>
        <v>45424</v>
      </c>
      <c r="AQ162" s="119">
        <v>1241.009</v>
      </c>
      <c r="AR162" s="119">
        <v>263.15402742580648</v>
      </c>
      <c r="AS162" s="44"/>
      <c r="AT162" s="119">
        <v>72.265346236559139</v>
      </c>
      <c r="AU162" s="44">
        <f t="shared" si="103"/>
        <v>1576.4283736623656</v>
      </c>
      <c r="AV162" s="17">
        <f t="shared" si="108"/>
        <v>1</v>
      </c>
      <c r="AW162" s="17"/>
      <c r="AX162" s="1">
        <f t="shared" si="114"/>
        <v>45790</v>
      </c>
      <c r="AY162" s="119">
        <v>1240.079</v>
      </c>
      <c r="AZ162" s="119">
        <v>255.89921759999999</v>
      </c>
      <c r="BA162" s="44"/>
      <c r="BB162" s="119">
        <v>85.512468064516128</v>
      </c>
      <c r="BC162" s="44">
        <f t="shared" si="104"/>
        <v>1581.4906856645159</v>
      </c>
      <c r="BD162" s="17">
        <f t="shared" si="109"/>
        <v>1</v>
      </c>
    </row>
    <row r="163" spans="1:56" x14ac:dyDescent="0.3">
      <c r="A163" s="17"/>
      <c r="B163" s="1">
        <v>43599</v>
      </c>
      <c r="C163" s="36">
        <v>1012</v>
      </c>
      <c r="D163" s="36">
        <v>180.46</v>
      </c>
      <c r="E163" s="37"/>
      <c r="F163" s="36">
        <v>65</v>
      </c>
      <c r="G163" s="7">
        <f t="shared" si="98"/>
        <v>1257.46</v>
      </c>
      <c r="H163" s="17">
        <f t="shared" si="96"/>
        <v>0</v>
      </c>
      <c r="J163" s="1">
        <v>43964</v>
      </c>
      <c r="K163" s="46">
        <v>1038.654</v>
      </c>
      <c r="L163" s="46">
        <v>197.8485</v>
      </c>
      <c r="M163" s="48"/>
      <c r="N163" s="46">
        <v>69.334999999999994</v>
      </c>
      <c r="O163" s="7">
        <f t="shared" si="99"/>
        <v>1305.8375000000001</v>
      </c>
      <c r="P163" s="17">
        <f t="shared" si="97"/>
        <v>0</v>
      </c>
      <c r="R163" s="1">
        <f t="shared" si="110"/>
        <v>44330</v>
      </c>
      <c r="S163" s="62">
        <v>1209.0740236559141</v>
      </c>
      <c r="T163" s="77">
        <v>241.69753548387098</v>
      </c>
      <c r="U163" s="37"/>
      <c r="V163" s="67">
        <v>78.533172580645157</v>
      </c>
      <c r="W163" s="7">
        <f t="shared" si="100"/>
        <v>1529.3047317204303</v>
      </c>
      <c r="X163" s="17">
        <f t="shared" si="105"/>
        <v>1</v>
      </c>
      <c r="Y163" s="17"/>
      <c r="Z163" s="1">
        <f t="shared" si="111"/>
        <v>44695</v>
      </c>
      <c r="AA163" s="116">
        <v>1104.634590967742</v>
      </c>
      <c r="AB163" s="116">
        <v>221.49649365591398</v>
      </c>
      <c r="AC163" s="101"/>
      <c r="AD163" s="116">
        <v>73.684536559139787</v>
      </c>
      <c r="AE163" s="101">
        <f t="shared" si="101"/>
        <v>1399.8156211827959</v>
      </c>
      <c r="AF163" s="17">
        <f t="shared" si="106"/>
        <v>0</v>
      </c>
      <c r="AH163" s="1">
        <f t="shared" si="112"/>
        <v>45060</v>
      </c>
      <c r="AI163" s="120">
        <v>1137.9305655913979</v>
      </c>
      <c r="AJ163" s="120">
        <v>229.24560956989248</v>
      </c>
      <c r="AK163" s="44"/>
      <c r="AL163" s="120">
        <v>75.710314838709678</v>
      </c>
      <c r="AM163" s="44">
        <f t="shared" si="102"/>
        <v>1442.8864899999999</v>
      </c>
      <c r="AN163" s="17">
        <f t="shared" si="107"/>
        <v>0</v>
      </c>
      <c r="AO163" s="17"/>
      <c r="AP163" s="1">
        <f t="shared" si="113"/>
        <v>45425</v>
      </c>
      <c r="AQ163" s="120">
        <v>1322.819</v>
      </c>
      <c r="AR163" s="120">
        <v>287.61518575053765</v>
      </c>
      <c r="AS163" s="44"/>
      <c r="AT163" s="120">
        <v>80.943040107526883</v>
      </c>
      <c r="AU163" s="44">
        <f t="shared" si="103"/>
        <v>1691.3772258580645</v>
      </c>
      <c r="AV163" s="17">
        <f t="shared" si="108"/>
        <v>1</v>
      </c>
      <c r="AW163" s="17"/>
      <c r="AX163" s="1">
        <f t="shared" si="114"/>
        <v>45791</v>
      </c>
      <c r="AY163" s="120">
        <v>1277.998</v>
      </c>
      <c r="AZ163" s="120">
        <v>269.47733336774195</v>
      </c>
      <c r="BA163" s="44"/>
      <c r="BB163" s="120">
        <v>86.133610860215057</v>
      </c>
      <c r="BC163" s="44">
        <f t="shared" si="104"/>
        <v>1633.608944227957</v>
      </c>
      <c r="BD163" s="17">
        <f t="shared" si="109"/>
        <v>1</v>
      </c>
    </row>
    <row r="164" spans="1:56" x14ac:dyDescent="0.3">
      <c r="A164" s="17"/>
      <c r="B164" s="1">
        <v>43600</v>
      </c>
      <c r="C164" s="36">
        <v>1051</v>
      </c>
      <c r="D164" s="36">
        <v>199.98400000000001</v>
      </c>
      <c r="E164" s="37"/>
      <c r="F164" s="36">
        <v>65</v>
      </c>
      <c r="G164" s="7">
        <f t="shared" si="98"/>
        <v>1315.9839999999999</v>
      </c>
      <c r="H164" s="17">
        <f t="shared" si="96"/>
        <v>0</v>
      </c>
      <c r="J164" s="1">
        <v>43965</v>
      </c>
      <c r="K164" s="46">
        <v>1017.107</v>
      </c>
      <c r="L164" s="46">
        <v>191.88650000000001</v>
      </c>
      <c r="M164" s="48"/>
      <c r="N164" s="46">
        <v>67.906999999999996</v>
      </c>
      <c r="O164" s="7">
        <f t="shared" si="99"/>
        <v>1276.9005</v>
      </c>
      <c r="P164" s="17">
        <f t="shared" si="97"/>
        <v>0</v>
      </c>
      <c r="R164" s="1">
        <f t="shared" si="110"/>
        <v>44331</v>
      </c>
      <c r="S164" s="62">
        <v>1100.6240232258065</v>
      </c>
      <c r="T164" s="76">
        <v>215.97026903225807</v>
      </c>
      <c r="U164" s="37"/>
      <c r="V164" s="66">
        <v>65.258502150537637</v>
      </c>
      <c r="W164" s="7">
        <f t="shared" si="100"/>
        <v>1381.8527944086022</v>
      </c>
      <c r="X164" s="17">
        <f t="shared" si="105"/>
        <v>0</v>
      </c>
      <c r="Y164" s="17"/>
      <c r="Z164" s="1">
        <f t="shared" si="111"/>
        <v>44696</v>
      </c>
      <c r="AA164" s="115">
        <v>1110.4075045161289</v>
      </c>
      <c r="AB164" s="115">
        <v>231.68051215053762</v>
      </c>
      <c r="AC164" s="101"/>
      <c r="AD164" s="115">
        <v>67.935344731182795</v>
      </c>
      <c r="AE164" s="101">
        <f t="shared" si="101"/>
        <v>1410.0233613978494</v>
      </c>
      <c r="AF164" s="17">
        <f t="shared" si="106"/>
        <v>0</v>
      </c>
      <c r="AH164" s="1">
        <f t="shared" si="112"/>
        <v>45061</v>
      </c>
      <c r="AI164" s="119">
        <v>1118.0744483870967</v>
      </c>
      <c r="AJ164" s="119">
        <v>233.77124430107526</v>
      </c>
      <c r="AK164" s="44"/>
      <c r="AL164" s="119">
        <v>79.867331612903229</v>
      </c>
      <c r="AM164" s="44">
        <f t="shared" si="102"/>
        <v>1431.7130243010752</v>
      </c>
      <c r="AN164" s="17">
        <f t="shared" si="107"/>
        <v>0</v>
      </c>
      <c r="AO164" s="17"/>
      <c r="AP164" s="1">
        <f t="shared" si="113"/>
        <v>45426</v>
      </c>
      <c r="AQ164" s="119">
        <v>1123.9559999999999</v>
      </c>
      <c r="AR164" s="119">
        <v>276.66785329677418</v>
      </c>
      <c r="AS164" s="44"/>
      <c r="AT164" s="119">
        <v>82.37577537634408</v>
      </c>
      <c r="AU164" s="44">
        <f t="shared" si="103"/>
        <v>1482.9996286731182</v>
      </c>
      <c r="AV164" s="17">
        <f t="shared" si="108"/>
        <v>1</v>
      </c>
      <c r="AW164" s="17"/>
      <c r="AX164" s="1">
        <f t="shared" si="114"/>
        <v>45792</v>
      </c>
      <c r="AY164" s="119">
        <v>1329.4580000000001</v>
      </c>
      <c r="AZ164" s="119">
        <v>277.31045245161289</v>
      </c>
      <c r="BA164" s="44"/>
      <c r="BB164" s="119">
        <v>88.508504731182796</v>
      </c>
      <c r="BC164" s="44">
        <f t="shared" si="104"/>
        <v>1695.2769571827957</v>
      </c>
      <c r="BD164" s="17">
        <f t="shared" si="109"/>
        <v>1</v>
      </c>
    </row>
    <row r="165" spans="1:56" x14ac:dyDescent="0.3">
      <c r="A165" s="17"/>
      <c r="B165" s="1">
        <v>43601</v>
      </c>
      <c r="C165" s="36">
        <v>1026</v>
      </c>
      <c r="D165" s="36">
        <v>187.74100000000001</v>
      </c>
      <c r="E165" s="37"/>
      <c r="F165" s="36">
        <v>64</v>
      </c>
      <c r="G165" s="7">
        <f t="shared" si="98"/>
        <v>1277.741</v>
      </c>
      <c r="H165" s="17">
        <f t="shared" si="96"/>
        <v>0</v>
      </c>
      <c r="J165" s="1">
        <v>43966</v>
      </c>
      <c r="K165" s="46">
        <v>1062.6489999999999</v>
      </c>
      <c r="L165" s="46">
        <v>202.70850000000002</v>
      </c>
      <c r="M165" s="48"/>
      <c r="N165" s="46">
        <v>67.328000000000003</v>
      </c>
      <c r="O165" s="7">
        <f t="shared" si="99"/>
        <v>1332.6854999999998</v>
      </c>
      <c r="P165" s="17">
        <f t="shared" si="97"/>
        <v>0</v>
      </c>
      <c r="R165" s="1">
        <f t="shared" si="110"/>
        <v>44332</v>
      </c>
      <c r="S165" s="62">
        <v>1121.2183088172044</v>
      </c>
      <c r="T165" s="77">
        <v>219.8042770967742</v>
      </c>
      <c r="U165" s="37"/>
      <c r="V165" s="67">
        <v>63.57260483870968</v>
      </c>
      <c r="W165" s="7">
        <f t="shared" si="100"/>
        <v>1404.5951907526883</v>
      </c>
      <c r="X165" s="17">
        <f t="shared" si="105"/>
        <v>0</v>
      </c>
      <c r="Y165" s="17"/>
      <c r="Z165" s="1">
        <f t="shared" si="111"/>
        <v>44697</v>
      </c>
      <c r="AA165" s="116">
        <v>1254.7865496774193</v>
      </c>
      <c r="AB165" s="116">
        <v>251.21370956989247</v>
      </c>
      <c r="AC165" s="101"/>
      <c r="AD165" s="116">
        <v>71.894142043010746</v>
      </c>
      <c r="AE165" s="101">
        <f t="shared" si="101"/>
        <v>1577.8944012903225</v>
      </c>
      <c r="AF165" s="17">
        <f t="shared" si="106"/>
        <v>1</v>
      </c>
      <c r="AH165" s="1">
        <f t="shared" si="112"/>
        <v>45062</v>
      </c>
      <c r="AI165" s="120">
        <v>1226.143520967742</v>
      </c>
      <c r="AJ165" s="120">
        <v>246.34731569892472</v>
      </c>
      <c r="AK165" s="44"/>
      <c r="AL165" s="120">
        <v>86.268878709677423</v>
      </c>
      <c r="AM165" s="44">
        <f t="shared" si="102"/>
        <v>1558.7597153763443</v>
      </c>
      <c r="AN165" s="17">
        <f t="shared" si="107"/>
        <v>1</v>
      </c>
      <c r="AO165" s="17"/>
      <c r="AP165" s="1">
        <f t="shared" si="113"/>
        <v>45427</v>
      </c>
      <c r="AQ165" s="120">
        <v>1139.223</v>
      </c>
      <c r="AR165" s="120">
        <v>271.55205205161292</v>
      </c>
      <c r="AS165" s="44"/>
      <c r="AT165" s="120">
        <v>82.629376021505379</v>
      </c>
      <c r="AU165" s="44">
        <f t="shared" si="103"/>
        <v>1493.4044280731182</v>
      </c>
      <c r="AV165" s="17">
        <f t="shared" si="108"/>
        <v>1</v>
      </c>
      <c r="AW165" s="17"/>
      <c r="AX165" s="1">
        <f t="shared" si="114"/>
        <v>45793</v>
      </c>
      <c r="AY165" s="120">
        <v>1307.883</v>
      </c>
      <c r="AZ165" s="120">
        <v>277.3999568064516</v>
      </c>
      <c r="BA165" s="44"/>
      <c r="BB165" s="120">
        <v>87.448652688172047</v>
      </c>
      <c r="BC165" s="44">
        <f t="shared" si="104"/>
        <v>1672.7316094946236</v>
      </c>
      <c r="BD165" s="17">
        <f t="shared" si="109"/>
        <v>1</v>
      </c>
    </row>
    <row r="166" spans="1:56" x14ac:dyDescent="0.3">
      <c r="A166" s="17"/>
      <c r="B166" s="1">
        <v>43602</v>
      </c>
      <c r="C166" s="36">
        <v>1056</v>
      </c>
      <c r="D166" s="36">
        <v>194.67400000000001</v>
      </c>
      <c r="E166" s="37"/>
      <c r="F166" s="36">
        <v>63</v>
      </c>
      <c r="G166" s="7">
        <f t="shared" si="98"/>
        <v>1313.674</v>
      </c>
      <c r="H166" s="17">
        <f t="shared" si="96"/>
        <v>0</v>
      </c>
      <c r="J166" s="1">
        <v>43967</v>
      </c>
      <c r="K166" s="46">
        <v>1020.535</v>
      </c>
      <c r="L166" s="46">
        <v>193.84800000000001</v>
      </c>
      <c r="M166" s="48"/>
      <c r="N166" s="46">
        <v>67.204999999999998</v>
      </c>
      <c r="O166" s="7">
        <f t="shared" si="99"/>
        <v>1281.588</v>
      </c>
      <c r="P166" s="17">
        <f t="shared" si="97"/>
        <v>0</v>
      </c>
      <c r="R166" s="1">
        <f t="shared" si="110"/>
        <v>44333</v>
      </c>
      <c r="S166" s="62">
        <v>1231.4431049462366</v>
      </c>
      <c r="T166" s="76">
        <v>228.70151150537635</v>
      </c>
      <c r="U166" s="37"/>
      <c r="V166" s="66">
        <v>77.09247688172043</v>
      </c>
      <c r="W166" s="7">
        <f t="shared" si="100"/>
        <v>1537.2370933333334</v>
      </c>
      <c r="X166" s="17">
        <f t="shared" si="105"/>
        <v>1</v>
      </c>
      <c r="Y166" s="17"/>
      <c r="Z166" s="1">
        <f t="shared" si="111"/>
        <v>44698</v>
      </c>
      <c r="AA166" s="115">
        <v>1182.7094400000001</v>
      </c>
      <c r="AB166" s="115">
        <v>256.86542849462364</v>
      </c>
      <c r="AC166" s="101"/>
      <c r="AD166" s="115">
        <v>73.288115268817208</v>
      </c>
      <c r="AE166" s="101">
        <f t="shared" si="101"/>
        <v>1512.862983763441</v>
      </c>
      <c r="AF166" s="17">
        <f t="shared" si="106"/>
        <v>1</v>
      </c>
      <c r="AH166" s="1">
        <f t="shared" si="112"/>
        <v>45063</v>
      </c>
      <c r="AI166" s="119">
        <v>1287.8182295698925</v>
      </c>
      <c r="AJ166" s="119">
        <v>270.29131817204302</v>
      </c>
      <c r="AK166" s="44"/>
      <c r="AL166" s="119">
        <v>85.032338709677418</v>
      </c>
      <c r="AM166" s="44">
        <f t="shared" si="102"/>
        <v>1643.1418864516129</v>
      </c>
      <c r="AN166" s="17">
        <f t="shared" si="107"/>
        <v>1</v>
      </c>
      <c r="AO166" s="17"/>
      <c r="AP166" s="1">
        <f t="shared" si="113"/>
        <v>45428</v>
      </c>
      <c r="AQ166" s="119">
        <v>1153.9649999999999</v>
      </c>
      <c r="AR166" s="119">
        <v>250.36029125161289</v>
      </c>
      <c r="AS166" s="44"/>
      <c r="AT166" s="119">
        <v>82.168776559139786</v>
      </c>
      <c r="AU166" s="44">
        <f t="shared" si="103"/>
        <v>1486.4940678107525</v>
      </c>
      <c r="AV166" s="17">
        <f t="shared" si="108"/>
        <v>1</v>
      </c>
      <c r="AW166" s="17"/>
      <c r="AX166" s="1">
        <f t="shared" si="114"/>
        <v>45794</v>
      </c>
      <c r="AY166" s="119">
        <v>1355.6949999999999</v>
      </c>
      <c r="AZ166" s="119">
        <v>294.32810620645159</v>
      </c>
      <c r="BA166" s="44"/>
      <c r="BB166" s="119">
        <v>85.655808709677416</v>
      </c>
      <c r="BC166" s="44">
        <f t="shared" si="104"/>
        <v>1735.6789149161289</v>
      </c>
      <c r="BD166" s="17">
        <f t="shared" si="109"/>
        <v>1</v>
      </c>
    </row>
    <row r="167" spans="1:56" x14ac:dyDescent="0.3">
      <c r="A167" s="17"/>
      <c r="B167" s="1">
        <v>43603</v>
      </c>
      <c r="C167" s="36">
        <v>1198</v>
      </c>
      <c r="D167" s="36">
        <v>209.26400000000001</v>
      </c>
      <c r="E167" s="37"/>
      <c r="F167" s="36">
        <v>67</v>
      </c>
      <c r="G167" s="7">
        <f t="shared" si="98"/>
        <v>1474.2640000000001</v>
      </c>
      <c r="H167" s="17">
        <f t="shared" si="96"/>
        <v>0</v>
      </c>
      <c r="J167" s="1">
        <v>43968</v>
      </c>
      <c r="K167" s="46">
        <v>1018.087</v>
      </c>
      <c r="L167" s="46">
        <v>184.548</v>
      </c>
      <c r="M167" s="48"/>
      <c r="N167" s="46">
        <v>62.271000000000001</v>
      </c>
      <c r="O167" s="7">
        <f t="shared" si="99"/>
        <v>1264.9059999999999</v>
      </c>
      <c r="P167" s="17">
        <f t="shared" si="97"/>
        <v>0</v>
      </c>
      <c r="R167" s="1">
        <f t="shared" si="110"/>
        <v>44334</v>
      </c>
      <c r="S167" s="62">
        <v>1175.5558976344087</v>
      </c>
      <c r="T167" s="77">
        <v>231.58412752688173</v>
      </c>
      <c r="U167" s="37"/>
      <c r="V167" s="67">
        <v>75.664858602150531</v>
      </c>
      <c r="W167" s="7">
        <f t="shared" si="100"/>
        <v>1482.804883763441</v>
      </c>
      <c r="X167" s="17">
        <f t="shared" si="105"/>
        <v>1</v>
      </c>
      <c r="Y167" s="17"/>
      <c r="Z167" s="1">
        <f t="shared" si="111"/>
        <v>44699</v>
      </c>
      <c r="AA167" s="116">
        <v>1144.8160722580644</v>
      </c>
      <c r="AB167" s="116">
        <v>250.13233989247311</v>
      </c>
      <c r="AC167" s="101"/>
      <c r="AD167" s="116">
        <v>71.941799247311835</v>
      </c>
      <c r="AE167" s="101">
        <f t="shared" si="101"/>
        <v>1466.8902113978493</v>
      </c>
      <c r="AF167" s="17">
        <f t="shared" si="106"/>
        <v>0</v>
      </c>
      <c r="AH167" s="1">
        <f t="shared" si="112"/>
        <v>45064</v>
      </c>
      <c r="AI167" s="120">
        <v>1309.197547311828</v>
      </c>
      <c r="AJ167" s="120">
        <v>269.44172870967742</v>
      </c>
      <c r="AK167" s="44"/>
      <c r="AL167" s="120">
        <v>87.531292258064511</v>
      </c>
      <c r="AM167" s="44">
        <f t="shared" si="102"/>
        <v>1666.1705682795698</v>
      </c>
      <c r="AN167" s="17">
        <f t="shared" si="107"/>
        <v>1</v>
      </c>
      <c r="AO167" s="17"/>
      <c r="AP167" s="1">
        <f t="shared" si="113"/>
        <v>45429</v>
      </c>
      <c r="AQ167" s="120">
        <v>1139.961</v>
      </c>
      <c r="AR167" s="120">
        <v>250.47267011182797</v>
      </c>
      <c r="AS167" s="44"/>
      <c r="AT167" s="120">
        <v>78.611864946236565</v>
      </c>
      <c r="AU167" s="44">
        <f t="shared" si="103"/>
        <v>1469.0455350580646</v>
      </c>
      <c r="AV167" s="17">
        <f t="shared" si="108"/>
        <v>0</v>
      </c>
      <c r="AW167" s="17"/>
      <c r="AX167" s="1">
        <f t="shared" si="114"/>
        <v>45795</v>
      </c>
      <c r="AY167" s="120">
        <v>1309.8050000000001</v>
      </c>
      <c r="AZ167" s="120">
        <v>291.18855009677418</v>
      </c>
      <c r="BA167" s="44"/>
      <c r="BB167" s="120">
        <v>81.395768172043006</v>
      </c>
      <c r="BC167" s="44">
        <f t="shared" si="104"/>
        <v>1682.3893182688173</v>
      </c>
      <c r="BD167" s="17">
        <f t="shared" si="109"/>
        <v>1</v>
      </c>
    </row>
    <row r="168" spans="1:56" x14ac:dyDescent="0.3">
      <c r="A168" s="17"/>
      <c r="B168" s="1">
        <v>43604</v>
      </c>
      <c r="C168" s="36">
        <v>1139</v>
      </c>
      <c r="D168" s="36">
        <v>206.83600000000001</v>
      </c>
      <c r="E168" s="37"/>
      <c r="F168" s="36">
        <v>66</v>
      </c>
      <c r="G168" s="7">
        <f t="shared" si="98"/>
        <v>1411.836</v>
      </c>
      <c r="H168" s="17">
        <f t="shared" si="96"/>
        <v>0</v>
      </c>
      <c r="J168" s="1">
        <v>43969</v>
      </c>
      <c r="K168" s="46">
        <v>1132.1869999999999</v>
      </c>
      <c r="L168" s="46">
        <v>204.559</v>
      </c>
      <c r="M168" s="48"/>
      <c r="N168" s="46">
        <v>69.12</v>
      </c>
      <c r="O168" s="7">
        <f t="shared" si="99"/>
        <v>1405.866</v>
      </c>
      <c r="P168" s="17">
        <f t="shared" si="97"/>
        <v>0</v>
      </c>
      <c r="R168" s="1">
        <f t="shared" si="110"/>
        <v>44335</v>
      </c>
      <c r="S168" s="62">
        <v>1191.6388744086021</v>
      </c>
      <c r="T168" s="76">
        <v>226.32418236559141</v>
      </c>
      <c r="U168" s="37"/>
      <c r="V168" s="66">
        <v>76.129106989247319</v>
      </c>
      <c r="W168" s="7">
        <f t="shared" si="100"/>
        <v>1494.0921637634408</v>
      </c>
      <c r="X168" s="17">
        <f t="shared" si="105"/>
        <v>1</v>
      </c>
      <c r="Y168" s="17"/>
      <c r="Z168" s="1">
        <f t="shared" si="111"/>
        <v>44700</v>
      </c>
      <c r="AA168" s="115">
        <v>1188.9871896774193</v>
      </c>
      <c r="AB168" s="115">
        <v>268.41262440860214</v>
      </c>
      <c r="AC168" s="101"/>
      <c r="AD168" s="115">
        <v>74.008388924731179</v>
      </c>
      <c r="AE168" s="101">
        <f t="shared" si="101"/>
        <v>1531.4082030107527</v>
      </c>
      <c r="AF168" s="17">
        <f t="shared" si="106"/>
        <v>1</v>
      </c>
      <c r="AH168" s="1">
        <f t="shared" si="112"/>
        <v>45065</v>
      </c>
      <c r="AI168" s="119">
        <v>1309.0247602150537</v>
      </c>
      <c r="AJ168" s="119">
        <v>267.42854978494626</v>
      </c>
      <c r="AK168" s="44"/>
      <c r="AL168" s="119">
        <v>91.357343225806446</v>
      </c>
      <c r="AM168" s="44">
        <f t="shared" si="102"/>
        <v>1667.8106532258064</v>
      </c>
      <c r="AN168" s="17">
        <f t="shared" si="107"/>
        <v>1</v>
      </c>
      <c r="AO168" s="17"/>
      <c r="AP168" s="1">
        <f t="shared" si="113"/>
        <v>45430</v>
      </c>
      <c r="AQ168" s="119">
        <v>1115.596</v>
      </c>
      <c r="AR168" s="119">
        <v>256.02512758924729</v>
      </c>
      <c r="AS168" s="44"/>
      <c r="AT168" s="119">
        <v>74.832781827956993</v>
      </c>
      <c r="AU168" s="44">
        <f t="shared" si="103"/>
        <v>1446.4539094172044</v>
      </c>
      <c r="AV168" s="17">
        <f t="shared" si="108"/>
        <v>0</v>
      </c>
      <c r="AW168" s="17"/>
      <c r="AX168" s="1">
        <f t="shared" si="114"/>
        <v>45796</v>
      </c>
      <c r="AY168" s="119">
        <v>1417.0519999999999</v>
      </c>
      <c r="AZ168" s="119">
        <v>301.53461443548389</v>
      </c>
      <c r="BA168" s="44"/>
      <c r="BB168" s="119">
        <v>90.861680322580639</v>
      </c>
      <c r="BC168" s="44">
        <f t="shared" si="104"/>
        <v>1809.4482947580645</v>
      </c>
      <c r="BD168" s="17">
        <f t="shared" si="109"/>
        <v>1</v>
      </c>
    </row>
    <row r="169" spans="1:56" x14ac:dyDescent="0.3">
      <c r="A169" s="17"/>
      <c r="B169" s="1">
        <v>43605</v>
      </c>
      <c r="C169" s="36">
        <v>1107</v>
      </c>
      <c r="D169" s="36">
        <v>201.30600000000001</v>
      </c>
      <c r="E169" s="37"/>
      <c r="F169" s="36">
        <v>63</v>
      </c>
      <c r="G169" s="7">
        <f t="shared" si="98"/>
        <v>1371.306</v>
      </c>
      <c r="H169" s="17">
        <f t="shared" si="96"/>
        <v>0</v>
      </c>
      <c r="J169" s="1">
        <v>43970</v>
      </c>
      <c r="K169" s="46">
        <v>1099.377</v>
      </c>
      <c r="L169" s="46">
        <v>200.82049999999998</v>
      </c>
      <c r="M169" s="48"/>
      <c r="N169" s="46">
        <v>71.441999999999993</v>
      </c>
      <c r="O169" s="7">
        <f t="shared" si="99"/>
        <v>1371.6395</v>
      </c>
      <c r="P169" s="17">
        <f t="shared" si="97"/>
        <v>0</v>
      </c>
      <c r="R169" s="1">
        <f t="shared" si="110"/>
        <v>44336</v>
      </c>
      <c r="S169" s="62">
        <v>1229.822494623656</v>
      </c>
      <c r="T169" s="77">
        <v>220.0136188172043</v>
      </c>
      <c r="U169" s="37"/>
      <c r="V169" s="67">
        <v>76.028846774193553</v>
      </c>
      <c r="W169" s="7">
        <f t="shared" si="100"/>
        <v>1525.864960215054</v>
      </c>
      <c r="X169" s="17">
        <f t="shared" si="105"/>
        <v>1</v>
      </c>
      <c r="Y169" s="17"/>
      <c r="Z169" s="1">
        <f t="shared" si="111"/>
        <v>44701</v>
      </c>
      <c r="AA169" s="116">
        <v>1205.425021935484</v>
      </c>
      <c r="AB169" s="116">
        <v>268.8213994623656</v>
      </c>
      <c r="AC169" s="101"/>
      <c r="AD169" s="116">
        <v>73.374764731182793</v>
      </c>
      <c r="AE169" s="101">
        <f t="shared" si="101"/>
        <v>1547.6211861290324</v>
      </c>
      <c r="AF169" s="17">
        <f t="shared" si="106"/>
        <v>1</v>
      </c>
      <c r="AH169" s="1">
        <f t="shared" si="112"/>
        <v>45066</v>
      </c>
      <c r="AI169" s="120">
        <v>1214.5935263440861</v>
      </c>
      <c r="AJ169" s="120">
        <v>247.96750505376343</v>
      </c>
      <c r="AK169" s="44"/>
      <c r="AL169" s="120">
        <v>84.970889032258071</v>
      </c>
      <c r="AM169" s="44">
        <f t="shared" si="102"/>
        <v>1547.5319204301077</v>
      </c>
      <c r="AN169" s="17">
        <f t="shared" si="107"/>
        <v>1</v>
      </c>
      <c r="AO169" s="17"/>
      <c r="AP169" s="1">
        <f t="shared" si="113"/>
        <v>45431</v>
      </c>
      <c r="AQ169" s="120">
        <v>1116.7840000000001</v>
      </c>
      <c r="AR169" s="120">
        <v>262.7809899870968</v>
      </c>
      <c r="AS169" s="44"/>
      <c r="AT169" s="120">
        <v>69.512587096774197</v>
      </c>
      <c r="AU169" s="44">
        <f t="shared" si="103"/>
        <v>1449.0775770838711</v>
      </c>
      <c r="AV169" s="17">
        <f t="shared" si="108"/>
        <v>0</v>
      </c>
      <c r="AW169" s="17"/>
      <c r="AX169" s="1">
        <f t="shared" si="114"/>
        <v>45797</v>
      </c>
      <c r="AY169" s="120">
        <v>1437.518</v>
      </c>
      <c r="AZ169" s="120">
        <v>296.67126197741936</v>
      </c>
      <c r="BA169" s="44"/>
      <c r="BB169" s="120">
        <v>94.117250430107532</v>
      </c>
      <c r="BC169" s="44">
        <f t="shared" si="104"/>
        <v>1828.306512407527</v>
      </c>
      <c r="BD169" s="17">
        <f t="shared" si="109"/>
        <v>1</v>
      </c>
    </row>
    <row r="170" spans="1:56" x14ac:dyDescent="0.3">
      <c r="A170" s="17"/>
      <c r="B170" s="1">
        <v>43606</v>
      </c>
      <c r="C170" s="36">
        <v>1003</v>
      </c>
      <c r="D170" s="36">
        <v>180.01499999999999</v>
      </c>
      <c r="E170" s="37"/>
      <c r="F170" s="36">
        <v>60</v>
      </c>
      <c r="G170" s="7">
        <f t="shared" si="98"/>
        <v>1243.0149999999999</v>
      </c>
      <c r="H170" s="17">
        <f t="shared" si="96"/>
        <v>0</v>
      </c>
      <c r="J170" s="1">
        <v>43971</v>
      </c>
      <c r="K170" s="46">
        <v>1088.114</v>
      </c>
      <c r="L170" s="46">
        <v>213.60649999999998</v>
      </c>
      <c r="M170" s="48"/>
      <c r="N170" s="46">
        <v>73.245000000000005</v>
      </c>
      <c r="O170" s="7">
        <f t="shared" si="99"/>
        <v>1374.9654999999998</v>
      </c>
      <c r="P170" s="17">
        <f t="shared" si="97"/>
        <v>0</v>
      </c>
      <c r="R170" s="1">
        <f t="shared" si="110"/>
        <v>44337</v>
      </c>
      <c r="S170" s="62">
        <v>1095.8453858064515</v>
      </c>
      <c r="T170" s="76">
        <v>209.82244774193549</v>
      </c>
      <c r="U170" s="37"/>
      <c r="V170" s="66">
        <v>70.242088709677418</v>
      </c>
      <c r="W170" s="7">
        <f t="shared" si="100"/>
        <v>1375.9099222580644</v>
      </c>
      <c r="X170" s="17">
        <f t="shared" si="105"/>
        <v>0</v>
      </c>
      <c r="Y170" s="17"/>
      <c r="Z170" s="1">
        <f t="shared" si="111"/>
        <v>44702</v>
      </c>
      <c r="AA170" s="115">
        <v>1111.1249032258065</v>
      </c>
      <c r="AB170" s="115">
        <v>240.45984526881719</v>
      </c>
      <c r="AC170" s="101"/>
      <c r="AD170" s="115">
        <v>70.66047032258065</v>
      </c>
      <c r="AE170" s="101">
        <f t="shared" si="101"/>
        <v>1422.2452188172044</v>
      </c>
      <c r="AF170" s="17">
        <f t="shared" si="106"/>
        <v>0</v>
      </c>
      <c r="AH170" s="1">
        <f t="shared" si="112"/>
        <v>45067</v>
      </c>
      <c r="AI170" s="119">
        <v>1189.9106838709677</v>
      </c>
      <c r="AJ170" s="119">
        <v>241.64729279569892</v>
      </c>
      <c r="AK170" s="44"/>
      <c r="AL170" s="119">
        <v>78.322465161290324</v>
      </c>
      <c r="AM170" s="44">
        <f t="shared" si="102"/>
        <v>1509.8804418279569</v>
      </c>
      <c r="AN170" s="17">
        <f t="shared" si="107"/>
        <v>1</v>
      </c>
      <c r="AO170" s="17"/>
      <c r="AP170" s="1">
        <f t="shared" si="113"/>
        <v>45432</v>
      </c>
      <c r="AQ170" s="119">
        <v>1192.011</v>
      </c>
      <c r="AR170" s="119">
        <v>273.33497181612904</v>
      </c>
      <c r="AS170" s="44"/>
      <c r="AT170" s="119">
        <v>69.069327849462368</v>
      </c>
      <c r="AU170" s="44">
        <f t="shared" si="103"/>
        <v>1534.4152996655912</v>
      </c>
      <c r="AV170" s="17">
        <f t="shared" si="108"/>
        <v>1</v>
      </c>
      <c r="AW170" s="17"/>
      <c r="AX170" s="1">
        <f t="shared" si="114"/>
        <v>45798</v>
      </c>
      <c r="AY170" s="119">
        <v>1413.127</v>
      </c>
      <c r="AZ170" s="119">
        <v>311.55032180645162</v>
      </c>
      <c r="BA170" s="44"/>
      <c r="BB170" s="119">
        <v>83.114769999999993</v>
      </c>
      <c r="BC170" s="44">
        <f t="shared" si="104"/>
        <v>1807.7920918064515</v>
      </c>
      <c r="BD170" s="17">
        <f t="shared" si="109"/>
        <v>1</v>
      </c>
    </row>
    <row r="171" spans="1:56" x14ac:dyDescent="0.3">
      <c r="A171" s="17"/>
      <c r="B171" s="1">
        <v>43607</v>
      </c>
      <c r="C171" s="36">
        <v>1046</v>
      </c>
      <c r="D171" s="36">
        <v>167.87299999999999</v>
      </c>
      <c r="E171" s="37"/>
      <c r="F171" s="36">
        <v>61</v>
      </c>
      <c r="G171" s="7">
        <f t="shared" si="98"/>
        <v>1274.873</v>
      </c>
      <c r="H171" s="17">
        <f t="shared" si="96"/>
        <v>0</v>
      </c>
      <c r="J171" s="1">
        <v>43972</v>
      </c>
      <c r="K171" s="46">
        <v>1019.556</v>
      </c>
      <c r="L171" s="46">
        <v>195.95600000000002</v>
      </c>
      <c r="M171" s="48"/>
      <c r="N171" s="46">
        <v>67.372</v>
      </c>
      <c r="O171" s="7">
        <f t="shared" si="99"/>
        <v>1282.8840000000002</v>
      </c>
      <c r="P171" s="17">
        <f t="shared" si="97"/>
        <v>0</v>
      </c>
      <c r="R171" s="1">
        <f t="shared" si="110"/>
        <v>44338</v>
      </c>
      <c r="S171" s="62">
        <v>1155.6227234408602</v>
      </c>
      <c r="T171" s="77">
        <v>215.66519806451612</v>
      </c>
      <c r="U171" s="37"/>
      <c r="V171" s="67">
        <v>69.543536559139781</v>
      </c>
      <c r="W171" s="7">
        <f t="shared" si="100"/>
        <v>1440.831458064516</v>
      </c>
      <c r="X171" s="17">
        <f t="shared" si="105"/>
        <v>0</v>
      </c>
      <c r="Y171" s="17"/>
      <c r="Z171" s="1">
        <f t="shared" si="111"/>
        <v>44703</v>
      </c>
      <c r="AA171" s="116">
        <v>1173.0807638709678</v>
      </c>
      <c r="AB171" s="116">
        <v>235.89543903225805</v>
      </c>
      <c r="AC171" s="101"/>
      <c r="AD171" s="116">
        <v>72.137843655913983</v>
      </c>
      <c r="AE171" s="101">
        <f t="shared" si="101"/>
        <v>1481.1140465591398</v>
      </c>
      <c r="AF171" s="17">
        <f t="shared" si="106"/>
        <v>1</v>
      </c>
      <c r="AH171" s="1">
        <f t="shared" si="112"/>
        <v>45068</v>
      </c>
      <c r="AI171" s="120">
        <v>1346.772569892473</v>
      </c>
      <c r="AJ171" s="120">
        <v>269.3981569892473</v>
      </c>
      <c r="AK171" s="44"/>
      <c r="AL171" s="120">
        <v>87.544229032258059</v>
      </c>
      <c r="AM171" s="44">
        <f t="shared" si="102"/>
        <v>1703.7149559139784</v>
      </c>
      <c r="AN171" s="17">
        <f t="shared" si="107"/>
        <v>1</v>
      </c>
      <c r="AO171" s="17"/>
      <c r="AP171" s="1">
        <f t="shared" si="113"/>
        <v>45433</v>
      </c>
      <c r="AQ171" s="120">
        <v>1150.404</v>
      </c>
      <c r="AR171" s="120">
        <v>251.34843378387097</v>
      </c>
      <c r="AS171" s="44"/>
      <c r="AT171" s="120">
        <v>66.293809677419361</v>
      </c>
      <c r="AU171" s="44">
        <f t="shared" si="103"/>
        <v>1468.0462434612903</v>
      </c>
      <c r="AV171" s="17">
        <f t="shared" si="108"/>
        <v>0</v>
      </c>
      <c r="AW171" s="17"/>
      <c r="AX171" s="1">
        <f t="shared" si="114"/>
        <v>45799</v>
      </c>
      <c r="AY171" s="120">
        <v>1408.4680000000001</v>
      </c>
      <c r="AZ171" s="120">
        <v>316.20087109677422</v>
      </c>
      <c r="BA171" s="44"/>
      <c r="BB171" s="120">
        <v>82.465393440860211</v>
      </c>
      <c r="BC171" s="44">
        <f t="shared" si="104"/>
        <v>1807.1342645376344</v>
      </c>
      <c r="BD171" s="17">
        <f t="shared" si="109"/>
        <v>1</v>
      </c>
    </row>
    <row r="172" spans="1:56" x14ac:dyDescent="0.3">
      <c r="A172" s="17"/>
      <c r="B172" s="1">
        <v>43608</v>
      </c>
      <c r="C172" s="36">
        <v>1166</v>
      </c>
      <c r="D172" s="36">
        <v>164.68700000000001</v>
      </c>
      <c r="E172" s="37"/>
      <c r="F172" s="36">
        <v>65</v>
      </c>
      <c r="G172" s="7">
        <f t="shared" si="98"/>
        <v>1395.6869999999999</v>
      </c>
      <c r="H172" s="17">
        <f t="shared" si="96"/>
        <v>0</v>
      </c>
      <c r="J172" s="1">
        <v>43973</v>
      </c>
      <c r="K172" s="46">
        <v>1070.9739999999999</v>
      </c>
      <c r="L172" s="46">
        <v>192.66050000000001</v>
      </c>
      <c r="M172" s="48"/>
      <c r="N172" s="46">
        <v>70.090999999999994</v>
      </c>
      <c r="O172" s="7">
        <f t="shared" si="99"/>
        <v>1333.7254999999998</v>
      </c>
      <c r="P172" s="17">
        <f t="shared" si="97"/>
        <v>0</v>
      </c>
      <c r="R172" s="1">
        <f t="shared" si="110"/>
        <v>44339</v>
      </c>
      <c r="S172" s="62">
        <v>1200.2421965591398</v>
      </c>
      <c r="T172" s="76">
        <v>216.4427159139785</v>
      </c>
      <c r="U172" s="37"/>
      <c r="V172" s="66">
        <v>73.330539247311833</v>
      </c>
      <c r="W172" s="7">
        <f t="shared" si="100"/>
        <v>1490.0154517204301</v>
      </c>
      <c r="X172" s="17">
        <f t="shared" si="105"/>
        <v>1</v>
      </c>
      <c r="Y172" s="17"/>
      <c r="Z172" s="1">
        <f t="shared" si="111"/>
        <v>44704</v>
      </c>
      <c r="AA172" s="115">
        <v>1339.7768361290323</v>
      </c>
      <c r="AB172" s="115">
        <v>260.71685817204303</v>
      </c>
      <c r="AC172" s="101"/>
      <c r="AD172" s="115">
        <v>77.087694193548387</v>
      </c>
      <c r="AE172" s="101">
        <f t="shared" si="101"/>
        <v>1677.5813884946238</v>
      </c>
      <c r="AF172" s="17">
        <f t="shared" si="106"/>
        <v>1</v>
      </c>
      <c r="AH172" s="1">
        <f t="shared" si="112"/>
        <v>45069</v>
      </c>
      <c r="AI172" s="119">
        <v>1381.7814983870967</v>
      </c>
      <c r="AJ172" s="119">
        <v>275.30510473118278</v>
      </c>
      <c r="AK172" s="44"/>
      <c r="AL172" s="119">
        <v>89.107422580645164</v>
      </c>
      <c r="AM172" s="44">
        <f t="shared" si="102"/>
        <v>1746.1940256989246</v>
      </c>
      <c r="AN172" s="17">
        <f t="shared" si="107"/>
        <v>1</v>
      </c>
      <c r="AO172" s="17"/>
      <c r="AP172" s="1">
        <f t="shared" si="113"/>
        <v>45434</v>
      </c>
      <c r="AQ172" s="119">
        <v>1381.2570000000001</v>
      </c>
      <c r="AR172" s="119">
        <v>286.3541717956989</v>
      </c>
      <c r="AS172" s="44"/>
      <c r="AT172" s="119">
        <v>76.369558387096774</v>
      </c>
      <c r="AU172" s="44">
        <f t="shared" si="103"/>
        <v>1743.9807301827957</v>
      </c>
      <c r="AV172" s="17">
        <f t="shared" si="108"/>
        <v>1</v>
      </c>
      <c r="AW172" s="17"/>
      <c r="AX172" s="1">
        <f t="shared" si="114"/>
        <v>45800</v>
      </c>
      <c r="AY172" s="119">
        <v>1308.1610000000001</v>
      </c>
      <c r="AZ172" s="119">
        <v>303.89135141935486</v>
      </c>
      <c r="BA172" s="44"/>
      <c r="BB172" s="119">
        <v>89.28058956989247</v>
      </c>
      <c r="BC172" s="44">
        <f t="shared" si="104"/>
        <v>1701.3329409892474</v>
      </c>
      <c r="BD172" s="17">
        <f t="shared" si="109"/>
        <v>1</v>
      </c>
    </row>
    <row r="173" spans="1:56" x14ac:dyDescent="0.3">
      <c r="A173" s="17"/>
      <c r="B173" s="1">
        <v>43609</v>
      </c>
      <c r="C173" s="36">
        <v>1137</v>
      </c>
      <c r="D173" s="36">
        <v>179.93</v>
      </c>
      <c r="E173" s="37"/>
      <c r="F173" s="36">
        <v>64</v>
      </c>
      <c r="G173" s="7">
        <f t="shared" si="98"/>
        <v>1380.93</v>
      </c>
      <c r="H173" s="17">
        <f t="shared" si="96"/>
        <v>0</v>
      </c>
      <c r="J173" s="1">
        <v>43974</v>
      </c>
      <c r="K173" s="46">
        <v>936.30700000000002</v>
      </c>
      <c r="L173" s="46">
        <v>177.4605</v>
      </c>
      <c r="M173" s="48"/>
      <c r="N173" s="46">
        <v>66.272000000000006</v>
      </c>
      <c r="O173" s="7">
        <f t="shared" si="99"/>
        <v>1180.0394999999999</v>
      </c>
      <c r="P173" s="17">
        <f t="shared" si="97"/>
        <v>0</v>
      </c>
      <c r="R173" s="1">
        <f t="shared" si="110"/>
        <v>44340</v>
      </c>
      <c r="S173" s="62">
        <v>1363.1839711827956</v>
      </c>
      <c r="T173" s="77">
        <v>254.56831043010752</v>
      </c>
      <c r="U173" s="37"/>
      <c r="V173" s="67">
        <v>82.895581720430101</v>
      </c>
      <c r="W173" s="7">
        <f t="shared" si="100"/>
        <v>1700.6478633333331</v>
      </c>
      <c r="X173" s="17">
        <f t="shared" si="105"/>
        <v>1</v>
      </c>
      <c r="Y173" s="17"/>
      <c r="Z173" s="1">
        <f t="shared" si="111"/>
        <v>44705</v>
      </c>
      <c r="AA173" s="116">
        <v>1326.1227561290323</v>
      </c>
      <c r="AB173" s="116">
        <v>271.16115698924733</v>
      </c>
      <c r="AC173" s="101"/>
      <c r="AD173" s="116">
        <v>81.927066666666661</v>
      </c>
      <c r="AE173" s="101">
        <f t="shared" si="101"/>
        <v>1679.2109797849462</v>
      </c>
      <c r="AF173" s="17">
        <f t="shared" si="106"/>
        <v>1</v>
      </c>
      <c r="AH173" s="1">
        <f t="shared" si="112"/>
        <v>45070</v>
      </c>
      <c r="AI173" s="120">
        <v>1332.3530752688173</v>
      </c>
      <c r="AJ173" s="120">
        <v>274.11438634408603</v>
      </c>
      <c r="AK173" s="44"/>
      <c r="AL173" s="120">
        <v>91.267863870967744</v>
      </c>
      <c r="AM173" s="44">
        <f t="shared" si="102"/>
        <v>1697.7353254838708</v>
      </c>
      <c r="AN173" s="17">
        <f t="shared" si="107"/>
        <v>1</v>
      </c>
      <c r="AO173" s="17"/>
      <c r="AP173" s="1">
        <f t="shared" si="113"/>
        <v>45435</v>
      </c>
      <c r="AQ173" s="120">
        <v>1367.4269999999999</v>
      </c>
      <c r="AR173" s="120">
        <v>289.21577971827958</v>
      </c>
      <c r="AS173" s="44"/>
      <c r="AT173" s="120">
        <v>88.664854623655913</v>
      </c>
      <c r="AU173" s="44">
        <f t="shared" si="103"/>
        <v>1745.3076343419355</v>
      </c>
      <c r="AV173" s="17">
        <f t="shared" si="108"/>
        <v>1</v>
      </c>
      <c r="AW173" s="17"/>
      <c r="AX173" s="1">
        <f t="shared" si="114"/>
        <v>45801</v>
      </c>
      <c r="AY173" s="120">
        <v>1251.075</v>
      </c>
      <c r="AZ173" s="120">
        <v>279.32618697419355</v>
      </c>
      <c r="BA173" s="44"/>
      <c r="BB173" s="120">
        <v>89.366376774193554</v>
      </c>
      <c r="BC173" s="44">
        <f t="shared" si="104"/>
        <v>1619.7675637483871</v>
      </c>
      <c r="BD173" s="17">
        <f t="shared" si="109"/>
        <v>1</v>
      </c>
    </row>
    <row r="174" spans="1:56" x14ac:dyDescent="0.3">
      <c r="A174" s="17"/>
      <c r="B174" s="1">
        <v>43610</v>
      </c>
      <c r="C174" s="36">
        <v>1138</v>
      </c>
      <c r="D174" s="36">
        <v>188.78399999999999</v>
      </c>
      <c r="E174" s="37"/>
      <c r="F174" s="36">
        <v>67</v>
      </c>
      <c r="G174" s="7">
        <f t="shared" si="98"/>
        <v>1393.7840000000001</v>
      </c>
      <c r="H174" s="17">
        <f t="shared" si="96"/>
        <v>0</v>
      </c>
      <c r="J174" s="1">
        <v>43975</v>
      </c>
      <c r="K174" s="46">
        <v>964.22</v>
      </c>
      <c r="L174" s="46">
        <v>168.2465</v>
      </c>
      <c r="M174" s="48"/>
      <c r="N174" s="46">
        <v>57.323</v>
      </c>
      <c r="O174" s="7">
        <f t="shared" si="99"/>
        <v>1189.7895000000001</v>
      </c>
      <c r="P174" s="17">
        <f t="shared" si="97"/>
        <v>0</v>
      </c>
      <c r="R174" s="1">
        <f t="shared" si="110"/>
        <v>44341</v>
      </c>
      <c r="S174" s="62">
        <v>1462.7688670967741</v>
      </c>
      <c r="T174" s="76">
        <v>269.30893741935483</v>
      </c>
      <c r="U174" s="37"/>
      <c r="V174" s="66">
        <v>90.480484946236558</v>
      </c>
      <c r="W174" s="7">
        <f t="shared" si="100"/>
        <v>1822.5582894623656</v>
      </c>
      <c r="X174" s="17">
        <f t="shared" si="105"/>
        <v>1</v>
      </c>
      <c r="Y174" s="17"/>
      <c r="Z174" s="1">
        <f t="shared" si="111"/>
        <v>44706</v>
      </c>
      <c r="AA174" s="115">
        <v>1249.9374658064517</v>
      </c>
      <c r="AB174" s="115">
        <v>264.872621827957</v>
      </c>
      <c r="AC174" s="101"/>
      <c r="AD174" s="115">
        <v>82.995021290322583</v>
      </c>
      <c r="AE174" s="101">
        <f t="shared" si="101"/>
        <v>1597.8051089247313</v>
      </c>
      <c r="AF174" s="17">
        <f t="shared" si="106"/>
        <v>1</v>
      </c>
      <c r="AH174" s="1">
        <f t="shared" si="112"/>
        <v>45071</v>
      </c>
      <c r="AI174" s="119">
        <v>1317.8543865591398</v>
      </c>
      <c r="AJ174" s="119">
        <v>280.23838236559141</v>
      </c>
      <c r="AK174" s="44"/>
      <c r="AL174" s="119">
        <v>92.17020387096774</v>
      </c>
      <c r="AM174" s="44">
        <f t="shared" si="102"/>
        <v>1690.2629727956989</v>
      </c>
      <c r="AN174" s="17">
        <f t="shared" si="107"/>
        <v>1</v>
      </c>
      <c r="AO174" s="17"/>
      <c r="AP174" s="1">
        <f t="shared" si="113"/>
        <v>45436</v>
      </c>
      <c r="AQ174" s="119">
        <v>1278.4870000000001</v>
      </c>
      <c r="AR174" s="119">
        <v>294.90300707956987</v>
      </c>
      <c r="AS174" s="44"/>
      <c r="AT174" s="119">
        <v>88.002675161290327</v>
      </c>
      <c r="AU174" s="44">
        <f t="shared" si="103"/>
        <v>1661.3926822408603</v>
      </c>
      <c r="AV174" s="17">
        <f t="shared" si="108"/>
        <v>1</v>
      </c>
      <c r="AW174" s="17"/>
      <c r="AX174" s="1">
        <f t="shared" si="114"/>
        <v>45802</v>
      </c>
      <c r="AY174" s="119">
        <v>1251.5940000000001</v>
      </c>
      <c r="AZ174" s="119">
        <v>271.56899341935485</v>
      </c>
      <c r="BA174" s="44"/>
      <c r="BB174" s="119">
        <v>75.007336236559141</v>
      </c>
      <c r="BC174" s="44">
        <f t="shared" si="104"/>
        <v>1598.1703296559142</v>
      </c>
      <c r="BD174" s="17">
        <f t="shared" si="109"/>
        <v>1</v>
      </c>
    </row>
    <row r="175" spans="1:56" x14ac:dyDescent="0.3">
      <c r="A175" s="17"/>
      <c r="B175" s="1">
        <v>43611</v>
      </c>
      <c r="C175" s="36">
        <v>1132</v>
      </c>
      <c r="D175" s="36">
        <v>203.72300000000001</v>
      </c>
      <c r="E175" s="37"/>
      <c r="F175" s="36">
        <v>62</v>
      </c>
      <c r="G175" s="7">
        <f t="shared" si="98"/>
        <v>1397.723</v>
      </c>
      <c r="H175" s="17">
        <f t="shared" si="96"/>
        <v>0</v>
      </c>
      <c r="J175" s="1">
        <v>43976</v>
      </c>
      <c r="K175" s="46">
        <v>1115.047</v>
      </c>
      <c r="L175" s="46">
        <v>198.88299999999998</v>
      </c>
      <c r="M175" s="48"/>
      <c r="N175" s="46">
        <v>68.241</v>
      </c>
      <c r="O175" s="7">
        <f t="shared" si="99"/>
        <v>1382.171</v>
      </c>
      <c r="P175" s="17">
        <f t="shared" si="97"/>
        <v>0</v>
      </c>
      <c r="R175" s="1">
        <f t="shared" si="110"/>
        <v>44342</v>
      </c>
      <c r="S175" s="62">
        <v>1398.6743389247313</v>
      </c>
      <c r="T175" s="77">
        <v>265.14970419354836</v>
      </c>
      <c r="U175" s="37"/>
      <c r="V175" s="67">
        <v>83.367458602150535</v>
      </c>
      <c r="W175" s="7">
        <f t="shared" si="100"/>
        <v>1747.1915017204301</v>
      </c>
      <c r="X175" s="17">
        <f t="shared" si="105"/>
        <v>1</v>
      </c>
      <c r="Y175" s="17"/>
      <c r="Z175" s="1">
        <f t="shared" si="111"/>
        <v>44707</v>
      </c>
      <c r="AA175" s="116">
        <v>1288.822110967742</v>
      </c>
      <c r="AB175" s="116">
        <v>255.74368032258064</v>
      </c>
      <c r="AC175" s="101"/>
      <c r="AD175" s="116">
        <v>82.361397096774198</v>
      </c>
      <c r="AE175" s="101">
        <f t="shared" si="101"/>
        <v>1626.9271883870967</v>
      </c>
      <c r="AF175" s="17">
        <f t="shared" si="106"/>
        <v>1</v>
      </c>
      <c r="AH175" s="1">
        <f t="shared" si="112"/>
        <v>45072</v>
      </c>
      <c r="AI175" s="120">
        <v>1357.3650360215054</v>
      </c>
      <c r="AJ175" s="120">
        <v>295.24449301075271</v>
      </c>
      <c r="AK175" s="44"/>
      <c r="AL175" s="120">
        <v>94.609863870967743</v>
      </c>
      <c r="AM175" s="44">
        <f t="shared" si="102"/>
        <v>1747.2193929032258</v>
      </c>
      <c r="AN175" s="17">
        <f t="shared" si="107"/>
        <v>1</v>
      </c>
      <c r="AO175" s="17"/>
      <c r="AP175" s="1">
        <f t="shared" si="113"/>
        <v>45437</v>
      </c>
      <c r="AQ175" s="120">
        <v>1303.2660000000001</v>
      </c>
      <c r="AR175" s="120">
        <v>306.542816744086</v>
      </c>
      <c r="AS175" s="44"/>
      <c r="AT175" s="120">
        <v>82.819034623655909</v>
      </c>
      <c r="AU175" s="44">
        <f t="shared" si="103"/>
        <v>1692.6278513677419</v>
      </c>
      <c r="AV175" s="17">
        <f t="shared" si="108"/>
        <v>1</v>
      </c>
      <c r="AW175" s="17"/>
      <c r="AX175" s="1">
        <f t="shared" si="114"/>
        <v>45803</v>
      </c>
      <c r="AY175" s="120">
        <v>1364.18</v>
      </c>
      <c r="AZ175" s="120">
        <v>283.58483201290323</v>
      </c>
      <c r="BA175" s="44"/>
      <c r="BB175" s="120">
        <v>82.451276559139785</v>
      </c>
      <c r="BC175" s="44">
        <f t="shared" si="104"/>
        <v>1730.2161085720431</v>
      </c>
      <c r="BD175" s="17">
        <f t="shared" si="109"/>
        <v>1</v>
      </c>
    </row>
    <row r="176" spans="1:56" x14ac:dyDescent="0.3">
      <c r="A176" s="17"/>
      <c r="B176" s="1">
        <v>43612</v>
      </c>
      <c r="C176" s="36">
        <v>1236</v>
      </c>
      <c r="D176" s="36">
        <v>208.167</v>
      </c>
      <c r="E176" s="37"/>
      <c r="F176" s="36">
        <v>65</v>
      </c>
      <c r="G176" s="7">
        <f t="shared" si="98"/>
        <v>1509.1669999999999</v>
      </c>
      <c r="H176" s="17">
        <f t="shared" si="96"/>
        <v>0</v>
      </c>
      <c r="J176" s="1">
        <v>43977</v>
      </c>
      <c r="K176" s="46">
        <v>1052.855</v>
      </c>
      <c r="L176" s="46">
        <v>198.12849999999997</v>
      </c>
      <c r="M176" s="48"/>
      <c r="N176" s="46">
        <v>72.772000000000006</v>
      </c>
      <c r="O176" s="7">
        <f t="shared" si="99"/>
        <v>1323.7555</v>
      </c>
      <c r="P176" s="17">
        <f t="shared" si="97"/>
        <v>0</v>
      </c>
      <c r="R176" s="1">
        <f t="shared" si="110"/>
        <v>44343</v>
      </c>
      <c r="S176" s="62">
        <v>1474.9295453763441</v>
      </c>
      <c r="T176" s="76">
        <v>275.40967462365592</v>
      </c>
      <c r="U176" s="37"/>
      <c r="V176" s="66">
        <v>85.431511290322575</v>
      </c>
      <c r="W176" s="7">
        <f t="shared" si="100"/>
        <v>1835.7707312903226</v>
      </c>
      <c r="X176" s="17">
        <f t="shared" si="105"/>
        <v>1</v>
      </c>
      <c r="Y176" s="17"/>
      <c r="Z176" s="1">
        <f t="shared" si="111"/>
        <v>44708</v>
      </c>
      <c r="AA176" s="115">
        <v>1324.7492748387097</v>
      </c>
      <c r="AB176" s="115">
        <v>264.75185301075271</v>
      </c>
      <c r="AC176" s="101"/>
      <c r="AD176" s="115">
        <v>84.97062903225806</v>
      </c>
      <c r="AE176" s="101">
        <f t="shared" si="101"/>
        <v>1674.4717568817205</v>
      </c>
      <c r="AF176" s="17">
        <f t="shared" si="106"/>
        <v>1</v>
      </c>
      <c r="AH176" s="92">
        <f t="shared" si="112"/>
        <v>45073</v>
      </c>
      <c r="AI176" s="121">
        <v>1295.2624736559139</v>
      </c>
      <c r="AJ176" s="121">
        <v>278.72895397849464</v>
      </c>
      <c r="AK176" s="122"/>
      <c r="AL176" s="121">
        <v>95.202799354838703</v>
      </c>
      <c r="AM176" s="44">
        <f t="shared" si="102"/>
        <v>1669.1942269892475</v>
      </c>
      <c r="AN176" s="17">
        <f t="shared" si="107"/>
        <v>1</v>
      </c>
      <c r="AO176" s="17"/>
      <c r="AP176" s="92">
        <f t="shared" si="113"/>
        <v>45438</v>
      </c>
      <c r="AQ176" s="121">
        <v>1290.252</v>
      </c>
      <c r="AR176" s="121">
        <v>325.03861634838711</v>
      </c>
      <c r="AS176" s="122"/>
      <c r="AT176" s="121">
        <v>76.518033978494628</v>
      </c>
      <c r="AU176" s="44">
        <f t="shared" si="103"/>
        <v>1691.8086503268819</v>
      </c>
      <c r="AV176" s="17">
        <f t="shared" si="108"/>
        <v>1</v>
      </c>
      <c r="AW176" s="17"/>
      <c r="AX176" s="92">
        <f t="shared" si="114"/>
        <v>45804</v>
      </c>
      <c r="AY176" s="121">
        <v>1410.4939999999999</v>
      </c>
      <c r="AZ176" s="121">
        <v>309.94093254193547</v>
      </c>
      <c r="BA176" s="122"/>
      <c r="BB176" s="121">
        <v>96.7277876344086</v>
      </c>
      <c r="BC176" s="44">
        <f t="shared" si="104"/>
        <v>1817.1627201763438</v>
      </c>
      <c r="BD176" s="17">
        <f t="shared" si="109"/>
        <v>1</v>
      </c>
    </row>
    <row r="177" spans="1:56" x14ac:dyDescent="0.3">
      <c r="A177" s="17"/>
      <c r="B177" s="1">
        <v>43613</v>
      </c>
      <c r="C177" s="36">
        <v>1330</v>
      </c>
      <c r="D177" s="36">
        <v>220.172</v>
      </c>
      <c r="E177" s="37"/>
      <c r="F177" s="36">
        <v>73</v>
      </c>
      <c r="G177" s="7">
        <f t="shared" si="98"/>
        <v>1623.172</v>
      </c>
      <c r="H177" s="17">
        <f t="shared" si="96"/>
        <v>0</v>
      </c>
      <c r="J177" s="1">
        <v>43978</v>
      </c>
      <c r="K177" s="46">
        <v>1148.347</v>
      </c>
      <c r="L177" s="46">
        <v>201.75</v>
      </c>
      <c r="M177" s="48"/>
      <c r="N177" s="46">
        <v>71.501999999999995</v>
      </c>
      <c r="O177" s="7">
        <f t="shared" si="99"/>
        <v>1421.5989999999999</v>
      </c>
      <c r="P177" s="17">
        <f t="shared" si="97"/>
        <v>0</v>
      </c>
      <c r="R177" s="1">
        <f t="shared" si="110"/>
        <v>44344</v>
      </c>
      <c r="S177" s="62">
        <v>1439.6532623655914</v>
      </c>
      <c r="T177" s="77">
        <v>283.16134709677419</v>
      </c>
      <c r="U177" s="37"/>
      <c r="V177" s="67">
        <v>88.067701075268815</v>
      </c>
      <c r="W177" s="7">
        <f t="shared" si="100"/>
        <v>1810.8823105376346</v>
      </c>
      <c r="X177" s="17">
        <f t="shared" si="105"/>
        <v>1</v>
      </c>
      <c r="Y177" s="17"/>
      <c r="Z177" s="1">
        <f t="shared" si="111"/>
        <v>44709</v>
      </c>
      <c r="AA177" s="116">
        <v>1241.8038812903226</v>
      </c>
      <c r="AB177" s="116">
        <v>256.41933161290325</v>
      </c>
      <c r="AC177" s="101"/>
      <c r="AD177" s="116">
        <v>83.915671827956984</v>
      </c>
      <c r="AE177" s="101">
        <f t="shared" si="101"/>
        <v>1582.1388847311828</v>
      </c>
      <c r="AF177" s="17">
        <f t="shared" si="106"/>
        <v>1</v>
      </c>
      <c r="AH177" s="1">
        <f t="shared" si="112"/>
        <v>45074</v>
      </c>
      <c r="AI177" s="120">
        <v>1094.2997666666668</v>
      </c>
      <c r="AJ177" s="120">
        <v>224.11062913978495</v>
      </c>
      <c r="AK177" s="44"/>
      <c r="AL177" s="120">
        <v>80.018260645161291</v>
      </c>
      <c r="AM177" s="44">
        <f t="shared" si="102"/>
        <v>1398.4286564516131</v>
      </c>
      <c r="AN177" s="17">
        <f t="shared" si="107"/>
        <v>0</v>
      </c>
      <c r="AO177" s="17"/>
      <c r="AP177" s="1">
        <f t="shared" si="113"/>
        <v>45439</v>
      </c>
      <c r="AQ177" s="120">
        <v>1393.973</v>
      </c>
      <c r="AR177" s="120">
        <v>320.6590157903226</v>
      </c>
      <c r="AS177" s="44"/>
      <c r="AT177" s="120">
        <v>79.908046021505371</v>
      </c>
      <c r="AU177" s="44">
        <f t="shared" si="103"/>
        <v>1794.5400618118281</v>
      </c>
      <c r="AV177" s="17">
        <f t="shared" si="108"/>
        <v>1</v>
      </c>
      <c r="AW177" s="17"/>
      <c r="AX177" s="1">
        <f t="shared" si="114"/>
        <v>45805</v>
      </c>
      <c r="AY177" s="120">
        <v>1409.9680000000001</v>
      </c>
      <c r="AZ177" s="120">
        <v>302.18104599999998</v>
      </c>
      <c r="BA177" s="44"/>
      <c r="BB177" s="120">
        <v>93.754555161290327</v>
      </c>
      <c r="BC177" s="44">
        <f t="shared" si="104"/>
        <v>1805.9036011612902</v>
      </c>
      <c r="BD177" s="17">
        <f t="shared" si="109"/>
        <v>1</v>
      </c>
    </row>
    <row r="178" spans="1:56" x14ac:dyDescent="0.3">
      <c r="A178" s="17"/>
      <c r="B178" s="1">
        <v>43614</v>
      </c>
      <c r="C178" s="36">
        <v>1227</v>
      </c>
      <c r="D178" s="36">
        <v>217.92699999999999</v>
      </c>
      <c r="E178" s="37"/>
      <c r="F178" s="36">
        <v>72</v>
      </c>
      <c r="G178" s="7">
        <f t="shared" si="98"/>
        <v>1516.9269999999999</v>
      </c>
      <c r="H178" s="17">
        <f t="shared" si="96"/>
        <v>0</v>
      </c>
      <c r="J178" s="1">
        <v>43979</v>
      </c>
      <c r="K178" s="46">
        <v>1166.4659999999999</v>
      </c>
      <c r="L178" s="46">
        <v>199.465</v>
      </c>
      <c r="M178" s="48"/>
      <c r="N178" s="46">
        <v>72.405000000000001</v>
      </c>
      <c r="O178" s="7">
        <f t="shared" si="99"/>
        <v>1438.3359999999998</v>
      </c>
      <c r="P178" s="17">
        <f t="shared" si="97"/>
        <v>0</v>
      </c>
      <c r="R178" s="1">
        <f t="shared" si="110"/>
        <v>44345</v>
      </c>
      <c r="S178" s="62">
        <v>1390.9850365591399</v>
      </c>
      <c r="T178" s="76">
        <v>276.77748956989245</v>
      </c>
      <c r="U178" s="37"/>
      <c r="V178" s="66">
        <v>86.08865161290322</v>
      </c>
      <c r="W178" s="7">
        <f t="shared" si="100"/>
        <v>1753.8511777419355</v>
      </c>
      <c r="X178" s="17">
        <f t="shared" si="105"/>
        <v>1</v>
      </c>
      <c r="Y178" s="17"/>
      <c r="Z178" s="1">
        <f t="shared" si="111"/>
        <v>44710</v>
      </c>
      <c r="AA178" s="115">
        <v>1162.957470967742</v>
      </c>
      <c r="AB178" s="115">
        <v>229.09030150537635</v>
      </c>
      <c r="AC178" s="101"/>
      <c r="AD178" s="115">
        <v>81.239286559139785</v>
      </c>
      <c r="AE178" s="101">
        <f t="shared" si="101"/>
        <v>1473.2870590322582</v>
      </c>
      <c r="AF178" s="17">
        <f t="shared" si="106"/>
        <v>0</v>
      </c>
      <c r="AH178" s="1">
        <f t="shared" si="112"/>
        <v>45075</v>
      </c>
      <c r="AI178" s="119">
        <v>1120.058414516129</v>
      </c>
      <c r="AJ178" s="119">
        <v>228.7022882795699</v>
      </c>
      <c r="AK178" s="44"/>
      <c r="AL178" s="119">
        <v>79.366031612903228</v>
      </c>
      <c r="AM178" s="44">
        <f t="shared" si="102"/>
        <v>1428.1267344086023</v>
      </c>
      <c r="AN178" s="17">
        <f t="shared" si="107"/>
        <v>0</v>
      </c>
      <c r="AO178" s="17"/>
      <c r="AP178" s="1">
        <f t="shared" si="113"/>
        <v>45440</v>
      </c>
      <c r="AQ178" s="119">
        <v>1408.422</v>
      </c>
      <c r="AR178" s="119">
        <v>315.73719679999999</v>
      </c>
      <c r="AS178" s="44"/>
      <c r="AT178" s="119">
        <v>85.812389247311827</v>
      </c>
      <c r="AU178" s="44">
        <f t="shared" si="103"/>
        <v>1809.9715860473118</v>
      </c>
      <c r="AV178" s="17">
        <f t="shared" si="108"/>
        <v>1</v>
      </c>
      <c r="AW178" s="17"/>
      <c r="AX178" s="1">
        <f t="shared" si="114"/>
        <v>45806</v>
      </c>
      <c r="AY178" s="119">
        <v>1352.6849999999999</v>
      </c>
      <c r="AZ178" s="119">
        <v>282.2563686129032</v>
      </c>
      <c r="BA178" s="44"/>
      <c r="BB178" s="119">
        <v>95.269405161290322</v>
      </c>
      <c r="BC178" s="44">
        <f t="shared" si="104"/>
        <v>1730.2107737741935</v>
      </c>
      <c r="BD178" s="17">
        <f t="shared" si="109"/>
        <v>1</v>
      </c>
    </row>
    <row r="179" spans="1:56" x14ac:dyDescent="0.3">
      <c r="A179" s="17"/>
      <c r="B179" s="1">
        <v>43615</v>
      </c>
      <c r="C179" s="36">
        <v>1280</v>
      </c>
      <c r="D179" s="36">
        <v>231.22900000000001</v>
      </c>
      <c r="E179" s="37"/>
      <c r="F179" s="36">
        <v>71</v>
      </c>
      <c r="G179" s="7">
        <f t="shared" si="98"/>
        <v>1582.229</v>
      </c>
      <c r="H179" s="17">
        <f t="shared" si="96"/>
        <v>0</v>
      </c>
      <c r="J179" s="1">
        <v>43980</v>
      </c>
      <c r="K179" s="46">
        <v>1116.5160000000001</v>
      </c>
      <c r="L179" s="46">
        <v>215.24250000000001</v>
      </c>
      <c r="M179" s="48"/>
      <c r="N179" s="46">
        <v>72.569999999999993</v>
      </c>
      <c r="O179" s="7">
        <f t="shared" si="99"/>
        <v>1404.3285000000001</v>
      </c>
      <c r="P179" s="17">
        <f t="shared" si="97"/>
        <v>0</v>
      </c>
      <c r="R179" s="1">
        <f t="shared" si="110"/>
        <v>44346</v>
      </c>
      <c r="S179" s="62">
        <v>1340.402249892473</v>
      </c>
      <c r="T179" s="77">
        <v>242.92955526881721</v>
      </c>
      <c r="U179" s="37"/>
      <c r="V179" s="67">
        <v>83.328226344086019</v>
      </c>
      <c r="W179" s="7">
        <f t="shared" si="100"/>
        <v>1666.6600315053763</v>
      </c>
      <c r="X179" s="17">
        <f t="shared" si="105"/>
        <v>1</v>
      </c>
      <c r="Y179" s="17"/>
      <c r="Z179" s="1">
        <f t="shared" si="111"/>
        <v>44711</v>
      </c>
      <c r="AA179" s="116">
        <v>1199.0583638709677</v>
      </c>
      <c r="AB179" s="116">
        <v>238.08222043010753</v>
      </c>
      <c r="AC179" s="101"/>
      <c r="AD179" s="116">
        <v>78.088495483870972</v>
      </c>
      <c r="AE179" s="101">
        <f t="shared" si="101"/>
        <v>1515.2290797849462</v>
      </c>
      <c r="AF179" s="17">
        <f t="shared" si="106"/>
        <v>1</v>
      </c>
      <c r="AH179" s="1">
        <f t="shared" si="112"/>
        <v>45076</v>
      </c>
      <c r="AI179" s="120">
        <v>1148.6299951612903</v>
      </c>
      <c r="AJ179" s="120">
        <v>224.23992623655914</v>
      </c>
      <c r="AK179" s="44"/>
      <c r="AL179" s="120">
        <v>79.751978709677417</v>
      </c>
      <c r="AM179" s="44">
        <f t="shared" si="102"/>
        <v>1452.6219001075267</v>
      </c>
      <c r="AN179" s="17">
        <f t="shared" si="107"/>
        <v>0</v>
      </c>
      <c r="AO179" s="17"/>
      <c r="AP179" s="1">
        <f t="shared" si="113"/>
        <v>45441</v>
      </c>
      <c r="AQ179" s="120">
        <v>1337.3789999999999</v>
      </c>
      <c r="AR179" s="120">
        <v>289.67741502795701</v>
      </c>
      <c r="AS179" s="44"/>
      <c r="AT179" s="120">
        <v>82.639129892473122</v>
      </c>
      <c r="AU179" s="44">
        <f t="shared" si="103"/>
        <v>1709.6955449204302</v>
      </c>
      <c r="AV179" s="17">
        <f t="shared" si="108"/>
        <v>1</v>
      </c>
      <c r="AW179" s="17"/>
      <c r="AX179" s="1">
        <f t="shared" si="114"/>
        <v>45807</v>
      </c>
      <c r="AY179" s="120">
        <v>1302.6300000000001</v>
      </c>
      <c r="AZ179" s="120">
        <v>295.20943656451612</v>
      </c>
      <c r="BA179" s="44"/>
      <c r="BB179" s="120">
        <v>90.869281720430109</v>
      </c>
      <c r="BC179" s="44">
        <f t="shared" si="104"/>
        <v>1688.7087182849464</v>
      </c>
      <c r="BD179" s="17">
        <f t="shared" si="109"/>
        <v>1</v>
      </c>
    </row>
    <row r="180" spans="1:56" x14ac:dyDescent="0.3">
      <c r="A180" s="17"/>
      <c r="B180" s="1">
        <v>43616</v>
      </c>
      <c r="C180" s="36">
        <v>1276</v>
      </c>
      <c r="D180" s="36">
        <v>245.98400000000001</v>
      </c>
      <c r="E180" s="36"/>
      <c r="F180" s="36">
        <v>73</v>
      </c>
      <c r="G180" s="7">
        <f t="shared" si="98"/>
        <v>1594.9839999999999</v>
      </c>
      <c r="H180" s="17">
        <f t="shared" si="96"/>
        <v>0</v>
      </c>
      <c r="J180" s="1">
        <v>43981</v>
      </c>
      <c r="K180" s="46">
        <v>1021.025</v>
      </c>
      <c r="L180" s="46">
        <v>203.03450000000001</v>
      </c>
      <c r="M180" s="46"/>
      <c r="N180" s="46">
        <v>71.126999999999995</v>
      </c>
      <c r="O180" s="7">
        <f t="shared" si="99"/>
        <v>1295.1865</v>
      </c>
      <c r="P180" s="17">
        <f t="shared" si="97"/>
        <v>0</v>
      </c>
      <c r="R180" s="38">
        <f t="shared" si="110"/>
        <v>44347</v>
      </c>
      <c r="S180" s="62">
        <v>1483.4441277419355</v>
      </c>
      <c r="T180" s="76">
        <v>281.59154258064518</v>
      </c>
      <c r="U180" s="36"/>
      <c r="V180" s="66">
        <v>86.321865591397852</v>
      </c>
      <c r="W180" s="7">
        <f t="shared" si="100"/>
        <v>1851.3575359139786</v>
      </c>
      <c r="X180" s="17">
        <f t="shared" si="105"/>
        <v>1</v>
      </c>
      <c r="Y180" s="17"/>
      <c r="Z180" s="38">
        <f t="shared" si="111"/>
        <v>44712</v>
      </c>
      <c r="AA180" s="115">
        <v>1253.2965677419354</v>
      </c>
      <c r="AB180" s="115">
        <v>248.06361290322582</v>
      </c>
      <c r="AC180" s="101"/>
      <c r="AD180" s="115">
        <v>80.429114086021499</v>
      </c>
      <c r="AE180" s="101">
        <f t="shared" si="101"/>
        <v>1581.7892947311825</v>
      </c>
      <c r="AF180" s="17">
        <f t="shared" si="106"/>
        <v>1</v>
      </c>
      <c r="AH180" s="38">
        <f t="shared" si="112"/>
        <v>45077</v>
      </c>
      <c r="AI180" s="119">
        <v>1177.8844962365592</v>
      </c>
      <c r="AJ180" s="119">
        <v>236.38564881720399</v>
      </c>
      <c r="AK180" s="44"/>
      <c r="AL180" s="119">
        <v>82.977547741935481</v>
      </c>
      <c r="AM180" s="44">
        <f t="shared" si="102"/>
        <v>1497.2476927956986</v>
      </c>
      <c r="AN180" s="17">
        <f t="shared" si="107"/>
        <v>1</v>
      </c>
      <c r="AO180" s="17"/>
      <c r="AP180" s="1">
        <f t="shared" si="113"/>
        <v>45442</v>
      </c>
      <c r="AQ180" s="119">
        <v>1309.6679999999999</v>
      </c>
      <c r="AR180" s="119">
        <v>296.71556184946235</v>
      </c>
      <c r="AS180" s="44"/>
      <c r="AT180" s="119">
        <v>83.377172795698925</v>
      </c>
      <c r="AU180" s="44">
        <f t="shared" si="103"/>
        <v>1689.7607346451612</v>
      </c>
      <c r="AV180" s="17">
        <f t="shared" si="108"/>
        <v>1</v>
      </c>
      <c r="AW180" s="17"/>
      <c r="AX180" s="38">
        <f t="shared" si="114"/>
        <v>45808</v>
      </c>
      <c r="AY180" s="119">
        <v>1275.557</v>
      </c>
      <c r="AZ180" s="119">
        <v>271.67136748387099</v>
      </c>
      <c r="BA180" s="44"/>
      <c r="BB180" s="119">
        <v>87.199978387096778</v>
      </c>
      <c r="BC180" s="44">
        <f t="shared" si="104"/>
        <v>1634.4283458709676</v>
      </c>
      <c r="BD180" s="17">
        <f t="shared" si="109"/>
        <v>1</v>
      </c>
    </row>
    <row r="181" spans="1:56" x14ac:dyDescent="0.3">
      <c r="A181" s="17"/>
      <c r="B181" s="1">
        <v>43617</v>
      </c>
      <c r="C181" s="36">
        <v>1263.43</v>
      </c>
      <c r="D181" s="36">
        <v>225</v>
      </c>
      <c r="F181" s="36">
        <v>75</v>
      </c>
      <c r="G181" s="7">
        <f t="shared" ref="G181:G210" si="115">SUM(C181:F181)</f>
        <v>1563.43</v>
      </c>
      <c r="H181" s="17">
        <f t="shared" si="96"/>
        <v>0</v>
      </c>
      <c r="J181" s="1">
        <v>43982</v>
      </c>
      <c r="K181" s="46">
        <v>993.11199999999997</v>
      </c>
      <c r="L181" s="46">
        <v>186.3665</v>
      </c>
      <c r="M181" s="101"/>
      <c r="N181" s="46">
        <v>66.254999999999995</v>
      </c>
      <c r="O181" s="7">
        <f t="shared" si="99"/>
        <v>1245.7334999999998</v>
      </c>
      <c r="P181" s="17">
        <f t="shared" si="97"/>
        <v>0</v>
      </c>
      <c r="R181" s="1">
        <f t="shared" si="110"/>
        <v>44348</v>
      </c>
      <c r="S181" s="62">
        <v>1398.6223631182795</v>
      </c>
      <c r="T181" s="76">
        <v>283.36594182795699</v>
      </c>
      <c r="V181" s="66">
        <v>86.421870967741938</v>
      </c>
      <c r="W181" s="7">
        <f t="shared" si="100"/>
        <v>1768.4101759139785</v>
      </c>
      <c r="X181" s="17">
        <f t="shared" si="105"/>
        <v>1</v>
      </c>
      <c r="Y181" s="17"/>
      <c r="Z181" s="1">
        <f t="shared" si="111"/>
        <v>44713</v>
      </c>
      <c r="AA181" s="115">
        <v>1303.9184040860216</v>
      </c>
      <c r="AB181" s="115">
        <v>261.66611150537636</v>
      </c>
      <c r="AC181" s="101"/>
      <c r="AD181" s="115">
        <v>78.090636774193555</v>
      </c>
      <c r="AE181" s="101">
        <f t="shared" si="101"/>
        <v>1643.6751523655917</v>
      </c>
      <c r="AF181" s="17">
        <f t="shared" si="106"/>
        <v>1</v>
      </c>
      <c r="AH181" s="1">
        <f t="shared" si="112"/>
        <v>45078</v>
      </c>
      <c r="AI181" s="119">
        <v>1218.046049032258</v>
      </c>
      <c r="AJ181" s="119">
        <v>259.8493764516129</v>
      </c>
      <c r="AK181" s="44"/>
      <c r="AL181" s="119">
        <v>88.616636989247311</v>
      </c>
      <c r="AM181" s="44">
        <f t="shared" si="102"/>
        <v>1566.5120624731182</v>
      </c>
      <c r="AN181" s="17">
        <f t="shared" si="107"/>
        <v>1</v>
      </c>
      <c r="AO181" s="17"/>
      <c r="AP181" s="38">
        <f t="shared" si="113"/>
        <v>45443</v>
      </c>
      <c r="AQ181" s="119">
        <v>1385.8789999999999</v>
      </c>
      <c r="AR181" s="119">
        <v>299.39951932365591</v>
      </c>
      <c r="AS181" s="44"/>
      <c r="AT181" s="119">
        <v>86.563437311827954</v>
      </c>
      <c r="AU181" s="44">
        <f t="shared" si="103"/>
        <v>1771.8419566354839</v>
      </c>
      <c r="AV181" s="17">
        <f t="shared" si="108"/>
        <v>1</v>
      </c>
      <c r="AW181" s="17"/>
      <c r="AX181" s="1">
        <f t="shared" si="114"/>
        <v>45809</v>
      </c>
      <c r="AY181" s="119">
        <v>1256.604</v>
      </c>
      <c r="AZ181" s="119">
        <v>268.58641698172045</v>
      </c>
      <c r="BA181" s="44"/>
      <c r="BB181" s="119">
        <v>81.040693333333337</v>
      </c>
      <c r="BC181" s="44">
        <f t="shared" si="104"/>
        <v>1606.2311103150539</v>
      </c>
      <c r="BD181" s="17">
        <f t="shared" si="109"/>
        <v>1</v>
      </c>
    </row>
    <row r="182" spans="1:56" s="58" customFormat="1" x14ac:dyDescent="0.3">
      <c r="A182" s="68"/>
      <c r="B182" s="69">
        <v>43618</v>
      </c>
      <c r="C182" s="71">
        <v>1190.46</v>
      </c>
      <c r="D182" s="71">
        <v>208</v>
      </c>
      <c r="F182" s="71">
        <v>63</v>
      </c>
      <c r="G182" s="74">
        <f t="shared" si="115"/>
        <v>1461.46</v>
      </c>
      <c r="H182" s="68">
        <f t="shared" si="96"/>
        <v>0</v>
      </c>
      <c r="J182" s="69">
        <v>43983</v>
      </c>
      <c r="K182" s="70">
        <v>1076.8510000000001</v>
      </c>
      <c r="L182" s="70">
        <v>200.01900000000001</v>
      </c>
      <c r="M182" s="103"/>
      <c r="N182" s="70">
        <v>70.971999999999994</v>
      </c>
      <c r="O182" s="74">
        <f t="shared" si="99"/>
        <v>1347.8420000000001</v>
      </c>
      <c r="P182" s="68">
        <f t="shared" si="97"/>
        <v>0</v>
      </c>
      <c r="R182" s="69">
        <f t="shared" si="110"/>
        <v>44349</v>
      </c>
      <c r="S182" s="62">
        <v>1452.1058074193547</v>
      </c>
      <c r="T182" s="77">
        <v>289.26158666666669</v>
      </c>
      <c r="V182" s="67">
        <v>90.62751956989247</v>
      </c>
      <c r="W182" s="74">
        <f t="shared" si="100"/>
        <v>1831.9949136559139</v>
      </c>
      <c r="X182" s="17">
        <f t="shared" si="105"/>
        <v>1</v>
      </c>
      <c r="Y182" s="17"/>
      <c r="Z182" s="69">
        <f t="shared" si="111"/>
        <v>44714</v>
      </c>
      <c r="AA182" s="116">
        <v>1309.9237079569893</v>
      </c>
      <c r="AB182" s="116">
        <v>281.20951752688171</v>
      </c>
      <c r="AC182" s="101"/>
      <c r="AD182" s="116">
        <v>79.432963548387093</v>
      </c>
      <c r="AE182" s="101">
        <f t="shared" si="101"/>
        <v>1670.5661890322581</v>
      </c>
      <c r="AF182" s="17">
        <f t="shared" si="106"/>
        <v>1</v>
      </c>
      <c r="AH182" s="69">
        <f t="shared" si="112"/>
        <v>45079</v>
      </c>
      <c r="AI182" s="120">
        <v>1210.2298180645162</v>
      </c>
      <c r="AJ182" s="120">
        <v>246.2559917204301</v>
      </c>
      <c r="AK182" s="44"/>
      <c r="AL182" s="120">
        <v>88.571051182795699</v>
      </c>
      <c r="AM182" s="44">
        <f t="shared" si="102"/>
        <v>1545.0568609677418</v>
      </c>
      <c r="AN182" s="17">
        <f t="shared" si="107"/>
        <v>1</v>
      </c>
      <c r="AO182" s="17"/>
      <c r="AP182" s="69">
        <f t="shared" si="113"/>
        <v>45444</v>
      </c>
      <c r="AQ182" s="120">
        <v>1357.4849999999999</v>
      </c>
      <c r="AR182" s="120">
        <v>287.18926991827959</v>
      </c>
      <c r="AS182" s="44"/>
      <c r="AT182" s="120">
        <v>86.304832580645154</v>
      </c>
      <c r="AU182" s="44">
        <f t="shared" si="103"/>
        <v>1730.9791024989247</v>
      </c>
      <c r="AV182" s="17">
        <f t="shared" si="108"/>
        <v>1</v>
      </c>
      <c r="AW182" s="17"/>
      <c r="AX182" s="69">
        <f t="shared" si="114"/>
        <v>45810</v>
      </c>
      <c r="AY182" s="120">
        <v>1366.9580000000001</v>
      </c>
      <c r="AZ182" s="120">
        <v>282.50477177419356</v>
      </c>
      <c r="BA182" s="44"/>
      <c r="BB182" s="120">
        <v>82.975386236559146</v>
      </c>
      <c r="BC182" s="44">
        <f t="shared" si="104"/>
        <v>1732.4381580107529</v>
      </c>
      <c r="BD182" s="17">
        <f t="shared" si="109"/>
        <v>1</v>
      </c>
    </row>
    <row r="183" spans="1:56" x14ac:dyDescent="0.3">
      <c r="A183" s="17"/>
      <c r="B183" s="1">
        <v>43619</v>
      </c>
      <c r="C183" s="36">
        <v>1242.3699999999999</v>
      </c>
      <c r="D183" s="36">
        <v>212</v>
      </c>
      <c r="F183" s="36">
        <v>68</v>
      </c>
      <c r="G183" s="7">
        <f t="shared" si="115"/>
        <v>1522.37</v>
      </c>
      <c r="H183" s="17">
        <f t="shared" si="96"/>
        <v>0</v>
      </c>
      <c r="J183" s="1">
        <v>43984</v>
      </c>
      <c r="K183" s="46">
        <v>1186.0540000000001</v>
      </c>
      <c r="L183" s="46">
        <v>216.69399999999999</v>
      </c>
      <c r="M183" s="101"/>
      <c r="N183" s="46">
        <v>75.832999999999998</v>
      </c>
      <c r="O183" s="7">
        <f t="shared" si="99"/>
        <v>1478.5810000000001</v>
      </c>
      <c r="P183" s="17">
        <f t="shared" si="97"/>
        <v>0</v>
      </c>
      <c r="R183" s="1">
        <f t="shared" si="110"/>
        <v>44350</v>
      </c>
      <c r="S183" s="62">
        <v>1393.287826451613</v>
      </c>
      <c r="T183" s="76">
        <v>293.72304655913979</v>
      </c>
      <c r="V183" s="66">
        <v>91.750680215053762</v>
      </c>
      <c r="W183" s="7">
        <f t="shared" si="100"/>
        <v>1778.7615532258064</v>
      </c>
      <c r="X183" s="17">
        <f t="shared" si="105"/>
        <v>1</v>
      </c>
      <c r="Y183" s="17"/>
      <c r="Z183" s="1">
        <f t="shared" si="111"/>
        <v>44715</v>
      </c>
      <c r="AA183" s="115">
        <v>1358.8967404301075</v>
      </c>
      <c r="AB183" s="115">
        <v>286.23127064516132</v>
      </c>
      <c r="AC183" s="101"/>
      <c r="AD183" s="115">
        <v>80.274997741935479</v>
      </c>
      <c r="AE183" s="101">
        <f t="shared" si="101"/>
        <v>1725.4030088172042</v>
      </c>
      <c r="AF183" s="17">
        <f t="shared" si="106"/>
        <v>1</v>
      </c>
      <c r="AH183" s="1">
        <f t="shared" si="112"/>
        <v>45080</v>
      </c>
      <c r="AI183" s="119">
        <v>1261.2390696774194</v>
      </c>
      <c r="AJ183" s="119">
        <v>258.24081430107526</v>
      </c>
      <c r="AK183" s="44"/>
      <c r="AL183" s="119">
        <v>89.009543225806453</v>
      </c>
      <c r="AM183" s="44">
        <f t="shared" si="102"/>
        <v>1608.4894272043011</v>
      </c>
      <c r="AN183" s="17">
        <f t="shared" si="107"/>
        <v>1</v>
      </c>
      <c r="AO183" s="17"/>
      <c r="AP183" s="1">
        <f t="shared" si="113"/>
        <v>45445</v>
      </c>
      <c r="AQ183" s="119">
        <v>1341.933</v>
      </c>
      <c r="AR183" s="119">
        <v>287.89961326881718</v>
      </c>
      <c r="AS183" s="44"/>
      <c r="AT183" s="119">
        <v>80.004096129032263</v>
      </c>
      <c r="AU183" s="44">
        <f t="shared" si="103"/>
        <v>1709.8367093978493</v>
      </c>
      <c r="AV183" s="17">
        <f t="shared" si="108"/>
        <v>1</v>
      </c>
      <c r="AW183" s="17"/>
      <c r="AX183" s="1">
        <f t="shared" si="114"/>
        <v>45811</v>
      </c>
      <c r="AY183" s="119">
        <v>1314.9649999999999</v>
      </c>
      <c r="AZ183" s="119">
        <v>267.08829352473117</v>
      </c>
      <c r="BA183" s="44"/>
      <c r="BB183" s="119">
        <v>86.354606559139782</v>
      </c>
      <c r="BC183" s="44">
        <f t="shared" si="104"/>
        <v>1668.4079000838708</v>
      </c>
      <c r="BD183" s="17">
        <f t="shared" si="109"/>
        <v>1</v>
      </c>
    </row>
    <row r="184" spans="1:56" x14ac:dyDescent="0.3">
      <c r="A184" s="17"/>
      <c r="B184" s="1">
        <v>43620</v>
      </c>
      <c r="C184" s="36">
        <v>1238.45</v>
      </c>
      <c r="D184" s="36">
        <v>224</v>
      </c>
      <c r="F184" s="36">
        <v>72</v>
      </c>
      <c r="G184" s="7">
        <f t="shared" si="115"/>
        <v>1534.45</v>
      </c>
      <c r="H184" s="17">
        <f t="shared" si="96"/>
        <v>0</v>
      </c>
      <c r="J184" s="1">
        <v>43985</v>
      </c>
      <c r="K184" s="46">
        <v>1150.7950000000001</v>
      </c>
      <c r="L184" s="46">
        <v>208.99100000000001</v>
      </c>
      <c r="M184" s="101"/>
      <c r="N184" s="46">
        <v>76.287000000000006</v>
      </c>
      <c r="O184" s="7">
        <f t="shared" si="99"/>
        <v>1436.0730000000001</v>
      </c>
      <c r="P184" s="17">
        <f t="shared" si="97"/>
        <v>0</v>
      </c>
      <c r="R184" s="1">
        <f t="shared" si="110"/>
        <v>44351</v>
      </c>
      <c r="S184" s="62">
        <v>1332.8489789247312</v>
      </c>
      <c r="T184" s="77">
        <v>296.73602774193546</v>
      </c>
      <c r="V184" s="67">
        <v>86.326925591397853</v>
      </c>
      <c r="W184" s="7">
        <f t="shared" si="100"/>
        <v>1715.9119322580646</v>
      </c>
      <c r="X184" s="17">
        <f t="shared" si="105"/>
        <v>1</v>
      </c>
      <c r="Y184" s="17"/>
      <c r="Z184" s="1">
        <f t="shared" si="111"/>
        <v>44716</v>
      </c>
      <c r="AA184" s="116">
        <v>1295.6538008602151</v>
      </c>
      <c r="AB184" s="116">
        <v>258.29937795698925</v>
      </c>
      <c r="AC184" s="101"/>
      <c r="AD184" s="116">
        <v>80.027529677419352</v>
      </c>
      <c r="AE184" s="101">
        <f t="shared" si="101"/>
        <v>1633.9807084946237</v>
      </c>
      <c r="AF184" s="17">
        <f t="shared" si="106"/>
        <v>1</v>
      </c>
      <c r="AH184" s="1">
        <f t="shared" si="112"/>
        <v>45081</v>
      </c>
      <c r="AI184" s="120">
        <v>1166.5381722580646</v>
      </c>
      <c r="AJ184" s="120">
        <v>244.85419505376345</v>
      </c>
      <c r="AK184" s="44"/>
      <c r="AL184" s="120">
        <v>77.64022602150537</v>
      </c>
      <c r="AM184" s="44">
        <f t="shared" si="102"/>
        <v>1489.0325933333336</v>
      </c>
      <c r="AN184" s="17">
        <f t="shared" si="107"/>
        <v>1</v>
      </c>
      <c r="AO184" s="17"/>
      <c r="AP184" s="1">
        <f t="shared" si="113"/>
        <v>45446</v>
      </c>
      <c r="AQ184" s="120">
        <v>1364.0409999999999</v>
      </c>
      <c r="AR184" s="120">
        <v>312.67353962903223</v>
      </c>
      <c r="AS184" s="44"/>
      <c r="AT184" s="120">
        <v>81.276578709677423</v>
      </c>
      <c r="AU184" s="44">
        <f t="shared" si="103"/>
        <v>1757.9911183387094</v>
      </c>
      <c r="AV184" s="17">
        <f t="shared" si="108"/>
        <v>1</v>
      </c>
      <c r="AW184" s="17"/>
      <c r="AX184" s="1">
        <f t="shared" si="114"/>
        <v>45812</v>
      </c>
      <c r="AY184" s="120">
        <v>1393.3</v>
      </c>
      <c r="AZ184" s="120">
        <v>291.90639443548389</v>
      </c>
      <c r="BA184" s="44"/>
      <c r="BB184" s="120">
        <v>92.620717634408607</v>
      </c>
      <c r="BC184" s="44">
        <f t="shared" si="104"/>
        <v>1777.8271120698923</v>
      </c>
      <c r="BD184" s="17">
        <f t="shared" si="109"/>
        <v>1</v>
      </c>
    </row>
    <row r="185" spans="1:56" x14ac:dyDescent="0.3">
      <c r="A185" s="17"/>
      <c r="B185" s="1">
        <v>43621</v>
      </c>
      <c r="C185" s="36">
        <v>1179.69</v>
      </c>
      <c r="D185" s="36">
        <v>223</v>
      </c>
      <c r="F185" s="36">
        <v>69</v>
      </c>
      <c r="G185" s="7">
        <f t="shared" si="115"/>
        <v>1471.69</v>
      </c>
      <c r="H185" s="17">
        <f t="shared" si="96"/>
        <v>0</v>
      </c>
      <c r="J185" s="1">
        <v>43986</v>
      </c>
      <c r="K185" s="46">
        <v>1046.979</v>
      </c>
      <c r="L185" s="46">
        <v>195.64400000000001</v>
      </c>
      <c r="M185" s="101"/>
      <c r="N185" s="46">
        <v>73.489000000000004</v>
      </c>
      <c r="O185" s="7">
        <f t="shared" si="99"/>
        <v>1316.1120000000001</v>
      </c>
      <c r="P185" s="17">
        <f t="shared" si="97"/>
        <v>0</v>
      </c>
      <c r="R185" s="1">
        <f t="shared" si="110"/>
        <v>44352</v>
      </c>
      <c r="S185" s="62">
        <v>1251.73146</v>
      </c>
      <c r="T185" s="76">
        <v>282.75283505376342</v>
      </c>
      <c r="V185" s="66">
        <v>84.773273978494629</v>
      </c>
      <c r="W185" s="7">
        <f t="shared" si="100"/>
        <v>1619.2575690322581</v>
      </c>
      <c r="X185" s="17">
        <f t="shared" si="105"/>
        <v>1</v>
      </c>
      <c r="Y185" s="17"/>
      <c r="Z185" s="1">
        <f t="shared" si="111"/>
        <v>44717</v>
      </c>
      <c r="AA185" s="115">
        <v>1174.6653449462365</v>
      </c>
      <c r="AB185" s="115">
        <v>228.74379333333334</v>
      </c>
      <c r="AC185" s="101"/>
      <c r="AD185" s="115">
        <v>75.554892580645159</v>
      </c>
      <c r="AE185" s="101">
        <f t="shared" si="101"/>
        <v>1478.964030860215</v>
      </c>
      <c r="AF185" s="17">
        <f t="shared" si="106"/>
        <v>1</v>
      </c>
      <c r="AH185" s="1">
        <f t="shared" si="112"/>
        <v>45082</v>
      </c>
      <c r="AI185" s="119">
        <v>1317.5744980645161</v>
      </c>
      <c r="AJ185" s="119">
        <v>257.1008710752688</v>
      </c>
      <c r="AK185" s="44"/>
      <c r="AL185" s="119">
        <v>87.430320645161288</v>
      </c>
      <c r="AM185" s="44">
        <f t="shared" si="102"/>
        <v>1662.1056897849462</v>
      </c>
      <c r="AN185" s="17">
        <f t="shared" si="107"/>
        <v>1</v>
      </c>
      <c r="AO185" s="17"/>
      <c r="AP185" s="1">
        <f t="shared" si="113"/>
        <v>45447</v>
      </c>
      <c r="AQ185" s="119">
        <v>1356.5419999999999</v>
      </c>
      <c r="AR185" s="119">
        <v>306.4856821591398</v>
      </c>
      <c r="AS185" s="44"/>
      <c r="AT185" s="119">
        <v>75.922629892473125</v>
      </c>
      <c r="AU185" s="44">
        <f t="shared" si="103"/>
        <v>1738.9503120516129</v>
      </c>
      <c r="AV185" s="17">
        <f t="shared" si="108"/>
        <v>1</v>
      </c>
      <c r="AW185" s="17"/>
      <c r="AX185" s="1">
        <f t="shared" si="114"/>
        <v>45813</v>
      </c>
      <c r="AY185" s="119">
        <v>1253.249</v>
      </c>
      <c r="AZ185" s="119">
        <v>266.49336081505379</v>
      </c>
      <c r="BA185" s="44"/>
      <c r="BB185" s="119">
        <v>88.085875376344092</v>
      </c>
      <c r="BC185" s="44">
        <f t="shared" si="104"/>
        <v>1607.828236191398</v>
      </c>
      <c r="BD185" s="17">
        <f t="shared" si="109"/>
        <v>1</v>
      </c>
    </row>
    <row r="186" spans="1:56" x14ac:dyDescent="0.3">
      <c r="A186" s="17"/>
      <c r="B186" s="1">
        <v>43622</v>
      </c>
      <c r="C186" s="36">
        <v>1194.8699999999999</v>
      </c>
      <c r="D186" s="36">
        <v>207</v>
      </c>
      <c r="F186" s="36">
        <v>71</v>
      </c>
      <c r="G186" s="7">
        <f t="shared" si="115"/>
        <v>1472.87</v>
      </c>
      <c r="H186" s="17">
        <f t="shared" si="96"/>
        <v>0</v>
      </c>
      <c r="J186" s="1">
        <v>43987</v>
      </c>
      <c r="K186" s="46">
        <v>1099.377</v>
      </c>
      <c r="L186" s="46">
        <v>188.15299999999999</v>
      </c>
      <c r="M186" s="101"/>
      <c r="N186" s="46">
        <v>72.603999999999999</v>
      </c>
      <c r="O186" s="7">
        <f t="shared" si="99"/>
        <v>1360.134</v>
      </c>
      <c r="P186" s="17">
        <f t="shared" si="97"/>
        <v>0</v>
      </c>
      <c r="R186" s="1">
        <f t="shared" si="110"/>
        <v>44353</v>
      </c>
      <c r="S186" s="62">
        <v>1190.9783312903226</v>
      </c>
      <c r="T186" s="77">
        <v>243.43180010752687</v>
      </c>
      <c r="V186" s="67">
        <v>79.609540215053769</v>
      </c>
      <c r="W186" s="7">
        <f t="shared" si="100"/>
        <v>1514.0196716129033</v>
      </c>
      <c r="X186" s="17">
        <f t="shared" si="105"/>
        <v>1</v>
      </c>
      <c r="Y186" s="17"/>
      <c r="Z186" s="1">
        <f t="shared" si="111"/>
        <v>44718</v>
      </c>
      <c r="AA186" s="116">
        <v>1372.3417262365592</v>
      </c>
      <c r="AB186" s="116">
        <v>256.43130430107527</v>
      </c>
      <c r="AC186" s="101"/>
      <c r="AD186" s="116">
        <v>78.965880967741938</v>
      </c>
      <c r="AE186" s="101">
        <f t="shared" si="101"/>
        <v>1707.7389115053763</v>
      </c>
      <c r="AF186" s="17">
        <f t="shared" si="106"/>
        <v>1</v>
      </c>
      <c r="AH186" s="1">
        <f t="shared" si="112"/>
        <v>45083</v>
      </c>
      <c r="AI186" s="120">
        <v>1270.8634567741935</v>
      </c>
      <c r="AJ186" s="120">
        <v>265.58621139784947</v>
      </c>
      <c r="AK186" s="44"/>
      <c r="AL186" s="120">
        <v>89.861563655913983</v>
      </c>
      <c r="AM186" s="44">
        <f t="shared" si="102"/>
        <v>1626.3112318279568</v>
      </c>
      <c r="AN186" s="17">
        <f t="shared" si="107"/>
        <v>1</v>
      </c>
      <c r="AO186" s="17"/>
      <c r="AP186" s="1">
        <f t="shared" si="113"/>
        <v>45448</v>
      </c>
      <c r="AQ186" s="120">
        <v>1364.1790000000001</v>
      </c>
      <c r="AR186" s="120">
        <v>306.24084637096774</v>
      </c>
      <c r="AS186" s="44"/>
      <c r="AT186" s="120">
        <v>82.005875698924726</v>
      </c>
      <c r="AU186" s="44">
        <f t="shared" si="103"/>
        <v>1752.4257220698926</v>
      </c>
      <c r="AV186" s="17">
        <f t="shared" si="108"/>
        <v>1</v>
      </c>
      <c r="AW186" s="17"/>
      <c r="AX186" s="1">
        <f t="shared" si="114"/>
        <v>45814</v>
      </c>
      <c r="AY186" s="120">
        <v>1165.81</v>
      </c>
      <c r="AZ186" s="120">
        <v>241.63624309677419</v>
      </c>
      <c r="BA186" s="44"/>
      <c r="BB186" s="120">
        <v>84.756429032258069</v>
      </c>
      <c r="BC186" s="44">
        <f t="shared" si="104"/>
        <v>1492.2026721290322</v>
      </c>
      <c r="BD186" s="17">
        <f t="shared" si="109"/>
        <v>1</v>
      </c>
    </row>
    <row r="187" spans="1:56" x14ac:dyDescent="0.3">
      <c r="A187" s="17"/>
      <c r="B187" s="1">
        <v>43623</v>
      </c>
      <c r="C187" s="36">
        <v>1198.3</v>
      </c>
      <c r="D187" s="36">
        <v>208</v>
      </c>
      <c r="F187" s="36">
        <v>73</v>
      </c>
      <c r="G187" s="7">
        <f t="shared" si="115"/>
        <v>1479.3</v>
      </c>
      <c r="H187" s="17">
        <f t="shared" si="96"/>
        <v>0</v>
      </c>
      <c r="J187" s="1">
        <v>43988</v>
      </c>
      <c r="K187" s="46">
        <v>1065.098</v>
      </c>
      <c r="L187" s="46">
        <v>204.15199999999999</v>
      </c>
      <c r="M187" s="101"/>
      <c r="N187" s="46">
        <v>69.192999999999998</v>
      </c>
      <c r="O187" s="7">
        <f t="shared" si="99"/>
        <v>1338.443</v>
      </c>
      <c r="P187" s="17">
        <f t="shared" si="97"/>
        <v>0</v>
      </c>
      <c r="R187" s="1">
        <f t="shared" si="110"/>
        <v>44354</v>
      </c>
      <c r="S187" s="62">
        <v>1252.5382867741935</v>
      </c>
      <c r="T187" s="76">
        <v>251.42561494623655</v>
      </c>
      <c r="V187" s="66">
        <v>81.261373978494618</v>
      </c>
      <c r="W187" s="7">
        <f t="shared" si="100"/>
        <v>1585.2252756989246</v>
      </c>
      <c r="X187" s="17">
        <f t="shared" si="105"/>
        <v>1</v>
      </c>
      <c r="Y187" s="17"/>
      <c r="Z187" s="1">
        <f t="shared" si="111"/>
        <v>44719</v>
      </c>
      <c r="AA187" s="115">
        <v>1285.1032217204302</v>
      </c>
      <c r="AB187" s="115">
        <v>239.63464913978495</v>
      </c>
      <c r="AC187" s="101"/>
      <c r="AD187" s="115">
        <v>82.878233225806454</v>
      </c>
      <c r="AE187" s="101">
        <f t="shared" si="101"/>
        <v>1607.6161040860216</v>
      </c>
      <c r="AF187" s="17">
        <f t="shared" si="106"/>
        <v>1</v>
      </c>
      <c r="AH187" s="1">
        <f t="shared" si="112"/>
        <v>45084</v>
      </c>
      <c r="AI187" s="119">
        <v>1320.9051503225805</v>
      </c>
      <c r="AJ187" s="119">
        <v>274.63587580645162</v>
      </c>
      <c r="AK187" s="44"/>
      <c r="AL187" s="119">
        <v>90.603961075268813</v>
      </c>
      <c r="AM187" s="44">
        <f t="shared" si="102"/>
        <v>1686.1449872043011</v>
      </c>
      <c r="AN187" s="17">
        <f t="shared" si="107"/>
        <v>1</v>
      </c>
      <c r="AO187" s="17"/>
      <c r="AP187" s="1">
        <f t="shared" si="113"/>
        <v>45449</v>
      </c>
      <c r="AQ187" s="119">
        <v>1376.99</v>
      </c>
      <c r="AR187" s="119">
        <v>298.06343620430107</v>
      </c>
      <c r="AS187" s="44"/>
      <c r="AT187" s="119">
        <v>87.473439032258071</v>
      </c>
      <c r="AU187" s="44">
        <f t="shared" si="103"/>
        <v>1762.5268752365591</v>
      </c>
      <c r="AV187" s="17">
        <f t="shared" si="108"/>
        <v>1</v>
      </c>
      <c r="AW187" s="17"/>
      <c r="AX187" s="1">
        <f t="shared" si="114"/>
        <v>45815</v>
      </c>
      <c r="AY187" s="119">
        <v>1130.8320000000001</v>
      </c>
      <c r="AZ187" s="119">
        <v>253.08728410537634</v>
      </c>
      <c r="BA187" s="44"/>
      <c r="BB187" s="119">
        <v>77.07825182795699</v>
      </c>
      <c r="BC187" s="44">
        <f t="shared" si="104"/>
        <v>1460.9975359333334</v>
      </c>
      <c r="BD187" s="17">
        <f t="shared" si="109"/>
        <v>0</v>
      </c>
    </row>
    <row r="188" spans="1:56" x14ac:dyDescent="0.3">
      <c r="A188" s="17"/>
      <c r="B188" s="1">
        <v>43624</v>
      </c>
      <c r="C188" s="36">
        <v>1129.25</v>
      </c>
      <c r="D188" s="36">
        <v>211</v>
      </c>
      <c r="F188" s="36">
        <v>73</v>
      </c>
      <c r="G188" s="7">
        <f t="shared" si="115"/>
        <v>1413.25</v>
      </c>
      <c r="H188" s="17">
        <f t="shared" si="96"/>
        <v>0</v>
      </c>
      <c r="J188" s="1">
        <v>43989</v>
      </c>
      <c r="K188" s="46">
        <v>1079.789</v>
      </c>
      <c r="L188" s="46">
        <v>196.405</v>
      </c>
      <c r="M188" s="101"/>
      <c r="N188" s="46">
        <v>64.736999999999995</v>
      </c>
      <c r="O188" s="7">
        <f t="shared" si="99"/>
        <v>1340.931</v>
      </c>
      <c r="P188" s="17">
        <f t="shared" si="97"/>
        <v>0</v>
      </c>
      <c r="R188" s="1">
        <f t="shared" si="110"/>
        <v>44355</v>
      </c>
      <c r="S188" s="62">
        <v>1248.8812903225808</v>
      </c>
      <c r="T188" s="77">
        <v>264.86022247311826</v>
      </c>
      <c r="V188" s="67">
        <v>80.631281935483869</v>
      </c>
      <c r="W188" s="7">
        <f t="shared" si="100"/>
        <v>1594.3727947311829</v>
      </c>
      <c r="X188" s="17">
        <f t="shared" si="105"/>
        <v>1</v>
      </c>
      <c r="Y188" s="17"/>
      <c r="Z188" s="1">
        <f t="shared" si="111"/>
        <v>44720</v>
      </c>
      <c r="AA188" s="116">
        <v>1306.3880378494623</v>
      </c>
      <c r="AB188" s="116">
        <v>254.59319387096775</v>
      </c>
      <c r="AC188" s="101"/>
      <c r="AD188" s="116">
        <v>80.582458064516132</v>
      </c>
      <c r="AE188" s="101">
        <f t="shared" si="101"/>
        <v>1641.5636897849463</v>
      </c>
      <c r="AF188" s="17">
        <f t="shared" si="106"/>
        <v>1</v>
      </c>
      <c r="AH188" s="1">
        <f t="shared" si="112"/>
        <v>45085</v>
      </c>
      <c r="AI188" s="120">
        <v>1455.6199490322581</v>
      </c>
      <c r="AJ188" s="120">
        <v>270.63135774193546</v>
      </c>
      <c r="AK188" s="44"/>
      <c r="AL188" s="120">
        <v>90.905695698924731</v>
      </c>
      <c r="AM188" s="44">
        <f t="shared" si="102"/>
        <v>1817.1570024731184</v>
      </c>
      <c r="AN188" s="17">
        <f t="shared" si="107"/>
        <v>1</v>
      </c>
      <c r="AO188" s="17"/>
      <c r="AP188" s="1">
        <f t="shared" si="113"/>
        <v>45450</v>
      </c>
      <c r="AQ188" s="120">
        <v>1323.49</v>
      </c>
      <c r="AR188" s="120">
        <v>298.02916284946235</v>
      </c>
      <c r="AS188" s="44"/>
      <c r="AT188" s="120">
        <v>84.78239806451613</v>
      </c>
      <c r="AU188" s="44">
        <f t="shared" si="103"/>
        <v>1706.3015609139786</v>
      </c>
      <c r="AV188" s="17">
        <f t="shared" si="108"/>
        <v>1</v>
      </c>
      <c r="AW188" s="17"/>
      <c r="AX188" s="1">
        <f t="shared" si="114"/>
        <v>45816</v>
      </c>
      <c r="AY188" s="120">
        <v>1162.0239999999999</v>
      </c>
      <c r="AZ188" s="120">
        <v>263.52291873655912</v>
      </c>
      <c r="BA188" s="44"/>
      <c r="BB188" s="120">
        <v>73.861337956989246</v>
      </c>
      <c r="BC188" s="44">
        <f t="shared" si="104"/>
        <v>1499.4082566935483</v>
      </c>
      <c r="BD188" s="17">
        <f t="shared" si="109"/>
        <v>1</v>
      </c>
    </row>
    <row r="189" spans="1:56" x14ac:dyDescent="0.3">
      <c r="A189" s="17"/>
      <c r="B189" s="1">
        <v>43625</v>
      </c>
      <c r="C189" s="36">
        <v>1147.3699999999999</v>
      </c>
      <c r="D189" s="36">
        <v>204</v>
      </c>
      <c r="F189" s="36">
        <v>63</v>
      </c>
      <c r="G189" s="7">
        <f t="shared" si="115"/>
        <v>1414.37</v>
      </c>
      <c r="H189" s="17">
        <f t="shared" si="96"/>
        <v>0</v>
      </c>
      <c r="J189" s="1">
        <v>43990</v>
      </c>
      <c r="K189" s="46">
        <v>1209.559</v>
      </c>
      <c r="L189" s="46">
        <v>217.98699999999999</v>
      </c>
      <c r="M189" s="101"/>
      <c r="N189" s="46">
        <v>72.221000000000004</v>
      </c>
      <c r="O189" s="7">
        <f t="shared" si="99"/>
        <v>1499.7670000000001</v>
      </c>
      <c r="P189" s="17">
        <f t="shared" si="97"/>
        <v>0</v>
      </c>
      <c r="R189" s="1">
        <f t="shared" si="110"/>
        <v>44356</v>
      </c>
      <c r="S189" s="62">
        <v>1229.5699996774194</v>
      </c>
      <c r="T189" s="76">
        <v>250.55105612903225</v>
      </c>
      <c r="V189" s="66">
        <v>83.704059569892479</v>
      </c>
      <c r="W189" s="7">
        <f t="shared" si="100"/>
        <v>1563.8251153763442</v>
      </c>
      <c r="X189" s="17">
        <f t="shared" si="105"/>
        <v>1</v>
      </c>
      <c r="Y189" s="17"/>
      <c r="Z189" s="1">
        <f t="shared" si="111"/>
        <v>44721</v>
      </c>
      <c r="AA189" s="115">
        <v>1393.1658587096774</v>
      </c>
      <c r="AB189" s="115">
        <v>277.41431784946235</v>
      </c>
      <c r="AC189" s="101"/>
      <c r="AD189" s="115">
        <v>83.88953129032258</v>
      </c>
      <c r="AE189" s="101">
        <f t="shared" si="101"/>
        <v>1754.4697078494623</v>
      </c>
      <c r="AF189" s="17">
        <f t="shared" si="106"/>
        <v>1</v>
      </c>
      <c r="AH189" s="1">
        <f t="shared" si="112"/>
        <v>45086</v>
      </c>
      <c r="AI189" s="119">
        <v>1365.0575380645162</v>
      </c>
      <c r="AJ189" s="119">
        <v>278.72174537634407</v>
      </c>
      <c r="AK189" s="44"/>
      <c r="AL189" s="119">
        <v>91.385432043010752</v>
      </c>
      <c r="AM189" s="44">
        <f t="shared" si="102"/>
        <v>1735.1647154838709</v>
      </c>
      <c r="AN189" s="17">
        <f t="shared" si="107"/>
        <v>1</v>
      </c>
      <c r="AO189" s="17"/>
      <c r="AP189" s="1">
        <f t="shared" si="113"/>
        <v>45451</v>
      </c>
      <c r="AQ189" s="119">
        <v>1377.424</v>
      </c>
      <c r="AR189" s="119">
        <v>287.58696932473117</v>
      </c>
      <c r="AS189" s="44"/>
      <c r="AT189" s="119">
        <v>83.397383010752691</v>
      </c>
      <c r="AU189" s="44">
        <f t="shared" si="103"/>
        <v>1748.4083523354839</v>
      </c>
      <c r="AV189" s="17">
        <f t="shared" si="108"/>
        <v>1</v>
      </c>
      <c r="AW189" s="17"/>
      <c r="AX189" s="1">
        <f t="shared" si="114"/>
        <v>45817</v>
      </c>
      <c r="AY189" s="119">
        <v>1272.059</v>
      </c>
      <c r="AZ189" s="119">
        <v>281.79742922580647</v>
      </c>
      <c r="BA189" s="44"/>
      <c r="BB189" s="119">
        <v>78.698070215053761</v>
      </c>
      <c r="BC189" s="44">
        <f t="shared" si="104"/>
        <v>1632.5544994408604</v>
      </c>
      <c r="BD189" s="17">
        <f t="shared" si="109"/>
        <v>1</v>
      </c>
    </row>
    <row r="190" spans="1:56" x14ac:dyDescent="0.3">
      <c r="A190" s="17"/>
      <c r="B190" s="1">
        <v>43626</v>
      </c>
      <c r="C190" s="36">
        <v>1323.66</v>
      </c>
      <c r="D190" s="36">
        <v>227</v>
      </c>
      <c r="F190" s="36">
        <v>69</v>
      </c>
      <c r="G190" s="7">
        <f t="shared" si="115"/>
        <v>1619.66</v>
      </c>
      <c r="H190" s="17">
        <f t="shared" si="96"/>
        <v>0</v>
      </c>
      <c r="J190" s="1">
        <v>43991</v>
      </c>
      <c r="K190" s="46">
        <v>1166.9559999999999</v>
      </c>
      <c r="L190" s="46">
        <v>218.971</v>
      </c>
      <c r="M190" s="101"/>
      <c r="N190" s="46">
        <v>75.882000000000005</v>
      </c>
      <c r="O190" s="7">
        <f t="shared" si="99"/>
        <v>1461.809</v>
      </c>
      <c r="P190" s="17">
        <f t="shared" si="97"/>
        <v>0</v>
      </c>
      <c r="R190" s="1">
        <f t="shared" si="110"/>
        <v>44357</v>
      </c>
      <c r="S190" s="73">
        <v>1280.1187790322581</v>
      </c>
      <c r="T190" s="77">
        <v>252.84633741935482</v>
      </c>
      <c r="V190" s="67">
        <v>84.862824731182798</v>
      </c>
      <c r="W190" s="7">
        <f t="shared" si="100"/>
        <v>1617.8279411827957</v>
      </c>
      <c r="X190" s="17">
        <f t="shared" si="105"/>
        <v>1</v>
      </c>
      <c r="Y190" s="17"/>
      <c r="Z190" s="1">
        <f t="shared" si="111"/>
        <v>44722</v>
      </c>
      <c r="AA190" s="116">
        <v>1402.8658660215053</v>
      </c>
      <c r="AB190" s="116">
        <v>259.43907795698925</v>
      </c>
      <c r="AC190" s="101"/>
      <c r="AD190" s="116">
        <v>89.468811290322577</v>
      </c>
      <c r="AE190" s="101">
        <f t="shared" si="101"/>
        <v>1751.773755268817</v>
      </c>
      <c r="AF190" s="17">
        <f t="shared" si="106"/>
        <v>1</v>
      </c>
      <c r="AH190" s="1">
        <f t="shared" si="112"/>
        <v>45087</v>
      </c>
      <c r="AI190" s="120">
        <v>1352.1352625806451</v>
      </c>
      <c r="AJ190" s="120">
        <v>295.54054666666667</v>
      </c>
      <c r="AK190" s="44"/>
      <c r="AL190" s="120">
        <v>91.323565591397852</v>
      </c>
      <c r="AM190" s="44">
        <f t="shared" si="102"/>
        <v>1738.9993748387096</v>
      </c>
      <c r="AN190" s="17">
        <f t="shared" si="107"/>
        <v>1</v>
      </c>
      <c r="AO190" s="17"/>
      <c r="AP190" s="1">
        <f t="shared" si="113"/>
        <v>45452</v>
      </c>
      <c r="AQ190" s="120">
        <v>1347.319</v>
      </c>
      <c r="AR190" s="120">
        <v>302.23150513440862</v>
      </c>
      <c r="AS190" s="44"/>
      <c r="AT190" s="120">
        <v>81.737529032258067</v>
      </c>
      <c r="AU190" s="44">
        <f t="shared" si="103"/>
        <v>1731.2880341666664</v>
      </c>
      <c r="AV190" s="17">
        <f t="shared" si="108"/>
        <v>1</v>
      </c>
      <c r="AW190" s="17"/>
      <c r="AX190" s="1">
        <f t="shared" si="114"/>
        <v>45818</v>
      </c>
      <c r="AY190" s="120">
        <v>1242.9770000000001</v>
      </c>
      <c r="AZ190" s="120">
        <v>292.42108748494621</v>
      </c>
      <c r="BA190" s="44"/>
      <c r="BB190" s="120">
        <v>86.502846451612896</v>
      </c>
      <c r="BC190" s="44">
        <f t="shared" si="104"/>
        <v>1621.9009339365591</v>
      </c>
      <c r="BD190" s="17">
        <f t="shared" si="109"/>
        <v>1</v>
      </c>
    </row>
    <row r="191" spans="1:56" x14ac:dyDescent="0.3">
      <c r="A191" s="17"/>
      <c r="B191" s="1">
        <v>43627</v>
      </c>
      <c r="C191" s="36">
        <v>1362.35</v>
      </c>
      <c r="D191" s="36">
        <v>229</v>
      </c>
      <c r="F191" s="36">
        <v>72</v>
      </c>
      <c r="G191" s="7">
        <f t="shared" si="115"/>
        <v>1663.35</v>
      </c>
      <c r="H191" s="17">
        <f t="shared" si="96"/>
        <v>0</v>
      </c>
      <c r="J191" s="1">
        <v>43992</v>
      </c>
      <c r="K191" s="46">
        <v>1234.5340000000001</v>
      </c>
      <c r="L191" s="46">
        <v>229.124</v>
      </c>
      <c r="M191" s="101"/>
      <c r="N191" s="46">
        <v>77.195999999999998</v>
      </c>
      <c r="O191" s="7">
        <f t="shared" si="99"/>
        <v>1540.854</v>
      </c>
      <c r="P191" s="17">
        <f t="shared" si="97"/>
        <v>0</v>
      </c>
      <c r="R191" s="1">
        <f t="shared" si="110"/>
        <v>44358</v>
      </c>
      <c r="S191" s="72">
        <v>1284.0962392473118</v>
      </c>
      <c r="T191" s="76">
        <v>251.63371827956991</v>
      </c>
      <c r="V191" s="66">
        <v>83.425696989247314</v>
      </c>
      <c r="W191" s="7">
        <f t="shared" si="100"/>
        <v>1619.1556545161291</v>
      </c>
      <c r="X191" s="17">
        <f t="shared" si="105"/>
        <v>1</v>
      </c>
      <c r="Y191" s="17"/>
      <c r="Z191" s="1">
        <f t="shared" si="111"/>
        <v>44723</v>
      </c>
      <c r="AA191" s="115">
        <v>1197.0982791397848</v>
      </c>
      <c r="AB191" s="115">
        <v>224.85997688172043</v>
      </c>
      <c r="AC191" s="101"/>
      <c r="AD191" s="115">
        <v>77.127546774193547</v>
      </c>
      <c r="AE191" s="101">
        <f t="shared" si="101"/>
        <v>1499.0858027956988</v>
      </c>
      <c r="AF191" s="17">
        <f t="shared" si="106"/>
        <v>1</v>
      </c>
      <c r="AH191" s="1">
        <f t="shared" si="112"/>
        <v>45088</v>
      </c>
      <c r="AI191" s="119">
        <v>1295.0575277419355</v>
      </c>
      <c r="AJ191" s="119">
        <v>259.31893569892475</v>
      </c>
      <c r="AK191" s="44"/>
      <c r="AL191" s="119">
        <v>87.590956344086024</v>
      </c>
      <c r="AM191" s="44">
        <f t="shared" si="102"/>
        <v>1641.9674197849463</v>
      </c>
      <c r="AN191" s="17">
        <f t="shared" si="107"/>
        <v>1</v>
      </c>
      <c r="AO191" s="17"/>
      <c r="AP191" s="1">
        <f t="shared" si="113"/>
        <v>45453</v>
      </c>
      <c r="AQ191" s="119">
        <v>1415.421</v>
      </c>
      <c r="AR191" s="119">
        <v>298.22949096236562</v>
      </c>
      <c r="AS191" s="44"/>
      <c r="AT191" s="119">
        <v>83.186384623655911</v>
      </c>
      <c r="AU191" s="44">
        <f t="shared" si="103"/>
        <v>1796.8368755860215</v>
      </c>
      <c r="AV191" s="17">
        <f t="shared" si="108"/>
        <v>1</v>
      </c>
      <c r="AW191" s="17"/>
      <c r="AX191" s="1">
        <f t="shared" si="114"/>
        <v>45819</v>
      </c>
      <c r="AY191" s="119">
        <v>1193.8109999999999</v>
      </c>
      <c r="AZ191" s="119">
        <v>282.04540131612902</v>
      </c>
      <c r="BA191" s="44"/>
      <c r="BB191" s="119">
        <v>82.501451397849465</v>
      </c>
      <c r="BC191" s="44">
        <f t="shared" si="104"/>
        <v>1558.3578527139784</v>
      </c>
      <c r="BD191" s="17">
        <f t="shared" si="109"/>
        <v>1</v>
      </c>
    </row>
    <row r="192" spans="1:56" x14ac:dyDescent="0.3">
      <c r="A192" s="17"/>
      <c r="B192" s="1">
        <v>43628</v>
      </c>
      <c r="C192" s="36">
        <v>1376.55</v>
      </c>
      <c r="D192" s="36">
        <v>242</v>
      </c>
      <c r="F192" s="36">
        <v>74</v>
      </c>
      <c r="G192" s="7">
        <f t="shared" si="115"/>
        <v>1692.55</v>
      </c>
      <c r="H192" s="17">
        <f t="shared" si="96"/>
        <v>0</v>
      </c>
      <c r="J192" s="1">
        <v>43993</v>
      </c>
      <c r="K192" s="46">
        <v>1282.5250000000001</v>
      </c>
      <c r="L192" s="46">
        <v>233.733</v>
      </c>
      <c r="M192" s="101"/>
      <c r="N192" s="46">
        <v>80.099999999999994</v>
      </c>
      <c r="O192" s="7">
        <f t="shared" si="99"/>
        <v>1596.3579999999999</v>
      </c>
      <c r="P192" s="17">
        <f t="shared" si="97"/>
        <v>0</v>
      </c>
      <c r="R192" s="1">
        <f t="shared" si="110"/>
        <v>44359</v>
      </c>
      <c r="S192" s="73">
        <v>1186.4423779569893</v>
      </c>
      <c r="T192" s="77">
        <v>242.70600709677419</v>
      </c>
      <c r="V192" s="67">
        <v>75.340235053763436</v>
      </c>
      <c r="W192" s="7">
        <f t="shared" si="100"/>
        <v>1504.4886201075269</v>
      </c>
      <c r="X192" s="17">
        <f t="shared" si="105"/>
        <v>1</v>
      </c>
      <c r="Y192" s="17"/>
      <c r="Z192" s="1">
        <f t="shared" si="111"/>
        <v>44724</v>
      </c>
      <c r="AA192" s="116">
        <v>1021.0063122580646</v>
      </c>
      <c r="AB192" s="116">
        <v>207.25829483870967</v>
      </c>
      <c r="AC192" s="101"/>
      <c r="AD192" s="116">
        <v>67.770897096774192</v>
      </c>
      <c r="AE192" s="101">
        <f t="shared" si="101"/>
        <v>1296.0355041935484</v>
      </c>
      <c r="AF192" s="17">
        <f t="shared" si="106"/>
        <v>0</v>
      </c>
      <c r="AH192" s="1">
        <f t="shared" si="112"/>
        <v>45089</v>
      </c>
      <c r="AI192" s="120">
        <v>1265.5505903225805</v>
      </c>
      <c r="AJ192" s="120">
        <v>271.06064763440861</v>
      </c>
      <c r="AK192" s="44"/>
      <c r="AL192" s="120">
        <v>82.485346021505379</v>
      </c>
      <c r="AM192" s="44">
        <f t="shared" si="102"/>
        <v>1619.0965839784944</v>
      </c>
      <c r="AN192" s="17">
        <f t="shared" si="107"/>
        <v>1</v>
      </c>
      <c r="AO192" s="17"/>
      <c r="AP192" s="1">
        <f t="shared" si="113"/>
        <v>45454</v>
      </c>
      <c r="AQ192" s="120">
        <v>1427.9490000000001</v>
      </c>
      <c r="AR192" s="120">
        <v>306.63706165806451</v>
      </c>
      <c r="AS192" s="44"/>
      <c r="AT192" s="120">
        <v>81.369634408602153</v>
      </c>
      <c r="AU192" s="44">
        <f t="shared" si="103"/>
        <v>1815.9556960666669</v>
      </c>
      <c r="AV192" s="17">
        <f t="shared" si="108"/>
        <v>1</v>
      </c>
      <c r="AW192" s="17"/>
      <c r="AX192" s="1">
        <f t="shared" si="114"/>
        <v>45820</v>
      </c>
      <c r="AY192" s="120">
        <v>1261.0509999999999</v>
      </c>
      <c r="AZ192" s="120">
        <v>284.97609932473119</v>
      </c>
      <c r="BA192" s="44"/>
      <c r="BB192" s="120">
        <v>86.058126774193553</v>
      </c>
      <c r="BC192" s="44">
        <f t="shared" si="104"/>
        <v>1632.0852260989247</v>
      </c>
      <c r="BD192" s="17">
        <f t="shared" si="109"/>
        <v>1</v>
      </c>
    </row>
    <row r="193" spans="1:56" x14ac:dyDescent="0.3">
      <c r="A193" s="17"/>
      <c r="B193" s="1">
        <v>43629</v>
      </c>
      <c r="C193" s="36">
        <v>1380.47</v>
      </c>
      <c r="D193" s="36">
        <v>254</v>
      </c>
      <c r="F193" s="36">
        <v>78</v>
      </c>
      <c r="G193" s="7">
        <f t="shared" si="115"/>
        <v>1712.47</v>
      </c>
      <c r="H193" s="17">
        <f t="shared" si="96"/>
        <v>0</v>
      </c>
      <c r="J193" s="1">
        <v>43994</v>
      </c>
      <c r="K193" s="46">
        <v>1276.1579999999999</v>
      </c>
      <c r="L193" s="46">
        <v>240.761</v>
      </c>
      <c r="M193" s="101"/>
      <c r="N193" s="46">
        <v>83.608000000000004</v>
      </c>
      <c r="O193" s="7">
        <f t="shared" si="99"/>
        <v>1600.5269999999998</v>
      </c>
      <c r="P193" s="17">
        <f t="shared" si="97"/>
        <v>0</v>
      </c>
      <c r="R193" s="1">
        <f t="shared" si="110"/>
        <v>44360</v>
      </c>
      <c r="S193" s="72">
        <v>1182.2011276344085</v>
      </c>
      <c r="T193" s="76">
        <v>228.03623967741936</v>
      </c>
      <c r="V193" s="66">
        <v>71.352529247311821</v>
      </c>
      <c r="W193" s="7">
        <f t="shared" si="100"/>
        <v>1481.5898965591398</v>
      </c>
      <c r="X193" s="17">
        <f t="shared" si="105"/>
        <v>1</v>
      </c>
      <c r="Y193" s="17"/>
      <c r="Z193" s="1">
        <f t="shared" si="111"/>
        <v>44725</v>
      </c>
      <c r="AA193" s="115">
        <v>1136.4265494623655</v>
      </c>
      <c r="AB193" s="115">
        <v>222.15410043010752</v>
      </c>
      <c r="AC193" s="101"/>
      <c r="AD193" s="115">
        <v>70.544467741935478</v>
      </c>
      <c r="AE193" s="101">
        <f t="shared" si="101"/>
        <v>1429.1251176344085</v>
      </c>
      <c r="AF193" s="17">
        <f t="shared" si="106"/>
        <v>0</v>
      </c>
      <c r="AH193" s="1">
        <f t="shared" si="112"/>
        <v>45090</v>
      </c>
      <c r="AI193" s="119">
        <v>1323.8743761290323</v>
      </c>
      <c r="AJ193" s="119">
        <v>259.18562516129032</v>
      </c>
      <c r="AK193" s="44"/>
      <c r="AL193" s="119">
        <v>84.694086881720423</v>
      </c>
      <c r="AM193" s="44">
        <f t="shared" si="102"/>
        <v>1667.7540881720431</v>
      </c>
      <c r="AN193" s="17">
        <f t="shared" si="107"/>
        <v>1</v>
      </c>
      <c r="AO193" s="17"/>
      <c r="AP193" s="1">
        <f t="shared" si="113"/>
        <v>45455</v>
      </c>
      <c r="AQ193" s="119">
        <v>1471.877</v>
      </c>
      <c r="AR193" s="119">
        <v>312.28497440000001</v>
      </c>
      <c r="AS193" s="44"/>
      <c r="AT193" s="119">
        <v>87.004914408602147</v>
      </c>
      <c r="AU193" s="44">
        <f t="shared" si="103"/>
        <v>1871.1668888086022</v>
      </c>
      <c r="AV193" s="17">
        <f t="shared" si="108"/>
        <v>1</v>
      </c>
      <c r="AW193" s="17"/>
      <c r="AX193" s="1">
        <f t="shared" si="114"/>
        <v>45821</v>
      </c>
      <c r="AY193" s="119">
        <v>1298.9670000000001</v>
      </c>
      <c r="AZ193" s="119">
        <v>297.93294767741935</v>
      </c>
      <c r="BA193" s="44"/>
      <c r="BB193" s="119">
        <v>88.768644516129029</v>
      </c>
      <c r="BC193" s="44">
        <f t="shared" si="104"/>
        <v>1685.6685921935486</v>
      </c>
      <c r="BD193" s="17">
        <f t="shared" si="109"/>
        <v>1</v>
      </c>
    </row>
    <row r="194" spans="1:56" x14ac:dyDescent="0.3">
      <c r="A194" s="17"/>
      <c r="B194" s="1">
        <v>43630</v>
      </c>
      <c r="C194" s="36">
        <v>1396.62</v>
      </c>
      <c r="D194" s="36">
        <v>252</v>
      </c>
      <c r="F194" s="36">
        <v>79</v>
      </c>
      <c r="G194" s="7">
        <f t="shared" si="115"/>
        <v>1727.62</v>
      </c>
      <c r="H194" s="17">
        <f t="shared" si="96"/>
        <v>0</v>
      </c>
      <c r="J194" s="1">
        <v>43995</v>
      </c>
      <c r="K194" s="46">
        <v>1231.596</v>
      </c>
      <c r="L194" s="46">
        <v>237.79</v>
      </c>
      <c r="M194" s="101"/>
      <c r="N194" s="46">
        <v>79.692999999999998</v>
      </c>
      <c r="O194" s="7">
        <f t="shared" si="99"/>
        <v>1549.079</v>
      </c>
      <c r="P194" s="17">
        <f t="shared" si="97"/>
        <v>0</v>
      </c>
      <c r="R194" s="1">
        <f t="shared" si="110"/>
        <v>44361</v>
      </c>
      <c r="S194" s="73">
        <v>1310.6576361290322</v>
      </c>
      <c r="T194" s="77">
        <v>253.74801279569891</v>
      </c>
      <c r="V194" s="67">
        <v>77.795867741935481</v>
      </c>
      <c r="W194" s="7">
        <f t="shared" si="100"/>
        <v>1642.2015166666667</v>
      </c>
      <c r="X194" s="17">
        <f t="shared" si="105"/>
        <v>1</v>
      </c>
      <c r="Y194" s="17"/>
      <c r="Z194" s="1">
        <f t="shared" si="111"/>
        <v>44726</v>
      </c>
      <c r="AA194" s="116">
        <v>1264.7449030107528</v>
      </c>
      <c r="AB194" s="116">
        <v>238.93948247311829</v>
      </c>
      <c r="AC194" s="101"/>
      <c r="AD194" s="116">
        <v>77.297881935483872</v>
      </c>
      <c r="AE194" s="101">
        <f t="shared" si="101"/>
        <v>1580.9822674193549</v>
      </c>
      <c r="AF194" s="17">
        <f t="shared" si="106"/>
        <v>1</v>
      </c>
      <c r="AH194" s="1">
        <f t="shared" si="112"/>
        <v>45091</v>
      </c>
      <c r="AI194" s="120">
        <v>1344.6231212903226</v>
      </c>
      <c r="AJ194" s="120">
        <v>261.56054580645161</v>
      </c>
      <c r="AK194" s="44"/>
      <c r="AL194" s="120">
        <v>88.817431612903221</v>
      </c>
      <c r="AM194" s="44">
        <f t="shared" si="102"/>
        <v>1695.0010987096773</v>
      </c>
      <c r="AN194" s="17">
        <f t="shared" si="107"/>
        <v>1</v>
      </c>
      <c r="AO194" s="17"/>
      <c r="AP194" s="1">
        <f t="shared" si="113"/>
        <v>45456</v>
      </c>
      <c r="AQ194" s="120">
        <v>1467.008</v>
      </c>
      <c r="AR194" s="120">
        <v>303.35340289999999</v>
      </c>
      <c r="AS194" s="44"/>
      <c r="AT194" s="120">
        <v>89.607227849462362</v>
      </c>
      <c r="AU194" s="44">
        <f t="shared" si="103"/>
        <v>1859.9686307494624</v>
      </c>
      <c r="AV194" s="17">
        <f t="shared" si="108"/>
        <v>1</v>
      </c>
      <c r="AW194" s="17"/>
      <c r="AX194" s="1">
        <f t="shared" si="114"/>
        <v>45822</v>
      </c>
      <c r="AY194" s="120">
        <v>1315.9860000000001</v>
      </c>
      <c r="AZ194" s="120">
        <v>272.85806297634406</v>
      </c>
      <c r="BA194" s="44"/>
      <c r="BB194" s="120">
        <v>79.691385698924734</v>
      </c>
      <c r="BC194" s="44">
        <f t="shared" si="104"/>
        <v>1668.5354486752688</v>
      </c>
      <c r="BD194" s="17">
        <f t="shared" si="109"/>
        <v>1</v>
      </c>
    </row>
    <row r="195" spans="1:56" x14ac:dyDescent="0.3">
      <c r="A195" s="17"/>
      <c r="B195" s="1">
        <v>43631</v>
      </c>
      <c r="C195" s="36">
        <v>1225.23</v>
      </c>
      <c r="D195" s="36">
        <v>241</v>
      </c>
      <c r="F195" s="36">
        <v>76</v>
      </c>
      <c r="G195" s="7">
        <f t="shared" si="115"/>
        <v>1542.23</v>
      </c>
      <c r="H195" s="17">
        <f t="shared" si="96"/>
        <v>0</v>
      </c>
      <c r="J195" s="1">
        <v>43996</v>
      </c>
      <c r="K195" s="46">
        <v>1205.152</v>
      </c>
      <c r="L195" s="46">
        <v>231.53</v>
      </c>
      <c r="M195" s="101"/>
      <c r="N195" s="46">
        <v>75.162000000000006</v>
      </c>
      <c r="O195" s="7">
        <f t="shared" si="99"/>
        <v>1511.8440000000001</v>
      </c>
      <c r="P195" s="17">
        <f t="shared" si="97"/>
        <v>0</v>
      </c>
      <c r="R195" s="1">
        <f t="shared" si="110"/>
        <v>44362</v>
      </c>
      <c r="S195" s="72">
        <v>1303.5631248387097</v>
      </c>
      <c r="T195" s="76">
        <v>259.74277311827956</v>
      </c>
      <c r="V195" s="66">
        <v>80.868645376344091</v>
      </c>
      <c r="W195" s="7">
        <f t="shared" si="100"/>
        <v>1644.1745433333333</v>
      </c>
      <c r="X195" s="17">
        <f t="shared" si="105"/>
        <v>1</v>
      </c>
      <c r="Y195" s="17"/>
      <c r="Z195" s="1">
        <f t="shared" si="111"/>
        <v>44727</v>
      </c>
      <c r="AA195" s="115">
        <v>1280.8195819354839</v>
      </c>
      <c r="AB195" s="115">
        <v>251.5299005376344</v>
      </c>
      <c r="AC195" s="101"/>
      <c r="AD195" s="115">
        <v>80.06609612903226</v>
      </c>
      <c r="AE195" s="101">
        <f t="shared" si="101"/>
        <v>1612.4155786021506</v>
      </c>
      <c r="AF195" s="17">
        <f t="shared" si="106"/>
        <v>1</v>
      </c>
      <c r="AH195" s="1">
        <f t="shared" si="112"/>
        <v>45092</v>
      </c>
      <c r="AI195" s="119">
        <v>1357.5075135483871</v>
      </c>
      <c r="AJ195" s="119">
        <v>278.97891870967743</v>
      </c>
      <c r="AK195" s="44"/>
      <c r="AL195" s="119">
        <v>91.399541935483867</v>
      </c>
      <c r="AM195" s="44">
        <f t="shared" si="102"/>
        <v>1727.8859741935485</v>
      </c>
      <c r="AN195" s="17">
        <f t="shared" si="107"/>
        <v>1</v>
      </c>
      <c r="AO195" s="17"/>
      <c r="AP195" s="1">
        <f t="shared" si="113"/>
        <v>45457</v>
      </c>
      <c r="AQ195" s="119">
        <v>1555.6949999999999</v>
      </c>
      <c r="AR195" s="119">
        <v>321.29222306666668</v>
      </c>
      <c r="AS195" s="44"/>
      <c r="AT195" s="119">
        <v>94.277325483870968</v>
      </c>
      <c r="AU195" s="44">
        <f t="shared" si="103"/>
        <v>1971.2645485505375</v>
      </c>
      <c r="AV195" s="17">
        <f t="shared" si="108"/>
        <v>1</v>
      </c>
      <c r="AW195" s="17"/>
      <c r="AX195" s="1">
        <f t="shared" si="114"/>
        <v>45823</v>
      </c>
      <c r="AY195" s="119">
        <v>1267.008</v>
      </c>
      <c r="AZ195" s="119">
        <v>278.73564058064517</v>
      </c>
      <c r="BA195" s="44"/>
      <c r="BB195" s="119">
        <v>73.15692795698925</v>
      </c>
      <c r="BC195" s="44">
        <f t="shared" si="104"/>
        <v>1618.9005685376344</v>
      </c>
      <c r="BD195" s="17">
        <f t="shared" si="109"/>
        <v>1</v>
      </c>
    </row>
    <row r="196" spans="1:56" x14ac:dyDescent="0.3">
      <c r="A196" s="17"/>
      <c r="B196" s="1">
        <v>43632</v>
      </c>
      <c r="C196" s="36">
        <v>1034.25</v>
      </c>
      <c r="D196" s="36">
        <v>198</v>
      </c>
      <c r="F196" s="36">
        <v>63</v>
      </c>
      <c r="G196" s="7">
        <f t="shared" si="115"/>
        <v>1295.25</v>
      </c>
      <c r="H196" s="17">
        <f t="shared" si="96"/>
        <v>0</v>
      </c>
      <c r="J196" s="1">
        <v>43997</v>
      </c>
      <c r="K196" s="46">
        <v>1179.1980000000001</v>
      </c>
      <c r="L196" s="46">
        <v>242.72800000000001</v>
      </c>
      <c r="M196" s="101"/>
      <c r="N196" s="46">
        <v>73.478999999999999</v>
      </c>
      <c r="O196" s="7">
        <f t="shared" si="99"/>
        <v>1495.4050000000002</v>
      </c>
      <c r="P196" s="17">
        <f t="shared" si="97"/>
        <v>0</v>
      </c>
      <c r="R196" s="1">
        <f t="shared" si="110"/>
        <v>44363</v>
      </c>
      <c r="S196" s="73">
        <v>1246.1269506451613</v>
      </c>
      <c r="T196" s="77">
        <v>270.60075010752689</v>
      </c>
      <c r="V196" s="67">
        <v>82.414744516129034</v>
      </c>
      <c r="W196" s="7">
        <f t="shared" si="100"/>
        <v>1599.1424452688173</v>
      </c>
      <c r="X196" s="17">
        <f t="shared" si="105"/>
        <v>1</v>
      </c>
      <c r="Y196" s="17"/>
      <c r="Z196" s="1">
        <f t="shared" si="111"/>
        <v>44728</v>
      </c>
      <c r="AA196" s="116">
        <v>1316.5733533333334</v>
      </c>
      <c r="AB196" s="116">
        <v>251.90994580645162</v>
      </c>
      <c r="AC196" s="101"/>
      <c r="AD196" s="116">
        <v>81.902287741935481</v>
      </c>
      <c r="AE196" s="101">
        <f t="shared" si="101"/>
        <v>1650.3855868817204</v>
      </c>
      <c r="AF196" s="17">
        <f t="shared" si="106"/>
        <v>1</v>
      </c>
      <c r="AH196" s="1">
        <f t="shared" si="112"/>
        <v>45093</v>
      </c>
      <c r="AI196" s="120">
        <v>1310.521050967742</v>
      </c>
      <c r="AJ196" s="120">
        <v>262.84923817204299</v>
      </c>
      <c r="AK196" s="44"/>
      <c r="AL196" s="120">
        <v>93.850321720430102</v>
      </c>
      <c r="AM196" s="44">
        <f t="shared" si="102"/>
        <v>1667.2206108602152</v>
      </c>
      <c r="AN196" s="17">
        <f t="shared" si="107"/>
        <v>1</v>
      </c>
      <c r="AO196" s="17"/>
      <c r="AP196" s="1">
        <f t="shared" si="113"/>
        <v>45458</v>
      </c>
      <c r="AQ196" s="120">
        <v>1485.3689999999999</v>
      </c>
      <c r="AR196" s="120">
        <v>312.86509930107525</v>
      </c>
      <c r="AS196" s="44"/>
      <c r="AT196" s="120">
        <v>94.468847096774198</v>
      </c>
      <c r="AU196" s="44">
        <f t="shared" si="103"/>
        <v>1892.7029463978495</v>
      </c>
      <c r="AV196" s="17">
        <f t="shared" si="108"/>
        <v>1</v>
      </c>
      <c r="AW196" s="17"/>
      <c r="AX196" s="1">
        <f t="shared" si="114"/>
        <v>45824</v>
      </c>
      <c r="AY196" s="120">
        <v>1406.874</v>
      </c>
      <c r="AZ196" s="120">
        <v>306.26805104946237</v>
      </c>
      <c r="BA196" s="44"/>
      <c r="BB196" s="120">
        <v>83.434172473118281</v>
      </c>
      <c r="BC196" s="44">
        <f t="shared" si="104"/>
        <v>1796.5762235225807</v>
      </c>
      <c r="BD196" s="17">
        <f t="shared" si="109"/>
        <v>1</v>
      </c>
    </row>
    <row r="197" spans="1:56" x14ac:dyDescent="0.3">
      <c r="A197" s="17"/>
      <c r="B197" s="1">
        <v>43633</v>
      </c>
      <c r="C197" s="36">
        <v>1117.5</v>
      </c>
      <c r="D197" s="36">
        <v>212</v>
      </c>
      <c r="F197" s="36">
        <v>67</v>
      </c>
      <c r="G197" s="7">
        <f t="shared" si="115"/>
        <v>1396.5</v>
      </c>
      <c r="H197" s="17">
        <f t="shared" si="96"/>
        <v>0</v>
      </c>
      <c r="J197" s="1">
        <v>43998</v>
      </c>
      <c r="K197" s="46">
        <v>1180.6669999999999</v>
      </c>
      <c r="L197" s="46">
        <v>247.52799999999999</v>
      </c>
      <c r="M197" s="101"/>
      <c r="N197" s="46">
        <v>74.582999999999998</v>
      </c>
      <c r="O197" s="7">
        <f t="shared" si="99"/>
        <v>1502.778</v>
      </c>
      <c r="P197" s="17">
        <f t="shared" si="97"/>
        <v>0</v>
      </c>
      <c r="R197" s="1">
        <f t="shared" si="110"/>
        <v>44364</v>
      </c>
      <c r="S197" s="72">
        <v>1310.2938943010752</v>
      </c>
      <c r="T197" s="76">
        <v>289.52592956989247</v>
      </c>
      <c r="V197" s="66">
        <v>87.19869677419355</v>
      </c>
      <c r="W197" s="7">
        <f t="shared" si="100"/>
        <v>1687.0185206451613</v>
      </c>
      <c r="X197" s="17">
        <f t="shared" si="105"/>
        <v>1</v>
      </c>
      <c r="Y197" s="17"/>
      <c r="Z197" s="1">
        <f t="shared" si="111"/>
        <v>44729</v>
      </c>
      <c r="AA197" s="115">
        <v>1393.0232417204302</v>
      </c>
      <c r="AB197" s="115">
        <v>270.48497311827958</v>
      </c>
      <c r="AC197" s="101"/>
      <c r="AD197" s="115">
        <v>85.871418387096767</v>
      </c>
      <c r="AE197" s="101">
        <f t="shared" si="101"/>
        <v>1749.3796332258066</v>
      </c>
      <c r="AF197" s="17">
        <f t="shared" si="106"/>
        <v>1</v>
      </c>
      <c r="AH197" s="1">
        <f t="shared" si="112"/>
        <v>45094</v>
      </c>
      <c r="AI197" s="119">
        <v>1324.3330703225806</v>
      </c>
      <c r="AJ197" s="119">
        <v>260.22865645161289</v>
      </c>
      <c r="AK197" s="44"/>
      <c r="AL197" s="119">
        <v>91.762057634408606</v>
      </c>
      <c r="AM197" s="44">
        <f t="shared" si="102"/>
        <v>1676.3237844086023</v>
      </c>
      <c r="AN197" s="17">
        <f t="shared" si="107"/>
        <v>1</v>
      </c>
      <c r="AO197" s="17"/>
      <c r="AP197" s="1">
        <f t="shared" si="113"/>
        <v>45459</v>
      </c>
      <c r="AQ197" s="119">
        <v>1444.298</v>
      </c>
      <c r="AR197" s="119">
        <v>301.99683963763442</v>
      </c>
      <c r="AS197" s="44"/>
      <c r="AT197" s="119">
        <v>84.482672150537638</v>
      </c>
      <c r="AU197" s="44">
        <f t="shared" si="103"/>
        <v>1830.777511788172</v>
      </c>
      <c r="AV197" s="17">
        <f t="shared" si="108"/>
        <v>1</v>
      </c>
      <c r="AW197" s="17"/>
      <c r="AX197" s="1">
        <f t="shared" si="114"/>
        <v>45825</v>
      </c>
      <c r="AY197" s="119">
        <v>1391.835</v>
      </c>
      <c r="AZ197" s="119">
        <v>305.51408517849461</v>
      </c>
      <c r="BA197" s="44"/>
      <c r="BB197" s="119">
        <v>91.105857419354834</v>
      </c>
      <c r="BC197" s="44">
        <f t="shared" si="104"/>
        <v>1788.4549425978494</v>
      </c>
      <c r="BD197" s="17">
        <f t="shared" si="109"/>
        <v>1</v>
      </c>
    </row>
    <row r="198" spans="1:56" x14ac:dyDescent="0.3">
      <c r="A198" s="17"/>
      <c r="B198" s="1">
        <v>43634</v>
      </c>
      <c r="C198" s="36">
        <v>1108.68</v>
      </c>
      <c r="D198" s="36">
        <v>212</v>
      </c>
      <c r="F198" s="36">
        <v>71</v>
      </c>
      <c r="G198" s="7">
        <f t="shared" si="115"/>
        <v>1391.68</v>
      </c>
      <c r="H198" s="17">
        <f t="shared" si="96"/>
        <v>0</v>
      </c>
      <c r="J198" s="1">
        <v>43999</v>
      </c>
      <c r="K198" s="46">
        <v>1224.25</v>
      </c>
      <c r="L198" s="46">
        <v>266.99799999999999</v>
      </c>
      <c r="M198" s="101"/>
      <c r="N198" s="46">
        <v>71.646000000000001</v>
      </c>
      <c r="O198" s="7">
        <f t="shared" si="99"/>
        <v>1562.894</v>
      </c>
      <c r="P198" s="17">
        <f t="shared" si="97"/>
        <v>0</v>
      </c>
      <c r="R198" s="1">
        <f t="shared" si="110"/>
        <v>44365</v>
      </c>
      <c r="S198" s="73">
        <v>1273.0871239784947</v>
      </c>
      <c r="T198" s="77">
        <v>284.24751935483869</v>
      </c>
      <c r="V198" s="67">
        <v>86.103588172043004</v>
      </c>
      <c r="W198" s="7">
        <f t="shared" si="100"/>
        <v>1643.4382315053763</v>
      </c>
      <c r="X198" s="17">
        <f t="shared" si="105"/>
        <v>1</v>
      </c>
      <c r="Y198" s="17"/>
      <c r="Z198" s="1">
        <f t="shared" si="111"/>
        <v>44730</v>
      </c>
      <c r="AA198" s="116">
        <v>1419.8557561290322</v>
      </c>
      <c r="AB198" s="116">
        <v>259.66171139784944</v>
      </c>
      <c r="AC198" s="101"/>
      <c r="AD198" s="116">
        <v>87.130184516129034</v>
      </c>
      <c r="AE198" s="101">
        <f t="shared" si="101"/>
        <v>1766.6476520430108</v>
      </c>
      <c r="AF198" s="17">
        <f t="shared" si="106"/>
        <v>1</v>
      </c>
      <c r="AH198" s="1">
        <f t="shared" si="112"/>
        <v>45095</v>
      </c>
      <c r="AI198" s="120">
        <v>1304.696249032258</v>
      </c>
      <c r="AJ198" s="120">
        <v>262.93890440860213</v>
      </c>
      <c r="AK198" s="44"/>
      <c r="AL198" s="120">
        <v>88.364829677419351</v>
      </c>
      <c r="AM198" s="44">
        <f t="shared" si="102"/>
        <v>1655.9999831182795</v>
      </c>
      <c r="AN198" s="17">
        <f t="shared" si="107"/>
        <v>1</v>
      </c>
      <c r="AO198" s="17"/>
      <c r="AP198" s="1">
        <f t="shared" si="113"/>
        <v>45460</v>
      </c>
      <c r="AQ198" s="120">
        <v>1607.2650000000001</v>
      </c>
      <c r="AR198" s="120">
        <v>323.00947527526881</v>
      </c>
      <c r="AS198" s="44"/>
      <c r="AT198" s="120">
        <v>90.7455370967742</v>
      </c>
      <c r="AU198" s="44">
        <f t="shared" si="103"/>
        <v>2021.0200123720431</v>
      </c>
      <c r="AV198" s="17">
        <f t="shared" si="108"/>
        <v>1</v>
      </c>
      <c r="AW198" s="17"/>
      <c r="AX198" s="1">
        <f t="shared" si="114"/>
        <v>45826</v>
      </c>
      <c r="AY198" s="120">
        <v>1487.008</v>
      </c>
      <c r="AZ198" s="120">
        <v>314.2119520215054</v>
      </c>
      <c r="BA198" s="44"/>
      <c r="BB198" s="120">
        <v>89.95889182795699</v>
      </c>
      <c r="BC198" s="44">
        <f t="shared" si="104"/>
        <v>1891.1788438494623</v>
      </c>
      <c r="BD198" s="17">
        <f t="shared" si="109"/>
        <v>1</v>
      </c>
    </row>
    <row r="199" spans="1:56" x14ac:dyDescent="0.3">
      <c r="A199" s="17"/>
      <c r="B199" s="1">
        <v>43635</v>
      </c>
      <c r="C199" s="36">
        <v>1288.8900000000001</v>
      </c>
      <c r="D199" s="36">
        <v>209</v>
      </c>
      <c r="F199" s="36">
        <v>73</v>
      </c>
      <c r="G199" s="7">
        <f t="shared" si="115"/>
        <v>1570.89</v>
      </c>
      <c r="H199" s="17">
        <f t="shared" si="96"/>
        <v>0</v>
      </c>
      <c r="J199" s="1">
        <v>44000</v>
      </c>
      <c r="K199" s="46">
        <v>1223.761</v>
      </c>
      <c r="L199" s="46">
        <v>262.553</v>
      </c>
      <c r="M199" s="101"/>
      <c r="N199" s="46">
        <v>77.923000000000002</v>
      </c>
      <c r="O199" s="7">
        <f t="shared" si="99"/>
        <v>1564.2369999999999</v>
      </c>
      <c r="P199" s="17">
        <f t="shared" si="97"/>
        <v>0</v>
      </c>
      <c r="R199" s="1">
        <f t="shared" si="110"/>
        <v>44366</v>
      </c>
      <c r="S199" s="72">
        <v>1219.299702795699</v>
      </c>
      <c r="T199" s="76">
        <v>253.7298588172043</v>
      </c>
      <c r="V199" s="66">
        <v>81.408107741935481</v>
      </c>
      <c r="W199" s="7">
        <f t="shared" si="100"/>
        <v>1554.4376693548388</v>
      </c>
      <c r="X199" s="17">
        <f t="shared" si="105"/>
        <v>1</v>
      </c>
      <c r="Y199" s="17"/>
      <c r="Z199" s="1">
        <f t="shared" si="111"/>
        <v>44731</v>
      </c>
      <c r="AA199" s="115">
        <v>1290.5288234408602</v>
      </c>
      <c r="AB199" s="115">
        <v>274.37871021505379</v>
      </c>
      <c r="AC199" s="101"/>
      <c r="AD199" s="115">
        <v>80.146442903225804</v>
      </c>
      <c r="AE199" s="101">
        <f t="shared" si="101"/>
        <v>1645.0539765591398</v>
      </c>
      <c r="AF199" s="17">
        <f t="shared" si="106"/>
        <v>1</v>
      </c>
      <c r="AH199" s="1">
        <f t="shared" si="112"/>
        <v>45096</v>
      </c>
      <c r="AI199" s="119">
        <v>1350.0434941935484</v>
      </c>
      <c r="AJ199" s="119">
        <v>256.45382913978494</v>
      </c>
      <c r="AK199" s="44"/>
      <c r="AL199" s="119">
        <v>89.838770752688177</v>
      </c>
      <c r="AM199" s="44">
        <f t="shared" si="102"/>
        <v>1696.3360940860216</v>
      </c>
      <c r="AN199" s="17">
        <f t="shared" si="107"/>
        <v>1</v>
      </c>
      <c r="AO199" s="17"/>
      <c r="AP199" s="1">
        <f t="shared" si="113"/>
        <v>45461</v>
      </c>
      <c r="AQ199" s="119">
        <v>1628.8530000000001</v>
      </c>
      <c r="AR199" s="119">
        <v>350.73588980752686</v>
      </c>
      <c r="AS199" s="44"/>
      <c r="AT199" s="119">
        <v>97.017058387096768</v>
      </c>
      <c r="AU199" s="44">
        <f t="shared" si="103"/>
        <v>2076.6059481946236</v>
      </c>
      <c r="AV199" s="17">
        <f t="shared" si="108"/>
        <v>1</v>
      </c>
      <c r="AW199" s="17"/>
      <c r="AX199" s="1">
        <f t="shared" si="114"/>
        <v>45827</v>
      </c>
      <c r="AY199" s="119">
        <v>1383.7619999999999</v>
      </c>
      <c r="AZ199" s="119">
        <v>292.42031627526882</v>
      </c>
      <c r="BA199" s="44"/>
      <c r="BB199" s="119">
        <v>93.048124623655909</v>
      </c>
      <c r="BC199" s="44">
        <f t="shared" si="104"/>
        <v>1769.2304408989246</v>
      </c>
      <c r="BD199" s="17">
        <f t="shared" si="109"/>
        <v>1</v>
      </c>
    </row>
    <row r="200" spans="1:56" x14ac:dyDescent="0.3">
      <c r="A200" s="17"/>
      <c r="B200" s="1">
        <v>43636</v>
      </c>
      <c r="C200" s="36">
        <v>1327.09</v>
      </c>
      <c r="D200" s="36">
        <v>218</v>
      </c>
      <c r="F200" s="36">
        <v>74</v>
      </c>
      <c r="G200" s="7">
        <f t="shared" si="115"/>
        <v>1619.09</v>
      </c>
      <c r="H200" s="17">
        <f t="shared" si="96"/>
        <v>0</v>
      </c>
      <c r="J200" s="1">
        <v>44001</v>
      </c>
      <c r="K200" s="46">
        <v>1182.136</v>
      </c>
      <c r="L200" s="46">
        <v>264.84300000000002</v>
      </c>
      <c r="M200" s="101"/>
      <c r="N200" s="46">
        <v>78.426000000000002</v>
      </c>
      <c r="O200" s="7">
        <f t="shared" si="99"/>
        <v>1525.405</v>
      </c>
      <c r="P200" s="17">
        <f t="shared" si="97"/>
        <v>0</v>
      </c>
      <c r="R200" s="1">
        <f t="shared" si="110"/>
        <v>44367</v>
      </c>
      <c r="S200" s="73">
        <v>1183.7982943010752</v>
      </c>
      <c r="T200" s="77">
        <v>244.46142688172043</v>
      </c>
      <c r="V200" s="67">
        <v>78.142202580645161</v>
      </c>
      <c r="W200" s="7">
        <f t="shared" si="100"/>
        <v>1506.4019237634407</v>
      </c>
      <c r="X200" s="17">
        <f t="shared" si="105"/>
        <v>1</v>
      </c>
      <c r="Y200" s="17"/>
      <c r="Z200" s="1">
        <f t="shared" si="111"/>
        <v>44732</v>
      </c>
      <c r="AA200" s="116">
        <v>1385.5948460215054</v>
      </c>
      <c r="AB200" s="116">
        <v>263.45300559139787</v>
      </c>
      <c r="AC200" s="101"/>
      <c r="AD200" s="116">
        <v>85.019742580645158</v>
      </c>
      <c r="AE200" s="101">
        <f t="shared" si="101"/>
        <v>1734.0675941935485</v>
      </c>
      <c r="AF200" s="17">
        <f t="shared" si="106"/>
        <v>1</v>
      </c>
      <c r="AH200" s="1">
        <f t="shared" si="112"/>
        <v>45097</v>
      </c>
      <c r="AI200" s="120">
        <v>1329.5015709677418</v>
      </c>
      <c r="AJ200" s="120">
        <v>292.07726236559142</v>
      </c>
      <c r="AK200" s="44"/>
      <c r="AL200" s="120">
        <v>91.867339139784946</v>
      </c>
      <c r="AM200" s="44">
        <f t="shared" si="102"/>
        <v>1713.4461724731182</v>
      </c>
      <c r="AN200" s="17">
        <f t="shared" si="107"/>
        <v>1</v>
      </c>
      <c r="AO200" s="17"/>
      <c r="AP200" s="1">
        <f t="shared" si="113"/>
        <v>45462</v>
      </c>
      <c r="AQ200" s="120">
        <v>1665.8340000000001</v>
      </c>
      <c r="AR200" s="120">
        <v>358.97551273118279</v>
      </c>
      <c r="AS200" s="44"/>
      <c r="AT200" s="120">
        <v>102.79192193548387</v>
      </c>
      <c r="AU200" s="44">
        <f t="shared" si="103"/>
        <v>2127.6014346666666</v>
      </c>
      <c r="AV200" s="17">
        <f t="shared" si="108"/>
        <v>1</v>
      </c>
      <c r="AW200" s="17"/>
      <c r="AX200" s="1">
        <f t="shared" si="114"/>
        <v>45828</v>
      </c>
      <c r="AY200" s="120">
        <v>1305.787</v>
      </c>
      <c r="AZ200" s="120">
        <v>277.78021850537635</v>
      </c>
      <c r="BA200" s="44"/>
      <c r="BB200" s="120">
        <v>76.032998279569895</v>
      </c>
      <c r="BC200" s="44">
        <f t="shared" si="104"/>
        <v>1659.6002167849463</v>
      </c>
      <c r="BD200" s="17">
        <f t="shared" si="109"/>
        <v>1</v>
      </c>
    </row>
    <row r="201" spans="1:56" x14ac:dyDescent="0.3">
      <c r="A201" s="17"/>
      <c r="B201" s="1">
        <v>43637</v>
      </c>
      <c r="C201" s="36">
        <v>1244.82</v>
      </c>
      <c r="D201" s="36">
        <v>215</v>
      </c>
      <c r="F201" s="36">
        <v>74</v>
      </c>
      <c r="G201" s="7">
        <f t="shared" si="115"/>
        <v>1533.82</v>
      </c>
      <c r="H201" s="17">
        <f t="shared" si="96"/>
        <v>0</v>
      </c>
      <c r="J201" s="1">
        <v>44002</v>
      </c>
      <c r="K201" s="46">
        <v>1148.347</v>
      </c>
      <c r="L201" s="46">
        <v>241.67400000000001</v>
      </c>
      <c r="M201" s="101"/>
      <c r="N201" s="46">
        <v>78.421999999999997</v>
      </c>
      <c r="O201" s="7">
        <f t="shared" si="99"/>
        <v>1468.443</v>
      </c>
      <c r="P201" s="17">
        <f t="shared" si="97"/>
        <v>0</v>
      </c>
      <c r="R201" s="1">
        <f t="shared" si="110"/>
        <v>44368</v>
      </c>
      <c r="S201" s="72">
        <v>1180.4040575268816</v>
      </c>
      <c r="T201" s="76">
        <v>235.19211537634408</v>
      </c>
      <c r="V201" s="66">
        <v>76.544315053763441</v>
      </c>
      <c r="W201" s="7">
        <f t="shared" si="100"/>
        <v>1492.1404879569891</v>
      </c>
      <c r="X201" s="17">
        <f t="shared" si="105"/>
        <v>1</v>
      </c>
      <c r="Y201" s="17"/>
      <c r="Z201" s="1">
        <f t="shared" si="111"/>
        <v>44733</v>
      </c>
      <c r="AA201" s="115">
        <v>1299.3361920430107</v>
      </c>
      <c r="AB201" s="115">
        <v>265.32542247311829</v>
      </c>
      <c r="AC201" s="101"/>
      <c r="AD201" s="115">
        <v>84.583727419354844</v>
      </c>
      <c r="AE201" s="101">
        <f t="shared" si="101"/>
        <v>1649.2453419354838</v>
      </c>
      <c r="AF201" s="17">
        <f t="shared" si="106"/>
        <v>1</v>
      </c>
      <c r="AH201" s="1">
        <f t="shared" si="112"/>
        <v>45098</v>
      </c>
      <c r="AI201" s="119">
        <v>1297.6919477419356</v>
      </c>
      <c r="AJ201" s="119">
        <v>289.37998913978493</v>
      </c>
      <c r="AK201" s="44"/>
      <c r="AL201" s="119">
        <v>86.333005161290316</v>
      </c>
      <c r="AM201" s="44">
        <f t="shared" si="102"/>
        <v>1673.4049420430106</v>
      </c>
      <c r="AN201" s="17">
        <f t="shared" si="107"/>
        <v>1</v>
      </c>
      <c r="AO201" s="17"/>
      <c r="AP201" s="1">
        <f t="shared" si="113"/>
        <v>45463</v>
      </c>
      <c r="AQ201" s="119">
        <v>1641.356</v>
      </c>
      <c r="AR201" s="119">
        <v>375.59916516129033</v>
      </c>
      <c r="AS201" s="44"/>
      <c r="AT201" s="119">
        <v>91.873025913978495</v>
      </c>
      <c r="AU201" s="44">
        <f t="shared" si="103"/>
        <v>2108.8281910752689</v>
      </c>
      <c r="AV201" s="17">
        <f t="shared" si="108"/>
        <v>1</v>
      </c>
      <c r="AW201" s="17"/>
      <c r="AX201" s="1">
        <f t="shared" si="114"/>
        <v>45829</v>
      </c>
      <c r="AY201" s="119">
        <v>1316.0719999999999</v>
      </c>
      <c r="AZ201" s="119">
        <v>275.96120598279572</v>
      </c>
      <c r="BA201" s="44"/>
      <c r="BB201" s="119">
        <v>73.954393655913975</v>
      </c>
      <c r="BC201" s="44">
        <f t="shared" si="104"/>
        <v>1665.9875996387095</v>
      </c>
      <c r="BD201" s="17">
        <f t="shared" si="109"/>
        <v>1</v>
      </c>
    </row>
    <row r="202" spans="1:56" x14ac:dyDescent="0.3">
      <c r="A202" s="17"/>
      <c r="B202" s="1">
        <v>43638</v>
      </c>
      <c r="C202" s="36">
        <v>1196.83</v>
      </c>
      <c r="D202" s="36">
        <v>215</v>
      </c>
      <c r="F202" s="36">
        <v>71</v>
      </c>
      <c r="G202" s="7">
        <f t="shared" si="115"/>
        <v>1482.83</v>
      </c>
      <c r="H202" s="17">
        <f t="shared" si="96"/>
        <v>0</v>
      </c>
      <c r="J202" s="1">
        <v>44003</v>
      </c>
      <c r="K202" s="46">
        <v>1095.9490000000001</v>
      </c>
      <c r="L202" s="46">
        <v>210.036</v>
      </c>
      <c r="M202" s="101"/>
      <c r="N202" s="46">
        <v>73.882000000000005</v>
      </c>
      <c r="O202" s="7">
        <f t="shared" si="99"/>
        <v>1379.8670000000002</v>
      </c>
      <c r="P202" s="17">
        <f t="shared" si="97"/>
        <v>0</v>
      </c>
      <c r="R202" s="1">
        <f t="shared" si="110"/>
        <v>44369</v>
      </c>
      <c r="S202" s="73">
        <v>1332.4172287096774</v>
      </c>
      <c r="T202" s="77">
        <v>265.80983483870966</v>
      </c>
      <c r="V202" s="67">
        <v>85.035452688172043</v>
      </c>
      <c r="W202" s="7">
        <f t="shared" si="100"/>
        <v>1683.2625162365589</v>
      </c>
      <c r="X202" s="17">
        <f t="shared" si="105"/>
        <v>1</v>
      </c>
      <c r="Y202" s="17"/>
      <c r="Z202" s="1">
        <f t="shared" si="111"/>
        <v>44734</v>
      </c>
      <c r="AA202" s="116">
        <v>1351.1533561290323</v>
      </c>
      <c r="AB202" s="116">
        <v>267.22384548387095</v>
      </c>
      <c r="AC202" s="101"/>
      <c r="AD202" s="116">
        <v>85.100089354838715</v>
      </c>
      <c r="AE202" s="101">
        <f t="shared" si="101"/>
        <v>1703.477290967742</v>
      </c>
      <c r="AF202" s="17">
        <f t="shared" si="106"/>
        <v>1</v>
      </c>
      <c r="AH202" s="1">
        <f t="shared" si="112"/>
        <v>45099</v>
      </c>
      <c r="AI202" s="120">
        <v>1313.1124683870967</v>
      </c>
      <c r="AJ202" s="120">
        <v>268.52432967741936</v>
      </c>
      <c r="AK202" s="44"/>
      <c r="AL202" s="120">
        <v>85.145603440860214</v>
      </c>
      <c r="AM202" s="44">
        <f t="shared" si="102"/>
        <v>1666.7824015053761</v>
      </c>
      <c r="AN202" s="17">
        <f t="shared" si="107"/>
        <v>1</v>
      </c>
      <c r="AO202" s="17"/>
      <c r="AP202" s="1">
        <f t="shared" si="113"/>
        <v>45464</v>
      </c>
      <c r="AQ202" s="120">
        <v>1724.4179999999999</v>
      </c>
      <c r="AR202" s="120">
        <v>385.17669830645161</v>
      </c>
      <c r="AS202" s="44"/>
      <c r="AT202" s="120">
        <v>93.876969569892466</v>
      </c>
      <c r="AU202" s="44">
        <f t="shared" si="103"/>
        <v>2203.4716678763439</v>
      </c>
      <c r="AV202" s="17">
        <f t="shared" si="108"/>
        <v>1</v>
      </c>
      <c r="AW202" s="17"/>
      <c r="AX202" s="1">
        <f t="shared" si="114"/>
        <v>45830</v>
      </c>
      <c r="AY202" s="120">
        <v>1329.4290000000001</v>
      </c>
      <c r="AZ202" s="120">
        <v>285.73643004301073</v>
      </c>
      <c r="BA202" s="44"/>
      <c r="BB202" s="120">
        <v>80.202110000000005</v>
      </c>
      <c r="BC202" s="44">
        <f t="shared" si="104"/>
        <v>1695.3675400430109</v>
      </c>
      <c r="BD202" s="17">
        <f t="shared" si="109"/>
        <v>1</v>
      </c>
    </row>
    <row r="203" spans="1:56" x14ac:dyDescent="0.3">
      <c r="A203" s="17"/>
      <c r="B203" s="1">
        <v>43639</v>
      </c>
      <c r="C203" s="36">
        <v>1205.6400000000001</v>
      </c>
      <c r="D203" s="36">
        <v>216</v>
      </c>
      <c r="F203" s="36">
        <v>66</v>
      </c>
      <c r="G203" s="7">
        <f t="shared" si="115"/>
        <v>1487.64</v>
      </c>
      <c r="H203" s="17">
        <f t="shared" si="96"/>
        <v>0</v>
      </c>
      <c r="J203" s="1">
        <v>44004</v>
      </c>
      <c r="K203" s="46">
        <v>1185.0740000000001</v>
      </c>
      <c r="L203" s="46">
        <v>249.00800000000001</v>
      </c>
      <c r="M203" s="101"/>
      <c r="N203" s="46">
        <v>75.650999999999996</v>
      </c>
      <c r="O203" s="7">
        <f t="shared" si="99"/>
        <v>1509.7330000000002</v>
      </c>
      <c r="P203" s="17">
        <f t="shared" si="97"/>
        <v>0</v>
      </c>
      <c r="R203" s="1">
        <f t="shared" si="110"/>
        <v>44370</v>
      </c>
      <c r="S203" s="72">
        <v>1287.5553931182797</v>
      </c>
      <c r="T203" s="76">
        <v>260.77360397849463</v>
      </c>
      <c r="V203" s="66">
        <v>85.078609677419351</v>
      </c>
      <c r="W203" s="7">
        <f t="shared" si="100"/>
        <v>1633.4076067741937</v>
      </c>
      <c r="X203" s="17">
        <f t="shared" si="105"/>
        <v>1</v>
      </c>
      <c r="Y203" s="17"/>
      <c r="Z203" s="1">
        <f t="shared" si="111"/>
        <v>44735</v>
      </c>
      <c r="AA203" s="115">
        <v>1317.425977204301</v>
      </c>
      <c r="AB203" s="115">
        <v>260.44997569892473</v>
      </c>
      <c r="AC203" s="101"/>
      <c r="AD203" s="115">
        <v>84.24519967741935</v>
      </c>
      <c r="AE203" s="101">
        <f t="shared" si="101"/>
        <v>1662.1211525806452</v>
      </c>
      <c r="AF203" s="17">
        <f t="shared" si="106"/>
        <v>1</v>
      </c>
      <c r="AH203" s="1">
        <f t="shared" si="112"/>
        <v>45100</v>
      </c>
      <c r="AI203" s="119">
        <v>1431.5866258064516</v>
      </c>
      <c r="AJ203" s="119">
        <v>270.61600311827959</v>
      </c>
      <c r="AK203" s="44"/>
      <c r="AL203" s="119">
        <v>87.342405161290316</v>
      </c>
      <c r="AM203" s="44">
        <f t="shared" si="102"/>
        <v>1789.5450340860216</v>
      </c>
      <c r="AN203" s="17">
        <f t="shared" si="107"/>
        <v>1</v>
      </c>
      <c r="AO203" s="17"/>
      <c r="AP203" s="1">
        <f t="shared" si="113"/>
        <v>45465</v>
      </c>
      <c r="AQ203" s="119">
        <v>1687.268</v>
      </c>
      <c r="AR203" s="119">
        <v>373.64395849569894</v>
      </c>
      <c r="AS203" s="44"/>
      <c r="AT203" s="119">
        <v>96.445739677419354</v>
      </c>
      <c r="AU203" s="44">
        <f t="shared" si="103"/>
        <v>2157.357698173118</v>
      </c>
      <c r="AV203" s="17">
        <f t="shared" si="108"/>
        <v>1</v>
      </c>
      <c r="AW203" s="17"/>
      <c r="AX203" s="1">
        <f t="shared" si="114"/>
        <v>45831</v>
      </c>
      <c r="AY203" s="119">
        <v>1334.865</v>
      </c>
      <c r="AZ203" s="119">
        <v>280.19926786021506</v>
      </c>
      <c r="BA203" s="44"/>
      <c r="BB203" s="119">
        <v>85.688068064516131</v>
      </c>
      <c r="BC203" s="44">
        <f t="shared" si="104"/>
        <v>1700.7523359247311</v>
      </c>
      <c r="BD203" s="17">
        <f t="shared" si="109"/>
        <v>1</v>
      </c>
    </row>
    <row r="204" spans="1:56" x14ac:dyDescent="0.3">
      <c r="A204" s="17"/>
      <c r="B204" s="1">
        <v>43640</v>
      </c>
      <c r="C204" s="36">
        <v>1373.61</v>
      </c>
      <c r="D204" s="36">
        <v>228</v>
      </c>
      <c r="F204" s="36">
        <v>71</v>
      </c>
      <c r="G204" s="7">
        <f t="shared" si="115"/>
        <v>1672.61</v>
      </c>
      <c r="H204" s="17">
        <f t="shared" si="96"/>
        <v>0</v>
      </c>
      <c r="J204" s="1">
        <v>44005</v>
      </c>
      <c r="K204" s="46">
        <v>1223.761</v>
      </c>
      <c r="L204" s="46">
        <v>257.76100000000002</v>
      </c>
      <c r="M204" s="101"/>
      <c r="N204" s="46">
        <v>75.989000000000004</v>
      </c>
      <c r="O204" s="7">
        <f t="shared" si="99"/>
        <v>1557.511</v>
      </c>
      <c r="P204" s="17">
        <f t="shared" si="97"/>
        <v>0</v>
      </c>
      <c r="R204" s="1">
        <f t="shared" si="110"/>
        <v>44371</v>
      </c>
      <c r="S204" s="73">
        <v>1299.5836037634408</v>
      </c>
      <c r="T204" s="77">
        <v>267.05109741935485</v>
      </c>
      <c r="V204" s="67">
        <v>86.488764301075264</v>
      </c>
      <c r="W204" s="7">
        <f t="shared" si="100"/>
        <v>1653.1234654838709</v>
      </c>
      <c r="X204" s="17">
        <f t="shared" si="105"/>
        <v>1</v>
      </c>
      <c r="Y204" s="17"/>
      <c r="Z204" s="1">
        <f t="shared" si="111"/>
        <v>44736</v>
      </c>
      <c r="AA204" s="116">
        <v>1342.6189092473119</v>
      </c>
      <c r="AB204" s="116">
        <v>257.3735446236559</v>
      </c>
      <c r="AC204" s="101"/>
      <c r="AD204" s="116">
        <v>80.780646774193542</v>
      </c>
      <c r="AE204" s="101">
        <f t="shared" si="101"/>
        <v>1680.7731006451613</v>
      </c>
      <c r="AF204" s="17">
        <f t="shared" si="106"/>
        <v>1</v>
      </c>
      <c r="AH204" s="1">
        <f t="shared" si="112"/>
        <v>45101</v>
      </c>
      <c r="AI204" s="120">
        <v>1393.0153587096775</v>
      </c>
      <c r="AJ204" s="120">
        <v>270.19555010752686</v>
      </c>
      <c r="AK204" s="44"/>
      <c r="AL204" s="120">
        <v>87.474821075268821</v>
      </c>
      <c r="AM204" s="44">
        <f t="shared" si="102"/>
        <v>1750.6857298924731</v>
      </c>
      <c r="AN204" s="17">
        <f t="shared" si="107"/>
        <v>1</v>
      </c>
      <c r="AO204" s="17"/>
      <c r="AP204" s="1">
        <f t="shared" si="113"/>
        <v>45466</v>
      </c>
      <c r="AQ204" s="120">
        <v>1533.4559999999999</v>
      </c>
      <c r="AR204" s="120">
        <v>332.20826931182796</v>
      </c>
      <c r="AS204" s="44"/>
      <c r="AT204" s="120">
        <v>91.01171967741935</v>
      </c>
      <c r="AU204" s="44">
        <f t="shared" si="103"/>
        <v>1956.6759889892471</v>
      </c>
      <c r="AV204" s="17">
        <f t="shared" si="108"/>
        <v>1</v>
      </c>
      <c r="AW204" s="17"/>
      <c r="AX204" s="1">
        <f t="shared" si="114"/>
        <v>45832</v>
      </c>
      <c r="AY204" s="120">
        <v>1486.8510000000001</v>
      </c>
      <c r="AZ204" s="120">
        <v>313.36417189677417</v>
      </c>
      <c r="BA204" s="44"/>
      <c r="BB204" s="120">
        <v>90.520472150537628</v>
      </c>
      <c r="BC204" s="44">
        <f t="shared" si="104"/>
        <v>1890.735644047312</v>
      </c>
      <c r="BD204" s="17">
        <f t="shared" si="109"/>
        <v>1</v>
      </c>
    </row>
    <row r="205" spans="1:56" x14ac:dyDescent="0.3">
      <c r="A205" s="17"/>
      <c r="B205" s="1">
        <v>43641</v>
      </c>
      <c r="C205" s="36">
        <v>1391.73</v>
      </c>
      <c r="D205" s="36">
        <v>233</v>
      </c>
      <c r="F205" s="36">
        <v>76</v>
      </c>
      <c r="G205" s="7">
        <f t="shared" si="115"/>
        <v>1700.73</v>
      </c>
      <c r="H205" s="17">
        <f t="shared" si="96"/>
        <v>0</v>
      </c>
      <c r="J205" s="1">
        <v>44006</v>
      </c>
      <c r="K205" s="46">
        <v>1267.8340000000001</v>
      </c>
      <c r="L205" s="46">
        <v>253.01900000000001</v>
      </c>
      <c r="M205" s="101"/>
      <c r="N205" s="46">
        <v>81.233999999999995</v>
      </c>
      <c r="O205" s="7">
        <f t="shared" si="99"/>
        <v>1602.087</v>
      </c>
      <c r="P205" s="17">
        <f t="shared" si="97"/>
        <v>0</v>
      </c>
      <c r="R205" s="1">
        <f t="shared" si="110"/>
        <v>44372</v>
      </c>
      <c r="S205" s="72">
        <v>1277.7178768817205</v>
      </c>
      <c r="T205" s="76">
        <v>260.7396223655914</v>
      </c>
      <c r="V205" s="66">
        <v>87.162013333333334</v>
      </c>
      <c r="W205" s="7">
        <f t="shared" si="100"/>
        <v>1625.6195125806453</v>
      </c>
      <c r="X205" s="17">
        <f t="shared" si="105"/>
        <v>1</v>
      </c>
      <c r="Y205" s="17"/>
      <c r="Z205" s="1">
        <f t="shared" si="111"/>
        <v>44737</v>
      </c>
      <c r="AA205" s="115">
        <v>1246.8182552688172</v>
      </c>
      <c r="AB205" s="115">
        <v>253.4023923655914</v>
      </c>
      <c r="AC205" s="101"/>
      <c r="AD205" s="115">
        <v>78.399168387096779</v>
      </c>
      <c r="AE205" s="101">
        <f t="shared" si="101"/>
        <v>1578.6198160215054</v>
      </c>
      <c r="AF205" s="17">
        <f t="shared" si="106"/>
        <v>1</v>
      </c>
      <c r="AH205" s="1">
        <f t="shared" si="112"/>
        <v>45102</v>
      </c>
      <c r="AI205" s="119">
        <v>1336.7198612903226</v>
      </c>
      <c r="AJ205" s="119">
        <v>268.82695021505378</v>
      </c>
      <c r="AK205" s="44"/>
      <c r="AL205" s="119">
        <v>79.863076774193544</v>
      </c>
      <c r="AM205" s="44">
        <f t="shared" si="102"/>
        <v>1685.4098882795699</v>
      </c>
      <c r="AN205" s="17">
        <f t="shared" si="107"/>
        <v>1</v>
      </c>
      <c r="AO205" s="17"/>
      <c r="AP205" s="1">
        <f t="shared" si="113"/>
        <v>45467</v>
      </c>
      <c r="AQ205" s="119">
        <v>1649.739</v>
      </c>
      <c r="AR205" s="119">
        <v>350.67860689032256</v>
      </c>
      <c r="AS205" s="44"/>
      <c r="AT205" s="119">
        <v>96.438165376344088</v>
      </c>
      <c r="AU205" s="44">
        <f t="shared" si="103"/>
        <v>2096.8557722666665</v>
      </c>
      <c r="AV205" s="17">
        <f t="shared" si="108"/>
        <v>1</v>
      </c>
      <c r="AW205" s="17"/>
      <c r="AX205" s="1">
        <f t="shared" si="114"/>
        <v>45833</v>
      </c>
      <c r="AY205" s="119">
        <v>1547.21</v>
      </c>
      <c r="AZ205" s="119">
        <v>334.99859264946235</v>
      </c>
      <c r="BA205" s="44"/>
      <c r="BB205" s="119">
        <v>95.284707526881718</v>
      </c>
      <c r="BC205" s="44">
        <f t="shared" si="104"/>
        <v>1977.4933001763441</v>
      </c>
      <c r="BD205" s="17">
        <f t="shared" si="109"/>
        <v>1</v>
      </c>
    </row>
    <row r="206" spans="1:56" x14ac:dyDescent="0.3">
      <c r="A206" s="17"/>
      <c r="B206" s="1">
        <v>43642</v>
      </c>
      <c r="C206" s="36">
        <v>1380.96</v>
      </c>
      <c r="D206" s="36">
        <v>236</v>
      </c>
      <c r="F206" s="36">
        <v>75</v>
      </c>
      <c r="G206" s="7">
        <f t="shared" si="115"/>
        <v>1691.96</v>
      </c>
      <c r="H206" s="17">
        <f t="shared" si="96"/>
        <v>0</v>
      </c>
      <c r="J206" s="1">
        <v>44007</v>
      </c>
      <c r="K206" s="46">
        <v>1271.751</v>
      </c>
      <c r="L206" s="46">
        <v>267.92</v>
      </c>
      <c r="M206" s="101"/>
      <c r="N206" s="46">
        <v>81.522000000000006</v>
      </c>
      <c r="O206" s="7">
        <f t="shared" si="99"/>
        <v>1621.193</v>
      </c>
      <c r="P206" s="17">
        <f t="shared" si="97"/>
        <v>0</v>
      </c>
      <c r="R206" s="1">
        <f t="shared" si="110"/>
        <v>44373</v>
      </c>
      <c r="S206" s="73">
        <v>1239.7053102150537</v>
      </c>
      <c r="T206" s="77">
        <v>245.81150064516129</v>
      </c>
      <c r="V206" s="67">
        <v>81.800836344086022</v>
      </c>
      <c r="W206" s="7">
        <f t="shared" si="100"/>
        <v>1567.317647204301</v>
      </c>
      <c r="X206" s="17">
        <f t="shared" si="105"/>
        <v>1</v>
      </c>
      <c r="Y206" s="17"/>
      <c r="Z206" s="1">
        <f t="shared" si="111"/>
        <v>44738</v>
      </c>
      <c r="AA206" s="116">
        <v>1083.082665376344</v>
      </c>
      <c r="AB206" s="116">
        <v>210.5948465591398</v>
      </c>
      <c r="AC206" s="101"/>
      <c r="AD206" s="116">
        <v>73.645853225806448</v>
      </c>
      <c r="AE206" s="101">
        <f t="shared" si="101"/>
        <v>1367.3233651612902</v>
      </c>
      <c r="AF206" s="17">
        <f t="shared" si="106"/>
        <v>0</v>
      </c>
      <c r="AH206" s="1">
        <f t="shared" si="112"/>
        <v>45103</v>
      </c>
      <c r="AI206" s="120">
        <v>1363.5770206451614</v>
      </c>
      <c r="AJ206" s="120">
        <v>275.91006387096775</v>
      </c>
      <c r="AK206" s="44"/>
      <c r="AL206" s="120">
        <v>83.423111182795694</v>
      </c>
      <c r="AM206" s="44">
        <f t="shared" si="102"/>
        <v>1722.9101956989248</v>
      </c>
      <c r="AN206" s="17">
        <f t="shared" si="107"/>
        <v>1</v>
      </c>
      <c r="AO206" s="17"/>
      <c r="AP206" s="1">
        <f t="shared" si="113"/>
        <v>45468</v>
      </c>
      <c r="AQ206" s="120">
        <v>1554.3620000000001</v>
      </c>
      <c r="AR206" s="120">
        <v>319.62815772903224</v>
      </c>
      <c r="AS206" s="44"/>
      <c r="AT206" s="120">
        <v>100.72738387096774</v>
      </c>
      <c r="AU206" s="44">
        <f t="shared" si="103"/>
        <v>1974.7175416</v>
      </c>
      <c r="AV206" s="17">
        <f t="shared" si="108"/>
        <v>1</v>
      </c>
      <c r="AW206" s="17"/>
      <c r="AX206" s="1">
        <f t="shared" si="114"/>
        <v>45834</v>
      </c>
      <c r="AY206" s="120">
        <v>1529.5309999999999</v>
      </c>
      <c r="AZ206" s="120">
        <v>340.44124718279568</v>
      </c>
      <c r="BA206" s="44"/>
      <c r="BB206" s="120">
        <v>97.586213010752687</v>
      </c>
      <c r="BC206" s="44">
        <f t="shared" si="104"/>
        <v>1967.5584601935484</v>
      </c>
      <c r="BD206" s="17">
        <f t="shared" si="109"/>
        <v>1</v>
      </c>
    </row>
    <row r="207" spans="1:56" x14ac:dyDescent="0.3">
      <c r="A207" s="17"/>
      <c r="B207" s="1">
        <v>43643</v>
      </c>
      <c r="C207" s="36">
        <v>1451.96</v>
      </c>
      <c r="D207" s="36">
        <v>235</v>
      </c>
      <c r="F207" s="36">
        <v>80</v>
      </c>
      <c r="G207" s="7">
        <f t="shared" si="115"/>
        <v>1766.96</v>
      </c>
      <c r="H207" s="17">
        <f t="shared" si="96"/>
        <v>1</v>
      </c>
      <c r="J207" s="1">
        <v>44008</v>
      </c>
      <c r="K207" s="46">
        <v>1280.566</v>
      </c>
      <c r="L207" s="46">
        <v>272.75799999999998</v>
      </c>
      <c r="M207" s="101"/>
      <c r="N207" s="46">
        <v>81.260000000000005</v>
      </c>
      <c r="O207" s="7">
        <f t="shared" si="99"/>
        <v>1634.5840000000001</v>
      </c>
      <c r="P207" s="17">
        <f t="shared" si="97"/>
        <v>0</v>
      </c>
      <c r="R207" s="1">
        <f t="shared" si="110"/>
        <v>44374</v>
      </c>
      <c r="S207" s="72">
        <v>1099.760536451613</v>
      </c>
      <c r="T207" s="76">
        <v>221.63038397849462</v>
      </c>
      <c r="V207" s="66">
        <v>78.301883440860209</v>
      </c>
      <c r="W207" s="7">
        <f t="shared" si="100"/>
        <v>1399.6928038709677</v>
      </c>
      <c r="X207" s="17">
        <f t="shared" si="105"/>
        <v>0</v>
      </c>
      <c r="Y207" s="17"/>
      <c r="Z207" s="1">
        <f t="shared" si="111"/>
        <v>44739</v>
      </c>
      <c r="AA207" s="115">
        <v>1165.8856789247311</v>
      </c>
      <c r="AB207" s="115">
        <v>218.66517731182796</v>
      </c>
      <c r="AC207" s="101"/>
      <c r="AD207" s="115">
        <v>68.941817419354834</v>
      </c>
      <c r="AE207" s="101">
        <f t="shared" si="101"/>
        <v>1453.4926736559137</v>
      </c>
      <c r="AF207" s="17">
        <f t="shared" si="106"/>
        <v>0</v>
      </c>
      <c r="AH207" s="1">
        <f t="shared" si="112"/>
        <v>45104</v>
      </c>
      <c r="AI207" s="119">
        <v>1500.206458064516</v>
      </c>
      <c r="AJ207" s="119">
        <v>291.82507602150537</v>
      </c>
      <c r="AK207" s="44"/>
      <c r="AL207" s="119">
        <v>92.061621505376351</v>
      </c>
      <c r="AM207" s="44">
        <f t="shared" si="102"/>
        <v>1884.0931555913976</v>
      </c>
      <c r="AN207" s="17">
        <f t="shared" si="107"/>
        <v>1</v>
      </c>
      <c r="AO207" s="17"/>
      <c r="AP207" s="1">
        <f t="shared" si="113"/>
        <v>45469</v>
      </c>
      <c r="AQ207" s="119">
        <v>1505.9280000000001</v>
      </c>
      <c r="AR207" s="119">
        <v>326.79280204946235</v>
      </c>
      <c r="AS207" s="44"/>
      <c r="AT207" s="119">
        <v>94.571641182795702</v>
      </c>
      <c r="AU207" s="44">
        <f t="shared" si="103"/>
        <v>1927.2924432322582</v>
      </c>
      <c r="AV207" s="17">
        <f t="shared" si="108"/>
        <v>1</v>
      </c>
      <c r="AW207" s="17"/>
      <c r="AX207" s="1">
        <f t="shared" si="114"/>
        <v>45835</v>
      </c>
      <c r="AY207" s="119">
        <v>1505.31</v>
      </c>
      <c r="AZ207" s="119">
        <v>327.5517119516129</v>
      </c>
      <c r="BA207" s="44"/>
      <c r="BB207" s="119">
        <v>99.628028172043017</v>
      </c>
      <c r="BC207" s="44">
        <f t="shared" si="104"/>
        <v>1932.489740123656</v>
      </c>
      <c r="BD207" s="17">
        <f t="shared" si="109"/>
        <v>1</v>
      </c>
    </row>
    <row r="208" spans="1:56" x14ac:dyDescent="0.3">
      <c r="A208" s="17"/>
      <c r="B208" s="1">
        <v>43644</v>
      </c>
      <c r="C208" s="36">
        <v>1391.24</v>
      </c>
      <c r="D208" s="36">
        <v>229</v>
      </c>
      <c r="F208" s="36">
        <v>78</v>
      </c>
      <c r="G208" s="7">
        <f t="shared" si="115"/>
        <v>1698.24</v>
      </c>
      <c r="H208" s="17">
        <f t="shared" ref="H208:H271" si="116">IF(G208&gt;1758,1,0)</f>
        <v>0</v>
      </c>
      <c r="J208" s="1">
        <v>44009</v>
      </c>
      <c r="K208" s="46">
        <v>1259.509</v>
      </c>
      <c r="L208" s="46">
        <v>285.82600000000002</v>
      </c>
      <c r="M208" s="101"/>
      <c r="N208" s="46">
        <v>79.488</v>
      </c>
      <c r="O208" s="7">
        <f t="shared" si="99"/>
        <v>1624.8230000000001</v>
      </c>
      <c r="P208" s="17">
        <f t="shared" ref="P208:P271" si="117">IF(O208&gt;1758,1,0)</f>
        <v>0</v>
      </c>
      <c r="R208" s="1">
        <f t="shared" si="110"/>
        <v>44375</v>
      </c>
      <c r="S208" s="73">
        <v>1075.1229525806452</v>
      </c>
      <c r="T208" s="77">
        <v>207.16533677419355</v>
      </c>
      <c r="V208" s="67">
        <v>65.583518709677421</v>
      </c>
      <c r="W208" s="7">
        <f t="shared" si="100"/>
        <v>1347.8718080645162</v>
      </c>
      <c r="X208" s="17">
        <f t="shared" si="105"/>
        <v>0</v>
      </c>
      <c r="Y208" s="17"/>
      <c r="Z208" s="1">
        <f t="shared" si="111"/>
        <v>44740</v>
      </c>
      <c r="AA208" s="116">
        <v>1285.435652688172</v>
      </c>
      <c r="AB208" s="116">
        <v>262.06940344086024</v>
      </c>
      <c r="AC208" s="101"/>
      <c r="AD208" s="116">
        <v>75.538823225806453</v>
      </c>
      <c r="AE208" s="101">
        <f t="shared" si="101"/>
        <v>1623.0438793548387</v>
      </c>
      <c r="AF208" s="17">
        <f t="shared" si="106"/>
        <v>1</v>
      </c>
      <c r="AH208" s="1">
        <f t="shared" si="112"/>
        <v>45105</v>
      </c>
      <c r="AI208" s="120">
        <v>1524.5489903225807</v>
      </c>
      <c r="AJ208" s="120">
        <v>289.89865096774196</v>
      </c>
      <c r="AK208" s="44"/>
      <c r="AL208" s="120">
        <v>92.545699354838703</v>
      </c>
      <c r="AM208" s="44">
        <f t="shared" si="102"/>
        <v>1906.9933406451614</v>
      </c>
      <c r="AN208" s="17">
        <f t="shared" si="107"/>
        <v>1</v>
      </c>
      <c r="AO208" s="17"/>
      <c r="AP208" s="1">
        <f t="shared" si="113"/>
        <v>45470</v>
      </c>
      <c r="AQ208" s="120">
        <v>1533.7909999999999</v>
      </c>
      <c r="AR208" s="120">
        <v>332.99324262365593</v>
      </c>
      <c r="AS208" s="44"/>
      <c r="AT208" s="120">
        <v>95.384255483870973</v>
      </c>
      <c r="AU208" s="44">
        <f t="shared" si="103"/>
        <v>1962.1684981075268</v>
      </c>
      <c r="AV208" s="17">
        <f t="shared" si="108"/>
        <v>1</v>
      </c>
      <c r="AW208" s="17"/>
      <c r="AX208" s="1">
        <f t="shared" si="114"/>
        <v>45836</v>
      </c>
      <c r="AY208" s="120">
        <v>1484.8209999999999</v>
      </c>
      <c r="AZ208" s="120">
        <v>341.65153598494624</v>
      </c>
      <c r="BA208" s="44"/>
      <c r="BB208" s="120">
        <v>93.907266774193545</v>
      </c>
      <c r="BC208" s="44">
        <f t="shared" si="104"/>
        <v>1920.3798027591397</v>
      </c>
      <c r="BD208" s="17">
        <f t="shared" si="109"/>
        <v>1</v>
      </c>
    </row>
    <row r="209" spans="1:56" x14ac:dyDescent="0.3">
      <c r="A209" s="17"/>
      <c r="B209" s="1">
        <v>43645</v>
      </c>
      <c r="C209" s="36">
        <v>1290.8499999999999</v>
      </c>
      <c r="D209" s="36">
        <v>223</v>
      </c>
      <c r="F209" s="36">
        <v>70</v>
      </c>
      <c r="G209" s="7">
        <f t="shared" si="115"/>
        <v>1583.85</v>
      </c>
      <c r="H209" s="17">
        <f t="shared" si="116"/>
        <v>0</v>
      </c>
      <c r="J209" s="1">
        <v>44010</v>
      </c>
      <c r="K209" s="46">
        <v>1264.896</v>
      </c>
      <c r="L209" s="46">
        <v>299.39999999999998</v>
      </c>
      <c r="M209" s="101"/>
      <c r="N209" s="46">
        <v>72.994</v>
      </c>
      <c r="O209" s="7">
        <f t="shared" si="99"/>
        <v>1637.2899999999997</v>
      </c>
      <c r="P209" s="17">
        <f t="shared" si="117"/>
        <v>0</v>
      </c>
      <c r="R209" s="1">
        <f t="shared" si="110"/>
        <v>44376</v>
      </c>
      <c r="S209" s="72">
        <v>1194.3674159139784</v>
      </c>
      <c r="T209" s="76">
        <v>240.24671204301075</v>
      </c>
      <c r="V209" s="66">
        <v>74.529962580645162</v>
      </c>
      <c r="W209" s="7">
        <f t="shared" si="100"/>
        <v>1509.1440905376344</v>
      </c>
      <c r="X209" s="17">
        <f t="shared" si="105"/>
        <v>1</v>
      </c>
      <c r="Y209" s="17"/>
      <c r="Z209" s="1">
        <f t="shared" si="111"/>
        <v>44741</v>
      </c>
      <c r="AA209" s="115">
        <v>1359.6385539784947</v>
      </c>
      <c r="AB209" s="115">
        <v>267.14864967741937</v>
      </c>
      <c r="AC209" s="101"/>
      <c r="AD209" s="115">
        <v>79.407252580645164</v>
      </c>
      <c r="AE209" s="101">
        <f t="shared" si="101"/>
        <v>1706.1944562365593</v>
      </c>
      <c r="AF209" s="17">
        <f t="shared" si="106"/>
        <v>1</v>
      </c>
      <c r="AH209" s="1">
        <f t="shared" si="112"/>
        <v>45106</v>
      </c>
      <c r="AI209" s="119">
        <v>1468.9446058064516</v>
      </c>
      <c r="AJ209" s="119">
        <v>299.86056096774195</v>
      </c>
      <c r="AK209" s="44"/>
      <c r="AL209" s="119">
        <v>92.001925806451609</v>
      </c>
      <c r="AM209" s="44">
        <f t="shared" si="102"/>
        <v>1860.8070925806453</v>
      </c>
      <c r="AN209" s="17">
        <f t="shared" si="107"/>
        <v>1</v>
      </c>
      <c r="AO209" s="17"/>
      <c r="AP209" s="1">
        <f t="shared" si="113"/>
        <v>45471</v>
      </c>
      <c r="AQ209" s="119">
        <v>1537.191</v>
      </c>
      <c r="AR209" s="119">
        <v>315.01529641290324</v>
      </c>
      <c r="AS209" s="44"/>
      <c r="AT209" s="119">
        <v>97.005155913978498</v>
      </c>
      <c r="AU209" s="44">
        <f t="shared" si="103"/>
        <v>1949.2114523268817</v>
      </c>
      <c r="AV209" s="17">
        <f t="shared" si="108"/>
        <v>1</v>
      </c>
      <c r="AW209" s="17"/>
      <c r="AX209" s="1">
        <f t="shared" si="114"/>
        <v>45837</v>
      </c>
      <c r="AY209" s="119">
        <v>1497.068</v>
      </c>
      <c r="AZ209" s="119">
        <v>358.67455168387096</v>
      </c>
      <c r="BA209" s="44"/>
      <c r="BB209" s="119">
        <v>91.106939462365588</v>
      </c>
      <c r="BC209" s="44">
        <f t="shared" si="104"/>
        <v>1946.8494911462365</v>
      </c>
      <c r="BD209" s="17">
        <f t="shared" si="109"/>
        <v>1</v>
      </c>
    </row>
    <row r="210" spans="1:56" x14ac:dyDescent="0.3">
      <c r="A210" s="17"/>
      <c r="B210" s="1">
        <v>43646</v>
      </c>
      <c r="C210" s="36">
        <v>1323.66</v>
      </c>
      <c r="D210" s="36">
        <v>239</v>
      </c>
      <c r="F210" s="36">
        <v>65</v>
      </c>
      <c r="G210" s="7">
        <f t="shared" si="115"/>
        <v>1627.66</v>
      </c>
      <c r="H210" s="17">
        <f t="shared" si="116"/>
        <v>0</v>
      </c>
      <c r="J210" s="1">
        <v>44011</v>
      </c>
      <c r="K210" s="46">
        <v>1267.8340000000001</v>
      </c>
      <c r="L210" s="46">
        <v>281.11799999999999</v>
      </c>
      <c r="M210" s="101"/>
      <c r="N210" s="46">
        <v>74.775999999999996</v>
      </c>
      <c r="O210" s="7">
        <f t="shared" si="99"/>
        <v>1623.7280000000001</v>
      </c>
      <c r="P210" s="17">
        <f t="shared" si="117"/>
        <v>0</v>
      </c>
      <c r="R210" s="38">
        <f t="shared" si="110"/>
        <v>44377</v>
      </c>
      <c r="S210" s="73">
        <v>1195.5132541935484</v>
      </c>
      <c r="T210" s="77">
        <v>239.19610053763441</v>
      </c>
      <c r="V210" s="67">
        <v>76.953227526881719</v>
      </c>
      <c r="W210" s="7">
        <f t="shared" si="100"/>
        <v>1511.6625822580645</v>
      </c>
      <c r="X210" s="17">
        <f t="shared" si="105"/>
        <v>1</v>
      </c>
      <c r="Y210" s="17"/>
      <c r="Z210" s="38">
        <f t="shared" si="111"/>
        <v>44742</v>
      </c>
      <c r="AA210" s="116">
        <v>1343.5002617204302</v>
      </c>
      <c r="AB210" s="116">
        <v>266.28090548387098</v>
      </c>
      <c r="AC210" s="101"/>
      <c r="AD210" s="116">
        <v>80.742080322580648</v>
      </c>
      <c r="AE210" s="101">
        <f t="shared" si="101"/>
        <v>1690.523247526882</v>
      </c>
      <c r="AF210" s="17">
        <f t="shared" si="106"/>
        <v>1</v>
      </c>
      <c r="AH210" s="38">
        <f t="shared" si="112"/>
        <v>45107</v>
      </c>
      <c r="AI210" s="120">
        <v>1399.920344516129</v>
      </c>
      <c r="AJ210" s="120">
        <v>313.9334201075269</v>
      </c>
      <c r="AK210" s="44"/>
      <c r="AL210" s="120">
        <v>92.721530322580648</v>
      </c>
      <c r="AM210" s="44">
        <f t="shared" si="102"/>
        <v>1806.5752949462367</v>
      </c>
      <c r="AN210" s="17">
        <f t="shared" si="107"/>
        <v>1</v>
      </c>
      <c r="AO210" s="17"/>
      <c r="AP210" s="1">
        <f t="shared" si="113"/>
        <v>45472</v>
      </c>
      <c r="AQ210" s="120">
        <v>1522.8510000000001</v>
      </c>
      <c r="AR210" s="120">
        <v>323.69340968172042</v>
      </c>
      <c r="AS210" s="44"/>
      <c r="AT210" s="120">
        <v>88.397503763440866</v>
      </c>
      <c r="AU210" s="44">
        <f t="shared" si="103"/>
        <v>1934.9419134451614</v>
      </c>
      <c r="AV210" s="17">
        <f t="shared" si="108"/>
        <v>1</v>
      </c>
      <c r="AW210" s="17"/>
      <c r="AX210" s="38">
        <f t="shared" si="114"/>
        <v>45838</v>
      </c>
      <c r="AY210" s="120">
        <v>1418.691</v>
      </c>
      <c r="AZ210" s="120">
        <v>335.51052693548388</v>
      </c>
      <c r="BA210" s="44"/>
      <c r="BB210" s="120">
        <v>89.257727956989243</v>
      </c>
      <c r="BC210" s="44">
        <f t="shared" si="104"/>
        <v>1843.4592548924729</v>
      </c>
      <c r="BD210" s="17">
        <f t="shared" si="109"/>
        <v>1</v>
      </c>
    </row>
    <row r="211" spans="1:56" x14ac:dyDescent="0.3">
      <c r="A211" s="17"/>
      <c r="B211" s="1">
        <v>43647</v>
      </c>
      <c r="C211" s="7">
        <v>1325</v>
      </c>
      <c r="D211" s="7">
        <v>230</v>
      </c>
      <c r="E211" s="7"/>
      <c r="F211" s="4">
        <v>72</v>
      </c>
      <c r="G211" s="7">
        <f t="shared" ref="G211:G241" si="118">SUM(C211:F211)</f>
        <v>1627</v>
      </c>
      <c r="H211" s="17">
        <f t="shared" si="116"/>
        <v>0</v>
      </c>
      <c r="J211" s="1">
        <v>44012</v>
      </c>
      <c r="K211" s="101">
        <v>1337.3710000000001</v>
      </c>
      <c r="L211" s="101">
        <v>263.98</v>
      </c>
      <c r="M211" s="101"/>
      <c r="N211" s="101">
        <v>85.69</v>
      </c>
      <c r="O211" s="7">
        <f t="shared" si="99"/>
        <v>1687.0410000000002</v>
      </c>
      <c r="P211" s="17">
        <f t="shared" si="117"/>
        <v>0</v>
      </c>
      <c r="R211" s="1">
        <f t="shared" si="110"/>
        <v>44378</v>
      </c>
      <c r="S211" s="76">
        <v>1281.0211400000001</v>
      </c>
      <c r="T211" s="77">
        <v>256.7690939784946</v>
      </c>
      <c r="U211" s="7"/>
      <c r="V211" s="49">
        <v>82.309846881720432</v>
      </c>
      <c r="W211" s="7">
        <f t="shared" si="100"/>
        <v>1620.100080860215</v>
      </c>
      <c r="X211" s="17">
        <f t="shared" si="105"/>
        <v>1</v>
      </c>
      <c r="Y211" s="17"/>
      <c r="Z211" s="1">
        <f t="shared" si="111"/>
        <v>44743</v>
      </c>
      <c r="AA211" s="115">
        <v>1389.894502688172</v>
      </c>
      <c r="AB211" s="115">
        <v>276.07945956989249</v>
      </c>
      <c r="AC211" s="101"/>
      <c r="AD211" s="115">
        <v>85.304361290322575</v>
      </c>
      <c r="AE211" s="101">
        <f t="shared" si="101"/>
        <v>1751.2783235483871</v>
      </c>
      <c r="AF211" s="17">
        <f t="shared" si="106"/>
        <v>1</v>
      </c>
      <c r="AH211" s="1">
        <f t="shared" si="112"/>
        <v>45108</v>
      </c>
      <c r="AI211" s="119">
        <v>1327.3557116129032</v>
      </c>
      <c r="AJ211" s="119">
        <v>307.9464030107527</v>
      </c>
      <c r="AK211" s="44"/>
      <c r="AL211" s="119">
        <v>89.91831333333333</v>
      </c>
      <c r="AM211" s="44">
        <f t="shared" si="102"/>
        <v>1725.2204279569892</v>
      </c>
      <c r="AN211" s="17">
        <f t="shared" si="107"/>
        <v>1</v>
      </c>
      <c r="AO211" s="17"/>
      <c r="AP211" s="38">
        <f t="shared" si="113"/>
        <v>45473</v>
      </c>
      <c r="AQ211" s="119">
        <v>1408.1579999999999</v>
      </c>
      <c r="AR211" s="119">
        <v>309.0650245698925</v>
      </c>
      <c r="AS211" s="44"/>
      <c r="AT211" s="119">
        <v>85.151374731182798</v>
      </c>
      <c r="AU211" s="44">
        <f t="shared" si="103"/>
        <v>1802.3743993010753</v>
      </c>
      <c r="AV211" s="17">
        <f t="shared" si="108"/>
        <v>1</v>
      </c>
      <c r="AW211" s="17"/>
      <c r="AX211" s="1">
        <f t="shared" si="114"/>
        <v>45839</v>
      </c>
      <c r="AY211" s="119">
        <v>1361.54</v>
      </c>
      <c r="AZ211" s="119">
        <v>324.2902925139785</v>
      </c>
      <c r="BA211" s="44"/>
      <c r="BB211" s="119">
        <v>92.207043870967738</v>
      </c>
      <c r="BC211" s="44">
        <f t="shared" si="104"/>
        <v>1778.0373363849462</v>
      </c>
      <c r="BD211" s="17">
        <f t="shared" si="109"/>
        <v>1</v>
      </c>
    </row>
    <row r="212" spans="1:56" s="58" customFormat="1" x14ac:dyDescent="0.3">
      <c r="A212" s="68"/>
      <c r="B212" s="69">
        <v>43648</v>
      </c>
      <c r="C212" s="74">
        <v>1355</v>
      </c>
      <c r="D212" s="74">
        <v>231</v>
      </c>
      <c r="E212" s="74"/>
      <c r="F212" s="75">
        <v>75</v>
      </c>
      <c r="G212" s="74">
        <f t="shared" si="118"/>
        <v>1661</v>
      </c>
      <c r="H212" s="68">
        <f t="shared" si="116"/>
        <v>0</v>
      </c>
      <c r="J212" s="69">
        <v>44013</v>
      </c>
      <c r="K212" s="103">
        <v>1293.298</v>
      </c>
      <c r="L212" s="103">
        <v>309.71199999999999</v>
      </c>
      <c r="M212" s="103"/>
      <c r="N212" s="103">
        <v>87.222999999999999</v>
      </c>
      <c r="O212" s="74">
        <f t="shared" si="99"/>
        <v>1690.2329999999999</v>
      </c>
      <c r="P212" s="68">
        <f t="shared" si="117"/>
        <v>0</v>
      </c>
      <c r="R212" s="69">
        <f t="shared" si="110"/>
        <v>44379</v>
      </c>
      <c r="S212" s="78">
        <v>1258.1072978494624</v>
      </c>
      <c r="T212" s="77">
        <v>248.5349152688172</v>
      </c>
      <c r="U212" s="74"/>
      <c r="V212" s="83">
        <v>84.929405161290319</v>
      </c>
      <c r="W212" s="74">
        <f t="shared" si="100"/>
        <v>1591.57161827957</v>
      </c>
      <c r="X212" s="17">
        <f t="shared" si="105"/>
        <v>1</v>
      </c>
      <c r="Y212" s="17"/>
      <c r="Z212" s="69">
        <f t="shared" si="111"/>
        <v>44744</v>
      </c>
      <c r="AA212" s="116">
        <v>1369.3518548387096</v>
      </c>
      <c r="AB212" s="116">
        <v>277.93615774193546</v>
      </c>
      <c r="AC212" s="101"/>
      <c r="AD212" s="116">
        <v>87.297816774193549</v>
      </c>
      <c r="AE212" s="101">
        <f t="shared" si="101"/>
        <v>1734.5858293548386</v>
      </c>
      <c r="AF212" s="17">
        <f t="shared" si="106"/>
        <v>1</v>
      </c>
      <c r="AH212" s="69">
        <f t="shared" si="112"/>
        <v>45109</v>
      </c>
      <c r="AI212" s="120">
        <v>1258.9151703225807</v>
      </c>
      <c r="AJ212" s="120">
        <v>272.05294322580647</v>
      </c>
      <c r="AK212" s="44"/>
      <c r="AL212" s="120">
        <v>82.315906129032257</v>
      </c>
      <c r="AM212" s="44">
        <f t="shared" si="102"/>
        <v>1613.2840196774196</v>
      </c>
      <c r="AN212" s="17">
        <f t="shared" si="107"/>
        <v>1</v>
      </c>
      <c r="AO212" s="17"/>
      <c r="AP212" s="69">
        <f t="shared" si="113"/>
        <v>45474</v>
      </c>
      <c r="AQ212" s="120">
        <v>1490.077</v>
      </c>
      <c r="AR212" s="120">
        <v>312.70092537849462</v>
      </c>
      <c r="AS212" s="44"/>
      <c r="AT212" s="120">
        <v>82.649496774193551</v>
      </c>
      <c r="AU212" s="44">
        <f t="shared" si="103"/>
        <v>1885.4274221526882</v>
      </c>
      <c r="AV212" s="17">
        <f t="shared" si="108"/>
        <v>1</v>
      </c>
      <c r="AW212" s="17"/>
      <c r="AX212" s="69">
        <f t="shared" si="114"/>
        <v>45840</v>
      </c>
      <c r="AY212" s="120">
        <v>1342.8910000000001</v>
      </c>
      <c r="AZ212" s="120">
        <v>316.35571556989248</v>
      </c>
      <c r="BA212" s="44"/>
      <c r="BB212" s="120">
        <v>87.108735483870973</v>
      </c>
      <c r="BC212" s="44">
        <f t="shared" si="104"/>
        <v>1746.3554510537635</v>
      </c>
      <c r="BD212" s="17">
        <f t="shared" si="109"/>
        <v>1</v>
      </c>
    </row>
    <row r="213" spans="1:56" x14ac:dyDescent="0.3">
      <c r="A213" s="17"/>
      <c r="B213" s="1">
        <v>43649</v>
      </c>
      <c r="C213" s="7">
        <v>1414</v>
      </c>
      <c r="D213" s="7">
        <v>242</v>
      </c>
      <c r="E213" s="7"/>
      <c r="F213" s="4">
        <v>76</v>
      </c>
      <c r="G213" s="7">
        <f t="shared" si="118"/>
        <v>1732</v>
      </c>
      <c r="H213" s="17">
        <f t="shared" si="116"/>
        <v>0</v>
      </c>
      <c r="J213" s="1">
        <v>44014</v>
      </c>
      <c r="K213" s="101">
        <v>1299.175</v>
      </c>
      <c r="L213" s="101">
        <v>285.666</v>
      </c>
      <c r="M213" s="101"/>
      <c r="N213" s="101">
        <v>82.335999999999999</v>
      </c>
      <c r="O213" s="7">
        <f t="shared" si="99"/>
        <v>1667.1769999999999</v>
      </c>
      <c r="P213" s="17">
        <f t="shared" si="117"/>
        <v>0</v>
      </c>
      <c r="R213" s="1">
        <f t="shared" si="110"/>
        <v>44380</v>
      </c>
      <c r="S213" s="43">
        <v>1244.9024843010752</v>
      </c>
      <c r="T213" s="77">
        <v>243.15186838709678</v>
      </c>
      <c r="U213" s="7"/>
      <c r="V213" s="49">
        <v>83.871215913978489</v>
      </c>
      <c r="W213" s="7">
        <f t="shared" si="100"/>
        <v>1571.9255686021504</v>
      </c>
      <c r="X213" s="17">
        <f t="shared" si="105"/>
        <v>1</v>
      </c>
      <c r="Y213" s="17"/>
      <c r="Z213" s="1">
        <f t="shared" si="111"/>
        <v>44745</v>
      </c>
      <c r="AA213" s="115">
        <v>1340.727311827957</v>
      </c>
      <c r="AB213" s="115">
        <v>279.34822924731185</v>
      </c>
      <c r="AC213" s="101"/>
      <c r="AD213" s="115">
        <v>84.163086451612898</v>
      </c>
      <c r="AE213" s="101">
        <f t="shared" si="101"/>
        <v>1704.2386275268816</v>
      </c>
      <c r="AF213" s="17">
        <f t="shared" si="106"/>
        <v>1</v>
      </c>
      <c r="AH213" s="1">
        <f t="shared" si="112"/>
        <v>45110</v>
      </c>
      <c r="AI213" s="119">
        <v>1351.3434427956988</v>
      </c>
      <c r="AJ213" s="119">
        <v>271.02814838709679</v>
      </c>
      <c r="AK213" s="44"/>
      <c r="AL213" s="119">
        <v>83.253886559139787</v>
      </c>
      <c r="AM213" s="44">
        <f t="shared" si="102"/>
        <v>1705.6254777419354</v>
      </c>
      <c r="AN213" s="17">
        <f t="shared" si="107"/>
        <v>1</v>
      </c>
      <c r="AO213" s="17"/>
      <c r="AP213" s="1">
        <f t="shared" si="113"/>
        <v>45475</v>
      </c>
      <c r="AQ213" s="119">
        <v>1542.6179999999999</v>
      </c>
      <c r="AR213" s="119">
        <v>327.302351255914</v>
      </c>
      <c r="AS213" s="44"/>
      <c r="AT213" s="119">
        <v>88.055845161290321</v>
      </c>
      <c r="AU213" s="44">
        <f t="shared" si="103"/>
        <v>1957.9761964172042</v>
      </c>
      <c r="AV213" s="17">
        <f t="shared" si="108"/>
        <v>1</v>
      </c>
      <c r="AW213" s="17"/>
      <c r="AX213" s="1">
        <f t="shared" si="114"/>
        <v>45841</v>
      </c>
      <c r="AY213" s="119">
        <v>1291.434</v>
      </c>
      <c r="AZ213" s="119">
        <v>306.86583111397852</v>
      </c>
      <c r="BA213" s="44"/>
      <c r="BB213" s="119">
        <v>86.404848387096777</v>
      </c>
      <c r="BC213" s="44">
        <f t="shared" si="104"/>
        <v>1684.7046795010754</v>
      </c>
      <c r="BD213" s="17">
        <f t="shared" si="109"/>
        <v>1</v>
      </c>
    </row>
    <row r="214" spans="1:56" x14ac:dyDescent="0.3">
      <c r="A214" s="17"/>
      <c r="B214" s="1">
        <v>43650</v>
      </c>
      <c r="C214" s="7">
        <v>1436</v>
      </c>
      <c r="D214" s="7">
        <v>240</v>
      </c>
      <c r="E214" s="7"/>
      <c r="F214" s="4">
        <v>78</v>
      </c>
      <c r="G214" s="7">
        <f t="shared" si="118"/>
        <v>1754</v>
      </c>
      <c r="H214" s="17">
        <f t="shared" si="116"/>
        <v>0</v>
      </c>
      <c r="J214" s="1">
        <v>44015</v>
      </c>
      <c r="K214" s="101">
        <v>1232.085</v>
      </c>
      <c r="L214" s="101">
        <v>293.733</v>
      </c>
      <c r="M214" s="101"/>
      <c r="N214" s="101">
        <v>73.852999999999994</v>
      </c>
      <c r="O214" s="7">
        <f t="shared" si="99"/>
        <v>1599.671</v>
      </c>
      <c r="P214" s="17">
        <f t="shared" si="117"/>
        <v>0</v>
      </c>
      <c r="R214" s="1">
        <f t="shared" si="110"/>
        <v>44381</v>
      </c>
      <c r="S214" s="43">
        <v>1177.7772443010754</v>
      </c>
      <c r="T214" s="77">
        <v>220.79309935483872</v>
      </c>
      <c r="U214" s="7"/>
      <c r="V214" s="49">
        <v>77.278049032258068</v>
      </c>
      <c r="W214" s="7">
        <f t="shared" si="100"/>
        <v>1475.848392688172</v>
      </c>
      <c r="X214" s="17">
        <f t="shared" si="105"/>
        <v>0</v>
      </c>
      <c r="Y214" s="17"/>
      <c r="Z214" s="1">
        <f t="shared" si="111"/>
        <v>44746</v>
      </c>
      <c r="AA214" s="116">
        <v>1405.137190860215</v>
      </c>
      <c r="AB214" s="116">
        <v>289.8650452688172</v>
      </c>
      <c r="AC214" s="101"/>
      <c r="AD214" s="116">
        <v>88.503814193548394</v>
      </c>
      <c r="AE214" s="101">
        <f t="shared" si="101"/>
        <v>1783.5060503225804</v>
      </c>
      <c r="AF214" s="17">
        <f t="shared" si="106"/>
        <v>1</v>
      </c>
      <c r="AH214" s="1">
        <f t="shared" si="112"/>
        <v>45111</v>
      </c>
      <c r="AI214" s="120">
        <v>1411.8551913978495</v>
      </c>
      <c r="AJ214" s="120">
        <v>283.68969709677418</v>
      </c>
      <c r="AK214" s="44"/>
      <c r="AL214" s="120">
        <v>83.676302688172044</v>
      </c>
      <c r="AM214" s="44">
        <f t="shared" si="102"/>
        <v>1779.2211911827956</v>
      </c>
      <c r="AN214" s="17">
        <f t="shared" si="107"/>
        <v>1</v>
      </c>
      <c r="AO214" s="17"/>
      <c r="AP214" s="1">
        <f t="shared" si="113"/>
        <v>45476</v>
      </c>
      <c r="AQ214" s="120">
        <v>1499.4159999999999</v>
      </c>
      <c r="AR214" s="120">
        <v>319.21767735053766</v>
      </c>
      <c r="AS214" s="44"/>
      <c r="AT214" s="120">
        <v>93.21181935483871</v>
      </c>
      <c r="AU214" s="44">
        <f t="shared" si="103"/>
        <v>1911.8454967053765</v>
      </c>
      <c r="AV214" s="17">
        <f t="shared" si="108"/>
        <v>1</v>
      </c>
      <c r="AW214" s="17"/>
      <c r="AX214" s="1">
        <f t="shared" si="114"/>
        <v>45842</v>
      </c>
      <c r="AY214" s="120">
        <v>1365.654</v>
      </c>
      <c r="AZ214" s="120">
        <v>312.74792082580643</v>
      </c>
      <c r="BA214" s="44"/>
      <c r="BB214" s="120">
        <v>89.219313870967738</v>
      </c>
      <c r="BC214" s="44">
        <f t="shared" si="104"/>
        <v>1767.6212346967741</v>
      </c>
      <c r="BD214" s="17">
        <f t="shared" si="109"/>
        <v>1</v>
      </c>
    </row>
    <row r="215" spans="1:56" x14ac:dyDescent="0.3">
      <c r="A215" s="17"/>
      <c r="B215" s="1">
        <v>43651</v>
      </c>
      <c r="C215" s="7">
        <v>1325</v>
      </c>
      <c r="D215" s="7">
        <v>216</v>
      </c>
      <c r="E215" s="7"/>
      <c r="F215" s="4">
        <v>76</v>
      </c>
      <c r="G215" s="7">
        <f t="shared" si="118"/>
        <v>1617</v>
      </c>
      <c r="H215" s="17">
        <f t="shared" si="116"/>
        <v>0</v>
      </c>
      <c r="J215" s="1">
        <v>44016</v>
      </c>
      <c r="K215" s="101">
        <v>1208.0899999999999</v>
      </c>
      <c r="L215" s="101">
        <v>269.48</v>
      </c>
      <c r="M215" s="101"/>
      <c r="N215" s="101">
        <v>71.373999999999995</v>
      </c>
      <c r="O215" s="7">
        <f t="shared" si="99"/>
        <v>1548.944</v>
      </c>
      <c r="P215" s="17">
        <f t="shared" si="117"/>
        <v>0</v>
      </c>
      <c r="R215" s="1">
        <f t="shared" si="110"/>
        <v>44382</v>
      </c>
      <c r="S215" s="43">
        <v>1162.4307483870969</v>
      </c>
      <c r="T215" s="77">
        <v>230.44643720430108</v>
      </c>
      <c r="U215" s="7"/>
      <c r="V215" s="49">
        <v>74.618538709677424</v>
      </c>
      <c r="W215" s="7">
        <f t="shared" si="100"/>
        <v>1467.4957243010754</v>
      </c>
      <c r="X215" s="17">
        <f t="shared" si="105"/>
        <v>0</v>
      </c>
      <c r="Y215" s="17"/>
      <c r="Z215" s="1">
        <f t="shared" si="111"/>
        <v>44747</v>
      </c>
      <c r="AA215" s="115">
        <v>1490.7355241935484</v>
      </c>
      <c r="AB215" s="115">
        <v>314.63330946236562</v>
      </c>
      <c r="AC215" s="101"/>
      <c r="AD215" s="115">
        <v>90.934147096774197</v>
      </c>
      <c r="AE215" s="101">
        <f t="shared" si="101"/>
        <v>1896.3029807526882</v>
      </c>
      <c r="AF215" s="17">
        <f t="shared" si="106"/>
        <v>1</v>
      </c>
      <c r="AH215" s="1">
        <f t="shared" si="112"/>
        <v>45112</v>
      </c>
      <c r="AI215" s="119">
        <v>1366.054548172043</v>
      </c>
      <c r="AJ215" s="119">
        <v>292.00598516129031</v>
      </c>
      <c r="AK215" s="44"/>
      <c r="AL215" s="119">
        <v>86.351604838709676</v>
      </c>
      <c r="AM215" s="44">
        <f t="shared" si="102"/>
        <v>1744.4121381720429</v>
      </c>
      <c r="AN215" s="17">
        <f t="shared" si="107"/>
        <v>1</v>
      </c>
      <c r="AO215" s="17"/>
      <c r="AP215" s="1">
        <f t="shared" si="113"/>
        <v>45477</v>
      </c>
      <c r="AQ215" s="119">
        <v>1466.2170000000001</v>
      </c>
      <c r="AR215" s="119">
        <v>320.47418366451615</v>
      </c>
      <c r="AS215" s="44"/>
      <c r="AT215" s="119">
        <v>96.40490322580645</v>
      </c>
      <c r="AU215" s="44">
        <f t="shared" si="103"/>
        <v>1883.0960868903228</v>
      </c>
      <c r="AV215" s="17">
        <f t="shared" si="108"/>
        <v>1</v>
      </c>
      <c r="AW215" s="17"/>
      <c r="AX215" s="1">
        <f t="shared" si="114"/>
        <v>45843</v>
      </c>
      <c r="AY215" s="119">
        <v>1397.925</v>
      </c>
      <c r="AZ215" s="119">
        <v>336.0668986892473</v>
      </c>
      <c r="BA215" s="44"/>
      <c r="BB215" s="119">
        <v>85.890469354838714</v>
      </c>
      <c r="BC215" s="44">
        <f t="shared" si="104"/>
        <v>1819.8823680440858</v>
      </c>
      <c r="BD215" s="17">
        <f t="shared" si="109"/>
        <v>1</v>
      </c>
    </row>
    <row r="216" spans="1:56" x14ac:dyDescent="0.3">
      <c r="A216" s="17"/>
      <c r="B216" s="1">
        <v>43652</v>
      </c>
      <c r="C216" s="7">
        <v>1174</v>
      </c>
      <c r="D216" s="7">
        <v>197</v>
      </c>
      <c r="E216" s="7"/>
      <c r="F216" s="4">
        <v>70</v>
      </c>
      <c r="G216" s="7">
        <f t="shared" si="118"/>
        <v>1441</v>
      </c>
      <c r="H216" s="17">
        <f t="shared" si="116"/>
        <v>0</v>
      </c>
      <c r="J216" s="1">
        <v>44017</v>
      </c>
      <c r="K216" s="101">
        <v>1240.4110000000001</v>
      </c>
      <c r="L216" s="101">
        <v>272.15699999999998</v>
      </c>
      <c r="M216" s="101"/>
      <c r="N216" s="101">
        <v>70.997</v>
      </c>
      <c r="O216" s="7">
        <f t="shared" si="99"/>
        <v>1583.5650000000001</v>
      </c>
      <c r="P216" s="17">
        <f t="shared" si="117"/>
        <v>0</v>
      </c>
      <c r="R216" s="1">
        <f t="shared" si="110"/>
        <v>44383</v>
      </c>
      <c r="S216" s="43">
        <v>1268.971991827957</v>
      </c>
      <c r="T216" s="77">
        <v>249.33188817204302</v>
      </c>
      <c r="U216" s="7"/>
      <c r="V216" s="49">
        <v>78.359993548387095</v>
      </c>
      <c r="W216" s="7">
        <f t="shared" si="100"/>
        <v>1596.6638735483871</v>
      </c>
      <c r="X216" s="17">
        <f t="shared" si="105"/>
        <v>1</v>
      </c>
      <c r="Y216" s="17"/>
      <c r="Z216" s="1">
        <f t="shared" si="111"/>
        <v>44748</v>
      </c>
      <c r="AA216" s="116">
        <v>1499.4859946236559</v>
      </c>
      <c r="AB216" s="116">
        <v>330.43488516129031</v>
      </c>
      <c r="AC216" s="101"/>
      <c r="AD216" s="116">
        <v>93.301914838709678</v>
      </c>
      <c r="AE216" s="101">
        <f t="shared" si="101"/>
        <v>1923.222794623656</v>
      </c>
      <c r="AF216" s="17">
        <f t="shared" si="106"/>
        <v>1</v>
      </c>
      <c r="AH216" s="1">
        <f t="shared" si="112"/>
        <v>45113</v>
      </c>
      <c r="AI216" s="120">
        <v>1377.9898569892473</v>
      </c>
      <c r="AJ216" s="120">
        <v>286.59183612903223</v>
      </c>
      <c r="AK216" s="44"/>
      <c r="AL216" s="120">
        <v>91.118408387096778</v>
      </c>
      <c r="AM216" s="44">
        <f t="shared" si="102"/>
        <v>1755.7001015053761</v>
      </c>
      <c r="AN216" s="17">
        <f t="shared" si="107"/>
        <v>1</v>
      </c>
      <c r="AO216" s="17"/>
      <c r="AP216" s="1">
        <f t="shared" si="113"/>
        <v>45478</v>
      </c>
      <c r="AQ216" s="120">
        <v>1478.327</v>
      </c>
      <c r="AR216" s="120">
        <v>327.45675417741933</v>
      </c>
      <c r="AS216" s="44"/>
      <c r="AT216" s="120">
        <v>93.792774193548382</v>
      </c>
      <c r="AU216" s="44">
        <f t="shared" si="103"/>
        <v>1899.5765283709677</v>
      </c>
      <c r="AV216" s="17">
        <f t="shared" si="108"/>
        <v>1</v>
      </c>
      <c r="AW216" s="17"/>
      <c r="AX216" s="1">
        <f t="shared" si="114"/>
        <v>45844</v>
      </c>
      <c r="AY216" s="120">
        <v>1346.0519999999999</v>
      </c>
      <c r="AZ216" s="120">
        <v>325.96377202580646</v>
      </c>
      <c r="BA216" s="44"/>
      <c r="BB216" s="120">
        <v>78.262499032258063</v>
      </c>
      <c r="BC216" s="44">
        <f t="shared" si="104"/>
        <v>1750.2782710580645</v>
      </c>
      <c r="BD216" s="17">
        <f t="shared" si="109"/>
        <v>1</v>
      </c>
    </row>
    <row r="217" spans="1:56" x14ac:dyDescent="0.3">
      <c r="A217" s="17"/>
      <c r="B217" s="1">
        <v>43653</v>
      </c>
      <c r="C217" s="7">
        <v>1106</v>
      </c>
      <c r="D217" s="7">
        <v>186</v>
      </c>
      <c r="E217" s="7"/>
      <c r="F217" s="4">
        <v>60</v>
      </c>
      <c r="G217" s="7">
        <f t="shared" si="118"/>
        <v>1352</v>
      </c>
      <c r="H217" s="17">
        <f t="shared" si="116"/>
        <v>0</v>
      </c>
      <c r="J217" s="1">
        <v>44018</v>
      </c>
      <c r="K217" s="101">
        <v>1381.444</v>
      </c>
      <c r="L217" s="101">
        <v>293.64499999999998</v>
      </c>
      <c r="M217" s="101"/>
      <c r="N217" s="101">
        <v>81.614000000000004</v>
      </c>
      <c r="O217" s="7">
        <f t="shared" si="99"/>
        <v>1756.703</v>
      </c>
      <c r="P217" s="17">
        <f t="shared" si="117"/>
        <v>0</v>
      </c>
      <c r="R217" s="1">
        <f t="shared" si="110"/>
        <v>44384</v>
      </c>
      <c r="S217" s="43">
        <v>1263.3653696774193</v>
      </c>
      <c r="T217" s="77">
        <v>246.6624376344086</v>
      </c>
      <c r="U217" s="7"/>
      <c r="V217" s="49">
        <v>84.553640000000001</v>
      </c>
      <c r="W217" s="7">
        <f t="shared" si="100"/>
        <v>1594.581447311828</v>
      </c>
      <c r="X217" s="17">
        <f t="shared" si="105"/>
        <v>1</v>
      </c>
      <c r="Y217" s="17"/>
      <c r="Z217" s="1">
        <f t="shared" si="111"/>
        <v>44749</v>
      </c>
      <c r="AA217" s="115">
        <v>1443.26875</v>
      </c>
      <c r="AB217" s="115">
        <v>310.39946580645159</v>
      </c>
      <c r="AC217" s="101"/>
      <c r="AD217" s="115">
        <v>91.906064516129035</v>
      </c>
      <c r="AE217" s="101">
        <f t="shared" si="101"/>
        <v>1845.5742803225805</v>
      </c>
      <c r="AF217" s="17">
        <f t="shared" si="106"/>
        <v>1</v>
      </c>
      <c r="AH217" s="1">
        <f t="shared" si="112"/>
        <v>45114</v>
      </c>
      <c r="AI217" s="119">
        <v>1441.9246086021506</v>
      </c>
      <c r="AJ217" s="119">
        <v>287.21446129032256</v>
      </c>
      <c r="AK217" s="44"/>
      <c r="AL217" s="119">
        <v>95.585188172043004</v>
      </c>
      <c r="AM217" s="44">
        <f t="shared" si="102"/>
        <v>1824.7242580645161</v>
      </c>
      <c r="AN217" s="17">
        <f t="shared" si="107"/>
        <v>1</v>
      </c>
      <c r="AO217" s="17"/>
      <c r="AP217" s="1">
        <f t="shared" si="113"/>
        <v>45479</v>
      </c>
      <c r="AQ217" s="119">
        <v>1549.3610000000001</v>
      </c>
      <c r="AR217" s="119">
        <v>353.47777687741933</v>
      </c>
      <c r="AS217" s="44"/>
      <c r="AT217" s="119">
        <v>91.621780645161294</v>
      </c>
      <c r="AU217" s="44">
        <f t="shared" si="103"/>
        <v>1994.4605575225808</v>
      </c>
      <c r="AV217" s="17">
        <f t="shared" si="108"/>
        <v>1</v>
      </c>
      <c r="AW217" s="17"/>
      <c r="AX217" s="1">
        <f t="shared" si="114"/>
        <v>45845</v>
      </c>
      <c r="AY217" s="119">
        <v>1495.933</v>
      </c>
      <c r="AZ217" s="119">
        <v>349.11477979032259</v>
      </c>
      <c r="BA217" s="44"/>
      <c r="BB217" s="119">
        <v>85.261302580645165</v>
      </c>
      <c r="BC217" s="44">
        <f t="shared" si="104"/>
        <v>1930.3090823709679</v>
      </c>
      <c r="BD217" s="17">
        <f t="shared" si="109"/>
        <v>1</v>
      </c>
    </row>
    <row r="218" spans="1:56" x14ac:dyDescent="0.3">
      <c r="A218" s="17"/>
      <c r="B218" s="1">
        <v>43654</v>
      </c>
      <c r="C218" s="7">
        <v>1220</v>
      </c>
      <c r="D218" s="7">
        <v>223</v>
      </c>
      <c r="E218" s="7"/>
      <c r="F218" s="4">
        <v>69</v>
      </c>
      <c r="G218" s="7">
        <f t="shared" si="118"/>
        <v>1512</v>
      </c>
      <c r="H218" s="17">
        <f t="shared" si="116"/>
        <v>0</v>
      </c>
      <c r="J218" s="1">
        <v>44019</v>
      </c>
      <c r="K218" s="101">
        <v>1367.2429999999999</v>
      </c>
      <c r="L218" s="101">
        <v>300.46199999999999</v>
      </c>
      <c r="M218" s="101"/>
      <c r="N218" s="101">
        <v>83.248000000000005</v>
      </c>
      <c r="O218" s="7">
        <f t="shared" si="99"/>
        <v>1750.953</v>
      </c>
      <c r="P218" s="17">
        <f t="shared" si="117"/>
        <v>0</v>
      </c>
      <c r="R218" s="1">
        <f t="shared" si="110"/>
        <v>44385</v>
      </c>
      <c r="S218" s="43">
        <v>1299.4963634408603</v>
      </c>
      <c r="T218" s="77">
        <v>243.478048172043</v>
      </c>
      <c r="U218" s="7"/>
      <c r="V218" s="49">
        <v>83.755678924731185</v>
      </c>
      <c r="W218" s="7">
        <f t="shared" si="100"/>
        <v>1626.7300905376344</v>
      </c>
      <c r="X218" s="17">
        <f t="shared" si="105"/>
        <v>1</v>
      </c>
      <c r="Y218" s="17"/>
      <c r="Z218" s="1">
        <f t="shared" si="111"/>
        <v>44750</v>
      </c>
      <c r="AA218" s="116">
        <v>1465.8657661290322</v>
      </c>
      <c r="AB218" s="116">
        <v>313.93687322580644</v>
      </c>
      <c r="AC218" s="101"/>
      <c r="AD218" s="116">
        <v>88.928825806451613</v>
      </c>
      <c r="AE218" s="101">
        <f t="shared" si="101"/>
        <v>1868.7314651612903</v>
      </c>
      <c r="AF218" s="17">
        <f t="shared" si="106"/>
        <v>1</v>
      </c>
      <c r="AH218" s="1">
        <f t="shared" si="112"/>
        <v>45115</v>
      </c>
      <c r="AI218" s="120">
        <v>1391.183622795699</v>
      </c>
      <c r="AJ218" s="120">
        <v>300.01519784946237</v>
      </c>
      <c r="AK218" s="44"/>
      <c r="AL218" s="120">
        <v>93.44386333333334</v>
      </c>
      <c r="AM218" s="44">
        <f t="shared" si="102"/>
        <v>1784.6426839784947</v>
      </c>
      <c r="AN218" s="17">
        <f t="shared" si="107"/>
        <v>1</v>
      </c>
      <c r="AO218" s="17"/>
      <c r="AP218" s="1">
        <f t="shared" si="113"/>
        <v>45480</v>
      </c>
      <c r="AQ218" s="120">
        <v>1392.528</v>
      </c>
      <c r="AR218" s="120">
        <v>333.05222075268819</v>
      </c>
      <c r="AS218" s="44"/>
      <c r="AT218" s="120">
        <v>88.489393548387099</v>
      </c>
      <c r="AU218" s="44">
        <f t="shared" si="103"/>
        <v>1814.0696143010753</v>
      </c>
      <c r="AV218" s="17">
        <f t="shared" si="108"/>
        <v>1</v>
      </c>
      <c r="AW218" s="17"/>
      <c r="AX218" s="1">
        <f t="shared" si="114"/>
        <v>45846</v>
      </c>
      <c r="AY218" s="120">
        <v>1408.2729999999999</v>
      </c>
      <c r="AZ218" s="120">
        <v>334.86647479569893</v>
      </c>
      <c r="BA218" s="44"/>
      <c r="BB218" s="120">
        <v>88.469944838709679</v>
      </c>
      <c r="BC218" s="44">
        <f t="shared" si="104"/>
        <v>1831.6094196344084</v>
      </c>
      <c r="BD218" s="17">
        <f t="shared" si="109"/>
        <v>1</v>
      </c>
    </row>
    <row r="219" spans="1:56" x14ac:dyDescent="0.3">
      <c r="A219" s="17"/>
      <c r="B219" s="1">
        <v>43655</v>
      </c>
      <c r="C219" s="7">
        <v>1213</v>
      </c>
      <c r="D219" s="7">
        <v>227</v>
      </c>
      <c r="E219" s="7"/>
      <c r="F219" s="4">
        <v>72</v>
      </c>
      <c r="G219" s="7">
        <f t="shared" si="118"/>
        <v>1512</v>
      </c>
      <c r="H219" s="17">
        <f t="shared" si="116"/>
        <v>0</v>
      </c>
      <c r="J219" s="1">
        <v>44020</v>
      </c>
      <c r="K219" s="101">
        <v>1329.046</v>
      </c>
      <c r="L219" s="101">
        <v>296.06700000000001</v>
      </c>
      <c r="M219" s="101"/>
      <c r="N219" s="101">
        <v>79.281000000000006</v>
      </c>
      <c r="O219" s="7">
        <f t="shared" si="99"/>
        <v>1704.394</v>
      </c>
      <c r="P219" s="17">
        <f t="shared" si="117"/>
        <v>0</v>
      </c>
      <c r="R219" s="1">
        <f t="shared" si="110"/>
        <v>44386</v>
      </c>
      <c r="S219" s="43">
        <v>1250.7486705376343</v>
      </c>
      <c r="T219" s="77">
        <v>246.48397440860214</v>
      </c>
      <c r="U219" s="7"/>
      <c r="V219" s="49">
        <v>83.56995591397849</v>
      </c>
      <c r="W219" s="7">
        <f t="shared" si="100"/>
        <v>1580.8026008602149</v>
      </c>
      <c r="X219" s="17">
        <f t="shared" si="105"/>
        <v>1</v>
      </c>
      <c r="Y219" s="17"/>
      <c r="Z219" s="1">
        <f t="shared" si="111"/>
        <v>44751</v>
      </c>
      <c r="AA219" s="115">
        <v>1435.2779301075268</v>
      </c>
      <c r="AB219" s="115">
        <v>306.37822526881723</v>
      </c>
      <c r="AC219" s="101"/>
      <c r="AD219" s="115">
        <v>87.534054193548386</v>
      </c>
      <c r="AE219" s="101">
        <f t="shared" si="101"/>
        <v>1829.1902095698924</v>
      </c>
      <c r="AF219" s="17">
        <f t="shared" si="106"/>
        <v>1</v>
      </c>
      <c r="AH219" s="1">
        <f t="shared" si="112"/>
        <v>45116</v>
      </c>
      <c r="AI219" s="119">
        <v>1301.1602873118279</v>
      </c>
      <c r="AJ219" s="119">
        <v>318.01112677419354</v>
      </c>
      <c r="AK219" s="44"/>
      <c r="AL219" s="119">
        <v>86.38084903225807</v>
      </c>
      <c r="AM219" s="44">
        <f t="shared" si="102"/>
        <v>1705.5522631182796</v>
      </c>
      <c r="AN219" s="17">
        <f t="shared" si="107"/>
        <v>1</v>
      </c>
      <c r="AO219" s="17"/>
      <c r="AP219" s="1">
        <f t="shared" si="113"/>
        <v>45481</v>
      </c>
      <c r="AQ219" s="119">
        <v>1444.7380000000001</v>
      </c>
      <c r="AR219" s="119">
        <v>299.14051567849464</v>
      </c>
      <c r="AS219" s="44"/>
      <c r="AT219" s="119">
        <v>86.600206451612905</v>
      </c>
      <c r="AU219" s="44">
        <f t="shared" si="103"/>
        <v>1830.4787221301076</v>
      </c>
      <c r="AV219" s="17">
        <f t="shared" si="108"/>
        <v>1</v>
      </c>
      <c r="AW219" s="17"/>
      <c r="AX219" s="1">
        <f t="shared" si="114"/>
        <v>45847</v>
      </c>
      <c r="AY219" s="119">
        <v>1346.394</v>
      </c>
      <c r="AZ219" s="119">
        <v>286.52022136236559</v>
      </c>
      <c r="BA219" s="44"/>
      <c r="BB219" s="119">
        <v>86.65933064516129</v>
      </c>
      <c r="BC219" s="44">
        <f t="shared" si="104"/>
        <v>1719.573552007527</v>
      </c>
      <c r="BD219" s="17">
        <f t="shared" si="109"/>
        <v>1</v>
      </c>
    </row>
    <row r="220" spans="1:56" x14ac:dyDescent="0.3">
      <c r="A220" s="17"/>
      <c r="B220" s="1">
        <v>43656</v>
      </c>
      <c r="C220" s="7">
        <v>1244</v>
      </c>
      <c r="D220" s="7">
        <v>232</v>
      </c>
      <c r="E220" s="7"/>
      <c r="F220" s="4">
        <v>72</v>
      </c>
      <c r="G220" s="7">
        <f t="shared" si="118"/>
        <v>1548</v>
      </c>
      <c r="H220" s="17">
        <f t="shared" si="116"/>
        <v>0</v>
      </c>
      <c r="J220" s="1">
        <v>44021</v>
      </c>
      <c r="K220" s="101">
        <v>1332.4739999999999</v>
      </c>
      <c r="L220" s="101">
        <v>271.43799999999999</v>
      </c>
      <c r="M220" s="101"/>
      <c r="N220" s="101">
        <v>80.049000000000007</v>
      </c>
      <c r="O220" s="7">
        <f t="shared" si="99"/>
        <v>1683.9609999999998</v>
      </c>
      <c r="P220" s="17">
        <f t="shared" si="117"/>
        <v>0</v>
      </c>
      <c r="R220" s="1">
        <f t="shared" si="110"/>
        <v>44387</v>
      </c>
      <c r="S220" s="43">
        <v>1271.2812662365591</v>
      </c>
      <c r="T220" s="77">
        <v>250.66415720430106</v>
      </c>
      <c r="U220" s="7"/>
      <c r="V220" s="49">
        <v>84.606549462365592</v>
      </c>
      <c r="W220" s="7">
        <f t="shared" si="100"/>
        <v>1606.5519729032258</v>
      </c>
      <c r="X220" s="17">
        <f t="shared" si="105"/>
        <v>1</v>
      </c>
      <c r="Y220" s="17"/>
      <c r="Z220" s="1">
        <f t="shared" si="111"/>
        <v>44752</v>
      </c>
      <c r="AA220" s="116">
        <v>1424.4078897849463</v>
      </c>
      <c r="AB220" s="116">
        <v>311.69943505376347</v>
      </c>
      <c r="AC220" s="101"/>
      <c r="AD220" s="116">
        <v>92.208103225806454</v>
      </c>
      <c r="AE220" s="101">
        <f t="shared" si="101"/>
        <v>1828.3154280645163</v>
      </c>
      <c r="AF220" s="17">
        <f t="shared" si="106"/>
        <v>1</v>
      </c>
      <c r="AH220" s="1">
        <f t="shared" si="112"/>
        <v>45117</v>
      </c>
      <c r="AI220" s="120">
        <v>1428.1391111827957</v>
      </c>
      <c r="AJ220" s="120">
        <v>302.29366720430107</v>
      </c>
      <c r="AK220" s="44"/>
      <c r="AL220" s="120">
        <v>87.965451075268817</v>
      </c>
      <c r="AM220" s="44">
        <f t="shared" si="102"/>
        <v>1818.3982294623656</v>
      </c>
      <c r="AN220" s="17">
        <f t="shared" si="107"/>
        <v>1</v>
      </c>
      <c r="AO220" s="17"/>
      <c r="AP220" s="1">
        <f t="shared" si="113"/>
        <v>45482</v>
      </c>
      <c r="AQ220" s="120">
        <v>1398.296</v>
      </c>
      <c r="AR220" s="120">
        <v>304.76044383440859</v>
      </c>
      <c r="AS220" s="44"/>
      <c r="AT220" s="120">
        <v>88.2205935483871</v>
      </c>
      <c r="AU220" s="44">
        <f t="shared" si="103"/>
        <v>1791.2770373827957</v>
      </c>
      <c r="AV220" s="17">
        <f t="shared" si="108"/>
        <v>1</v>
      </c>
      <c r="AW220" s="17"/>
      <c r="AX220" s="1">
        <f t="shared" si="114"/>
        <v>45848</v>
      </c>
      <c r="AY220" s="120">
        <v>1385.327</v>
      </c>
      <c r="AZ220" s="120">
        <v>292.44712968494622</v>
      </c>
      <c r="BA220" s="44"/>
      <c r="BB220" s="120">
        <v>88.946422258064516</v>
      </c>
      <c r="BC220" s="44">
        <f t="shared" si="104"/>
        <v>1766.7205519430108</v>
      </c>
      <c r="BD220" s="17">
        <f t="shared" si="109"/>
        <v>1</v>
      </c>
    </row>
    <row r="221" spans="1:56" x14ac:dyDescent="0.3">
      <c r="A221" s="17"/>
      <c r="B221" s="1">
        <v>43657</v>
      </c>
      <c r="C221" s="7">
        <v>1260</v>
      </c>
      <c r="D221" s="7">
        <v>233</v>
      </c>
      <c r="E221" s="7"/>
      <c r="F221" s="4">
        <v>74</v>
      </c>
      <c r="G221" s="7">
        <f t="shared" si="118"/>
        <v>1567</v>
      </c>
      <c r="H221" s="17">
        <f t="shared" si="116"/>
        <v>0</v>
      </c>
      <c r="J221" s="1">
        <v>44022</v>
      </c>
      <c r="K221" s="101">
        <v>1321.701</v>
      </c>
      <c r="L221" s="101">
        <v>263.05599999999998</v>
      </c>
      <c r="M221" s="101"/>
      <c r="N221" s="101">
        <v>79.584000000000003</v>
      </c>
      <c r="O221" s="7">
        <f t="shared" si="99"/>
        <v>1664.3410000000001</v>
      </c>
      <c r="P221" s="17">
        <f t="shared" si="117"/>
        <v>0</v>
      </c>
      <c r="R221" s="1">
        <f t="shared" si="110"/>
        <v>44388</v>
      </c>
      <c r="S221" s="43">
        <v>1356.3275449462365</v>
      </c>
      <c r="T221" s="77">
        <v>262.73007698924732</v>
      </c>
      <c r="U221" s="7"/>
      <c r="V221" s="49">
        <v>82.287171397849463</v>
      </c>
      <c r="W221" s="7">
        <f t="shared" si="100"/>
        <v>1701.3447933333334</v>
      </c>
      <c r="X221" s="17">
        <f t="shared" si="105"/>
        <v>1</v>
      </c>
      <c r="Y221" s="17"/>
      <c r="Z221" s="1">
        <f t="shared" si="111"/>
        <v>44753</v>
      </c>
      <c r="AA221" s="115">
        <v>1580.4726075268818</v>
      </c>
      <c r="AB221" s="115">
        <v>340.43583290322579</v>
      </c>
      <c r="AC221" s="101"/>
      <c r="AD221" s="115">
        <v>88.384077419354838</v>
      </c>
      <c r="AE221" s="101">
        <f t="shared" si="101"/>
        <v>2009.2925178494622</v>
      </c>
      <c r="AF221" s="17">
        <f t="shared" si="106"/>
        <v>1</v>
      </c>
      <c r="AH221" s="1">
        <f t="shared" si="112"/>
        <v>45118</v>
      </c>
      <c r="AI221" s="119">
        <v>1456.7086531182795</v>
      </c>
      <c r="AJ221" s="119">
        <v>314.75771580645159</v>
      </c>
      <c r="AK221" s="44"/>
      <c r="AL221" s="119">
        <v>88.698722150537634</v>
      </c>
      <c r="AM221" s="44">
        <f t="shared" si="102"/>
        <v>1860.1650910752687</v>
      </c>
      <c r="AN221" s="17">
        <f t="shared" si="107"/>
        <v>1</v>
      </c>
      <c r="AO221" s="17"/>
      <c r="AP221" s="1">
        <f t="shared" si="113"/>
        <v>45483</v>
      </c>
      <c r="AQ221" s="119">
        <v>1378.1</v>
      </c>
      <c r="AR221" s="119">
        <v>288.3848460967742</v>
      </c>
      <c r="AS221" s="44"/>
      <c r="AT221" s="119">
        <v>92.352309677419356</v>
      </c>
      <c r="AU221" s="44">
        <f t="shared" si="103"/>
        <v>1758.8371557741934</v>
      </c>
      <c r="AV221" s="17">
        <f t="shared" si="108"/>
        <v>1</v>
      </c>
      <c r="AW221" s="17"/>
      <c r="AX221" s="1">
        <f t="shared" si="114"/>
        <v>45849</v>
      </c>
      <c r="AY221" s="119">
        <v>1428.354</v>
      </c>
      <c r="AZ221" s="119">
        <v>312.30092858172043</v>
      </c>
      <c r="BA221" s="44"/>
      <c r="BB221" s="119">
        <v>91.62552483870968</v>
      </c>
      <c r="BC221" s="44">
        <f t="shared" si="104"/>
        <v>1832.2804534204301</v>
      </c>
      <c r="BD221" s="17">
        <f t="shared" si="109"/>
        <v>1</v>
      </c>
    </row>
    <row r="222" spans="1:56" x14ac:dyDescent="0.3">
      <c r="A222" s="17"/>
      <c r="B222" s="1">
        <v>43658</v>
      </c>
      <c r="C222" s="7">
        <v>1238</v>
      </c>
      <c r="D222" s="7">
        <v>226</v>
      </c>
      <c r="E222" s="7"/>
      <c r="F222" s="4">
        <v>75</v>
      </c>
      <c r="G222" s="7">
        <f t="shared" si="118"/>
        <v>1539</v>
      </c>
      <c r="H222" s="17">
        <f t="shared" si="116"/>
        <v>0</v>
      </c>
      <c r="J222" s="1">
        <v>44023</v>
      </c>
      <c r="K222" s="101">
        <v>1263.4259999999999</v>
      </c>
      <c r="L222" s="101">
        <v>250.07499999999999</v>
      </c>
      <c r="M222" s="101"/>
      <c r="N222" s="101">
        <v>76.673000000000002</v>
      </c>
      <c r="O222" s="7">
        <f t="shared" ref="O222:O285" si="119">SUM(K222:N222)</f>
        <v>1590.174</v>
      </c>
      <c r="P222" s="17">
        <f t="shared" si="117"/>
        <v>0</v>
      </c>
      <c r="R222" s="1">
        <f t="shared" si="110"/>
        <v>44389</v>
      </c>
      <c r="S222" s="43">
        <v>1419.3318713978495</v>
      </c>
      <c r="T222" s="77">
        <v>275.23799483870965</v>
      </c>
      <c r="U222" s="7"/>
      <c r="V222" s="49">
        <v>84.539602795698926</v>
      </c>
      <c r="W222" s="7">
        <f t="shared" ref="W222:W285" si="120">SUM(S222:V222)</f>
        <v>1779.1094690322582</v>
      </c>
      <c r="X222" s="17">
        <f t="shared" si="105"/>
        <v>1</v>
      </c>
      <c r="Y222" s="17"/>
      <c r="Z222" s="1">
        <f t="shared" si="111"/>
        <v>44754</v>
      </c>
      <c r="AA222" s="116">
        <v>1484.2981586021506</v>
      </c>
      <c r="AB222" s="116">
        <v>351.42912591397851</v>
      </c>
      <c r="AC222" s="101"/>
      <c r="AD222" s="116">
        <v>91.598632258064512</v>
      </c>
      <c r="AE222" s="101">
        <f t="shared" ref="AE222:AE285" si="121">SUM(AA222:AD222)</f>
        <v>1927.3259167741937</v>
      </c>
      <c r="AF222" s="17">
        <f t="shared" si="106"/>
        <v>1</v>
      </c>
      <c r="AH222" s="1">
        <f t="shared" si="112"/>
        <v>45119</v>
      </c>
      <c r="AI222" s="120">
        <v>1467.1759333333334</v>
      </c>
      <c r="AJ222" s="120">
        <v>318.79836537634407</v>
      </c>
      <c r="AK222" s="44"/>
      <c r="AL222" s="120">
        <v>90.82055086021505</v>
      </c>
      <c r="AM222" s="44">
        <f t="shared" ref="AM222:AM285" si="122">SUM(AI222:AL222)</f>
        <v>1876.7948495698924</v>
      </c>
      <c r="AN222" s="17">
        <f t="shared" si="107"/>
        <v>1</v>
      </c>
      <c r="AO222" s="17"/>
      <c r="AP222" s="1">
        <f t="shared" si="113"/>
        <v>45484</v>
      </c>
      <c r="AQ222" s="120">
        <v>1333.8240000000001</v>
      </c>
      <c r="AR222" s="120">
        <v>263.19200287311827</v>
      </c>
      <c r="AS222" s="44"/>
      <c r="AT222" s="120">
        <v>88.784206451612903</v>
      </c>
      <c r="AU222" s="44">
        <f t="shared" ref="AU222:AU285" si="123">SUM(AQ222:AT222)</f>
        <v>1685.8002093247312</v>
      </c>
      <c r="AV222" s="17">
        <f t="shared" si="108"/>
        <v>1</v>
      </c>
      <c r="AW222" s="17"/>
      <c r="AX222" s="1">
        <f t="shared" si="114"/>
        <v>45850</v>
      </c>
      <c r="AY222" s="120">
        <v>1351.739</v>
      </c>
      <c r="AZ222" s="120">
        <v>287.17550174731184</v>
      </c>
      <c r="BA222" s="44"/>
      <c r="BB222" s="120">
        <v>87.90575225806451</v>
      </c>
      <c r="BC222" s="44">
        <f t="shared" ref="BC222:BC285" si="124">SUM(AY222:BB222)</f>
        <v>1726.8202540053765</v>
      </c>
      <c r="BD222" s="17">
        <f t="shared" si="109"/>
        <v>1</v>
      </c>
    </row>
    <row r="223" spans="1:56" x14ac:dyDescent="0.3">
      <c r="A223" s="17"/>
      <c r="B223" s="1">
        <v>43659</v>
      </c>
      <c r="C223" s="7">
        <v>1171</v>
      </c>
      <c r="D223" s="7">
        <v>227</v>
      </c>
      <c r="E223" s="7"/>
      <c r="F223" s="4">
        <v>73</v>
      </c>
      <c r="G223" s="7">
        <f t="shared" si="118"/>
        <v>1471</v>
      </c>
      <c r="H223" s="17">
        <f t="shared" si="116"/>
        <v>0</v>
      </c>
      <c r="J223" s="1">
        <v>44024</v>
      </c>
      <c r="K223" s="101">
        <v>1223.761</v>
      </c>
      <c r="L223" s="101">
        <v>227.79900000000001</v>
      </c>
      <c r="M223" s="101"/>
      <c r="N223" s="101">
        <v>71.716999999999999</v>
      </c>
      <c r="O223" s="7">
        <f t="shared" si="119"/>
        <v>1523.277</v>
      </c>
      <c r="P223" s="17">
        <f t="shared" si="117"/>
        <v>0</v>
      </c>
      <c r="R223" s="1">
        <f t="shared" si="110"/>
        <v>44390</v>
      </c>
      <c r="S223" s="43">
        <v>1360.3764864516129</v>
      </c>
      <c r="T223" s="77">
        <v>268.92389677419357</v>
      </c>
      <c r="U223" s="7"/>
      <c r="V223" s="49">
        <v>87.545724086021508</v>
      </c>
      <c r="W223" s="7">
        <f t="shared" si="120"/>
        <v>1716.8461073118278</v>
      </c>
      <c r="X223" s="17">
        <f t="shared" ref="X223:X286" si="125">IF(W223&gt;1476,1,0)</f>
        <v>1</v>
      </c>
      <c r="Y223" s="17"/>
      <c r="Z223" s="1">
        <f t="shared" si="111"/>
        <v>44755</v>
      </c>
      <c r="AA223" s="115">
        <v>1411.2206048387097</v>
      </c>
      <c r="AB223" s="115">
        <v>325.8364516129032</v>
      </c>
      <c r="AC223" s="101"/>
      <c r="AD223" s="115">
        <v>86.598812903225806</v>
      </c>
      <c r="AE223" s="101">
        <f t="shared" si="121"/>
        <v>1823.6558693548386</v>
      </c>
      <c r="AF223" s="17">
        <f t="shared" ref="AF223:AF286" si="126">IF(AE223&gt;1476,1,0)</f>
        <v>1</v>
      </c>
      <c r="AH223" s="1">
        <f t="shared" si="112"/>
        <v>45120</v>
      </c>
      <c r="AI223" s="119">
        <v>1504.6296679569894</v>
      </c>
      <c r="AJ223" s="119">
        <v>316.36747419354839</v>
      </c>
      <c r="AK223" s="44"/>
      <c r="AL223" s="119">
        <v>94.664537634408603</v>
      </c>
      <c r="AM223" s="44">
        <f t="shared" si="122"/>
        <v>1915.6616797849463</v>
      </c>
      <c r="AN223" s="17">
        <f t="shared" ref="AN223:AN286" si="127">IF(AM223&gt;1476,1,0)</f>
        <v>1</v>
      </c>
      <c r="AO223" s="17"/>
      <c r="AP223" s="1">
        <f t="shared" si="113"/>
        <v>45485</v>
      </c>
      <c r="AQ223" s="119">
        <v>1276.9880000000001</v>
      </c>
      <c r="AR223" s="119">
        <v>256.93080053763441</v>
      </c>
      <c r="AS223" s="44"/>
      <c r="AT223" s="119">
        <v>85.535845161290325</v>
      </c>
      <c r="AU223" s="44">
        <f t="shared" si="123"/>
        <v>1619.4546456989249</v>
      </c>
      <c r="AV223" s="17">
        <f t="shared" ref="AV223:AV286" si="128">IF(AU223&gt;1476,1,0)</f>
        <v>1</v>
      </c>
      <c r="AW223" s="17"/>
      <c r="AX223" s="1">
        <f t="shared" si="114"/>
        <v>45851</v>
      </c>
      <c r="AY223" s="119">
        <v>1326.3920000000001</v>
      </c>
      <c r="AZ223" s="119">
        <v>281.47191306774192</v>
      </c>
      <c r="BA223" s="44"/>
      <c r="BB223" s="119">
        <v>80.642720322580644</v>
      </c>
      <c r="BC223" s="44">
        <f t="shared" si="124"/>
        <v>1688.5066333903226</v>
      </c>
      <c r="BD223" s="17">
        <f t="shared" ref="BD223:BD286" si="129">IF(BC223&gt;1476,1,0)</f>
        <v>1</v>
      </c>
    </row>
    <row r="224" spans="1:56" x14ac:dyDescent="0.3">
      <c r="A224" s="17"/>
      <c r="B224" s="1">
        <v>43660</v>
      </c>
      <c r="C224" s="7">
        <v>1123</v>
      </c>
      <c r="D224" s="7">
        <v>223</v>
      </c>
      <c r="E224" s="7"/>
      <c r="F224" s="4">
        <v>63</v>
      </c>
      <c r="G224" s="7">
        <f t="shared" si="118"/>
        <v>1409</v>
      </c>
      <c r="H224" s="17">
        <f t="shared" si="116"/>
        <v>0</v>
      </c>
      <c r="J224" s="1">
        <v>44025</v>
      </c>
      <c r="K224" s="101">
        <v>1345.2059999999999</v>
      </c>
      <c r="L224" s="101">
        <v>256.46199999999999</v>
      </c>
      <c r="M224" s="101"/>
      <c r="N224" s="101">
        <v>76.578999999999994</v>
      </c>
      <c r="O224" s="7">
        <f t="shared" si="119"/>
        <v>1678.2469999999998</v>
      </c>
      <c r="P224" s="17">
        <f t="shared" si="117"/>
        <v>0</v>
      </c>
      <c r="R224" s="1">
        <f t="shared" ref="R224:R287" si="130">R223+1</f>
        <v>44391</v>
      </c>
      <c r="S224" s="43">
        <v>1354.9292309677419</v>
      </c>
      <c r="T224" s="77">
        <v>267.64421010752687</v>
      </c>
      <c r="U224" s="7"/>
      <c r="V224" s="49">
        <v>87.166719569892479</v>
      </c>
      <c r="W224" s="7">
        <f t="shared" si="120"/>
        <v>1709.7401606451613</v>
      </c>
      <c r="X224" s="17">
        <f t="shared" si="125"/>
        <v>1</v>
      </c>
      <c r="Y224" s="17"/>
      <c r="Z224" s="1">
        <f t="shared" ref="Z224:Z287" si="131">Z223+1</f>
        <v>44756</v>
      </c>
      <c r="AA224" s="116">
        <v>1424.1750268817204</v>
      </c>
      <c r="AB224" s="116">
        <v>311.80345817204301</v>
      </c>
      <c r="AC224" s="101"/>
      <c r="AD224" s="116">
        <v>89.021594838709674</v>
      </c>
      <c r="AE224" s="101">
        <f t="shared" si="121"/>
        <v>1825.0000798924732</v>
      </c>
      <c r="AF224" s="17">
        <f t="shared" si="126"/>
        <v>1</v>
      </c>
      <c r="AH224" s="1">
        <f t="shared" ref="AH224:AH287" si="132">AH223+1</f>
        <v>45121</v>
      </c>
      <c r="AI224" s="120">
        <v>1475.0225410752689</v>
      </c>
      <c r="AJ224" s="120">
        <v>321.47723569892474</v>
      </c>
      <c r="AK224" s="44"/>
      <c r="AL224" s="120">
        <v>95.415138602150535</v>
      </c>
      <c r="AM224" s="44">
        <f t="shared" si="122"/>
        <v>1891.9149153763442</v>
      </c>
      <c r="AN224" s="17">
        <f t="shared" si="127"/>
        <v>1</v>
      </c>
      <c r="AO224" s="17"/>
      <c r="AP224" s="1">
        <f t="shared" ref="AP224:AP287" si="133">AP223+1</f>
        <v>45486</v>
      </c>
      <c r="AQ224" s="120">
        <v>1195.0319999999999</v>
      </c>
      <c r="AR224" s="120">
        <v>250.28773989677418</v>
      </c>
      <c r="AS224" s="44"/>
      <c r="AT224" s="120">
        <v>80.539199999999994</v>
      </c>
      <c r="AU224" s="44">
        <f t="shared" si="123"/>
        <v>1525.858939896774</v>
      </c>
      <c r="AV224" s="17">
        <f t="shared" si="128"/>
        <v>1</v>
      </c>
      <c r="AW224" s="17"/>
      <c r="AX224" s="1">
        <f t="shared" ref="AX224:AX287" si="134">AX223+1</f>
        <v>45852</v>
      </c>
      <c r="AY224" s="120">
        <v>1388.24</v>
      </c>
      <c r="AZ224" s="120">
        <v>297.24089773763438</v>
      </c>
      <c r="BA224" s="44"/>
      <c r="BB224" s="120">
        <v>82.477158387096779</v>
      </c>
      <c r="BC224" s="44">
        <f t="shared" si="124"/>
        <v>1767.9580561247312</v>
      </c>
      <c r="BD224" s="17">
        <f t="shared" si="129"/>
        <v>1</v>
      </c>
    </row>
    <row r="225" spans="1:56" x14ac:dyDescent="0.3">
      <c r="A225" s="17"/>
      <c r="B225" s="1">
        <v>43661</v>
      </c>
      <c r="C225" s="7">
        <v>1215</v>
      </c>
      <c r="D225" s="7">
        <v>217</v>
      </c>
      <c r="E225" s="7"/>
      <c r="F225" s="4">
        <v>70</v>
      </c>
      <c r="G225" s="7">
        <f t="shared" si="118"/>
        <v>1502</v>
      </c>
      <c r="H225" s="17">
        <f t="shared" si="116"/>
        <v>0</v>
      </c>
      <c r="J225" s="1">
        <v>44026</v>
      </c>
      <c r="K225" s="101">
        <v>1279.587</v>
      </c>
      <c r="L225" s="101">
        <v>240.78100000000001</v>
      </c>
      <c r="M225" s="101"/>
      <c r="N225" s="101">
        <v>76.063999999999993</v>
      </c>
      <c r="O225" s="7">
        <f t="shared" si="119"/>
        <v>1596.432</v>
      </c>
      <c r="P225" s="17">
        <f t="shared" si="117"/>
        <v>0</v>
      </c>
      <c r="R225" s="1">
        <f t="shared" si="130"/>
        <v>44392</v>
      </c>
      <c r="S225" s="43">
        <v>1300.9553395698924</v>
      </c>
      <c r="T225" s="77">
        <v>275.9341864516129</v>
      </c>
      <c r="U225" s="7"/>
      <c r="V225" s="49">
        <v>83.81938623655914</v>
      </c>
      <c r="W225" s="7">
        <f t="shared" si="120"/>
        <v>1660.7089122580646</v>
      </c>
      <c r="X225" s="17">
        <f t="shared" si="125"/>
        <v>1</v>
      </c>
      <c r="Y225" s="17"/>
      <c r="Z225" s="1">
        <f t="shared" si="131"/>
        <v>44757</v>
      </c>
      <c r="AA225" s="115">
        <v>1537.4053897849462</v>
      </c>
      <c r="AB225" s="115">
        <v>327.17362591397847</v>
      </c>
      <c r="AC225" s="101"/>
      <c r="AD225" s="115">
        <v>94.266281290322581</v>
      </c>
      <c r="AE225" s="101">
        <f t="shared" si="121"/>
        <v>1958.8452969892473</v>
      </c>
      <c r="AF225" s="17">
        <f t="shared" si="126"/>
        <v>1</v>
      </c>
      <c r="AH225" s="1">
        <f t="shared" si="132"/>
        <v>45122</v>
      </c>
      <c r="AI225" s="119">
        <v>1443.2888787096774</v>
      </c>
      <c r="AJ225" s="119">
        <v>315.89252924731181</v>
      </c>
      <c r="AK225" s="44"/>
      <c r="AL225" s="119">
        <v>93.529429677419358</v>
      </c>
      <c r="AM225" s="44">
        <f t="shared" si="122"/>
        <v>1852.7108376344086</v>
      </c>
      <c r="AN225" s="17">
        <f t="shared" si="127"/>
        <v>1</v>
      </c>
      <c r="AO225" s="17"/>
      <c r="AP225" s="1">
        <f t="shared" si="133"/>
        <v>45487</v>
      </c>
      <c r="AQ225" s="119">
        <v>1219.4970000000001</v>
      </c>
      <c r="AR225" s="119">
        <v>255.27076578494624</v>
      </c>
      <c r="AS225" s="44"/>
      <c r="AT225" s="119">
        <v>74.537806451612909</v>
      </c>
      <c r="AU225" s="44">
        <f t="shared" si="123"/>
        <v>1549.3055722365591</v>
      </c>
      <c r="AV225" s="17">
        <f t="shared" si="128"/>
        <v>1</v>
      </c>
      <c r="AW225" s="17"/>
      <c r="AX225" s="1">
        <f t="shared" si="134"/>
        <v>45853</v>
      </c>
      <c r="AY225" s="119">
        <v>1315.8109999999999</v>
      </c>
      <c r="AZ225" s="119">
        <v>302.38020738064517</v>
      </c>
      <c r="BA225" s="44"/>
      <c r="BB225" s="119">
        <v>83.423615806451608</v>
      </c>
      <c r="BC225" s="44">
        <f t="shared" si="124"/>
        <v>1701.6148231870968</v>
      </c>
      <c r="BD225" s="17">
        <f t="shared" si="129"/>
        <v>1</v>
      </c>
    </row>
    <row r="226" spans="1:56" x14ac:dyDescent="0.3">
      <c r="A226" s="17"/>
      <c r="B226" s="1">
        <v>43662</v>
      </c>
      <c r="C226" s="7">
        <v>1165</v>
      </c>
      <c r="D226" s="7">
        <v>211</v>
      </c>
      <c r="E226" s="7"/>
      <c r="F226" s="4">
        <v>72</v>
      </c>
      <c r="G226" s="7">
        <f t="shared" si="118"/>
        <v>1448</v>
      </c>
      <c r="H226" s="17">
        <f t="shared" si="116"/>
        <v>0</v>
      </c>
      <c r="J226" s="1">
        <v>44027</v>
      </c>
      <c r="K226" s="101">
        <v>1344.7159999999999</v>
      </c>
      <c r="L226" s="101">
        <v>254.071</v>
      </c>
      <c r="M226" s="101"/>
      <c r="N226" s="101">
        <v>76.92</v>
      </c>
      <c r="O226" s="7">
        <f t="shared" si="119"/>
        <v>1675.7069999999999</v>
      </c>
      <c r="P226" s="17">
        <f t="shared" si="117"/>
        <v>0</v>
      </c>
      <c r="R226" s="1">
        <f t="shared" si="130"/>
        <v>44393</v>
      </c>
      <c r="S226" s="43">
        <v>1239.2639888172043</v>
      </c>
      <c r="T226" s="77">
        <v>258.65215419354837</v>
      </c>
      <c r="U226" s="7"/>
      <c r="V226" s="49">
        <v>73.319557419354837</v>
      </c>
      <c r="W226" s="7">
        <f t="shared" si="120"/>
        <v>1571.2357004301075</v>
      </c>
      <c r="X226" s="17">
        <f t="shared" si="125"/>
        <v>1</v>
      </c>
      <c r="Y226" s="17"/>
      <c r="Z226" s="1">
        <f t="shared" si="131"/>
        <v>44758</v>
      </c>
      <c r="AA226" s="116">
        <v>1465.7074193548387</v>
      </c>
      <c r="AB226" s="116">
        <v>312.90060709677419</v>
      </c>
      <c r="AC226" s="101"/>
      <c r="AD226" s="116">
        <v>92.158482580645156</v>
      </c>
      <c r="AE226" s="101">
        <f t="shared" si="121"/>
        <v>1870.766509032258</v>
      </c>
      <c r="AF226" s="17">
        <f t="shared" si="126"/>
        <v>1</v>
      </c>
      <c r="AH226" s="1">
        <f t="shared" si="132"/>
        <v>45123</v>
      </c>
      <c r="AI226" s="120">
        <v>1356.3598064516129</v>
      </c>
      <c r="AJ226" s="120">
        <v>294.33500096774196</v>
      </c>
      <c r="AK226" s="44"/>
      <c r="AL226" s="120">
        <v>80.342464623655914</v>
      </c>
      <c r="AM226" s="44">
        <f t="shared" si="122"/>
        <v>1731.0372720430107</v>
      </c>
      <c r="AN226" s="17">
        <f t="shared" si="127"/>
        <v>1</v>
      </c>
      <c r="AO226" s="17"/>
      <c r="AP226" s="1">
        <f t="shared" si="133"/>
        <v>45488</v>
      </c>
      <c r="AQ226" s="120">
        <v>1331.616</v>
      </c>
      <c r="AR226" s="120">
        <v>273.63477137634408</v>
      </c>
      <c r="AS226" s="44"/>
      <c r="AT226" s="120">
        <v>83.959896774193552</v>
      </c>
      <c r="AU226" s="44">
        <f t="shared" si="123"/>
        <v>1689.2106681505377</v>
      </c>
      <c r="AV226" s="17">
        <f t="shared" si="128"/>
        <v>1</v>
      </c>
      <c r="AW226" s="17"/>
      <c r="AX226" s="1">
        <f t="shared" si="134"/>
        <v>45854</v>
      </c>
      <c r="AY226" s="120">
        <v>1302.7550000000001</v>
      </c>
      <c r="AZ226" s="120">
        <v>274.5170318967742</v>
      </c>
      <c r="BA226" s="44"/>
      <c r="BB226" s="120">
        <v>75.114499354838713</v>
      </c>
      <c r="BC226" s="44">
        <f t="shared" si="124"/>
        <v>1652.386531251613</v>
      </c>
      <c r="BD226" s="17">
        <f t="shared" si="129"/>
        <v>1</v>
      </c>
    </row>
    <row r="227" spans="1:56" x14ac:dyDescent="0.3">
      <c r="A227" s="17"/>
      <c r="B227" s="1">
        <v>43663</v>
      </c>
      <c r="C227" s="7">
        <v>1299</v>
      </c>
      <c r="D227" s="7">
        <v>230</v>
      </c>
      <c r="E227" s="7"/>
      <c r="F227" s="4">
        <v>72</v>
      </c>
      <c r="G227" s="7">
        <f t="shared" si="118"/>
        <v>1601</v>
      </c>
      <c r="H227" s="17">
        <f t="shared" si="116"/>
        <v>0</v>
      </c>
      <c r="J227" s="1">
        <v>44028</v>
      </c>
      <c r="K227" s="101">
        <v>1274.69</v>
      </c>
      <c r="L227" s="101">
        <v>283.101</v>
      </c>
      <c r="M227" s="101"/>
      <c r="N227" s="101">
        <v>76.715000000000003</v>
      </c>
      <c r="O227" s="7">
        <f t="shared" si="119"/>
        <v>1634.5060000000001</v>
      </c>
      <c r="P227" s="17">
        <f t="shared" si="117"/>
        <v>0</v>
      </c>
      <c r="R227" s="1">
        <f t="shared" si="130"/>
        <v>44394</v>
      </c>
      <c r="S227" s="43">
        <v>1276.2206047311829</v>
      </c>
      <c r="T227" s="77">
        <v>258.93333784946236</v>
      </c>
      <c r="U227" s="7"/>
      <c r="V227" s="49">
        <v>80.900727526881724</v>
      </c>
      <c r="W227" s="7">
        <f t="shared" si="120"/>
        <v>1616.0546701075268</v>
      </c>
      <c r="X227" s="17">
        <f t="shared" si="125"/>
        <v>1</v>
      </c>
      <c r="Y227" s="17"/>
      <c r="Z227" s="1">
        <f t="shared" si="131"/>
        <v>44759</v>
      </c>
      <c r="AA227" s="115">
        <v>1396.9228225806451</v>
      </c>
      <c r="AB227" s="115">
        <v>282.3737741935484</v>
      </c>
      <c r="AC227" s="101"/>
      <c r="AD227" s="115">
        <v>80.701507096774193</v>
      </c>
      <c r="AE227" s="101">
        <f t="shared" si="121"/>
        <v>1759.9981038709675</v>
      </c>
      <c r="AF227" s="17">
        <f t="shared" si="126"/>
        <v>1</v>
      </c>
      <c r="AH227" s="1">
        <f t="shared" si="132"/>
        <v>45124</v>
      </c>
      <c r="AI227" s="119">
        <v>1361.9566012903226</v>
      </c>
      <c r="AJ227" s="119">
        <v>283.9432919354839</v>
      </c>
      <c r="AK227" s="44"/>
      <c r="AL227" s="119">
        <v>79.864809462365585</v>
      </c>
      <c r="AM227" s="44">
        <f t="shared" si="122"/>
        <v>1725.7647026881721</v>
      </c>
      <c r="AN227" s="17">
        <f t="shared" si="127"/>
        <v>1</v>
      </c>
      <c r="AO227" s="17"/>
      <c r="AP227" s="1">
        <f t="shared" si="133"/>
        <v>45489</v>
      </c>
      <c r="AQ227" s="119">
        <v>1188.1869999999999</v>
      </c>
      <c r="AR227" s="119">
        <v>238.63211847311828</v>
      </c>
      <c r="AS227" s="44"/>
      <c r="AT227" s="119">
        <v>69.987716129032265</v>
      </c>
      <c r="AU227" s="44">
        <f t="shared" si="123"/>
        <v>1496.8068346021505</v>
      </c>
      <c r="AV227" s="17">
        <f t="shared" si="128"/>
        <v>1</v>
      </c>
      <c r="AW227" s="17"/>
      <c r="AX227" s="1">
        <f t="shared" si="134"/>
        <v>45855</v>
      </c>
      <c r="AY227" s="119">
        <v>1430.248</v>
      </c>
      <c r="AZ227" s="119">
        <v>297.12579541505374</v>
      </c>
      <c r="BA227" s="44"/>
      <c r="BB227" s="119">
        <v>82.332049354838716</v>
      </c>
      <c r="BC227" s="44">
        <f t="shared" si="124"/>
        <v>1809.7058447698926</v>
      </c>
      <c r="BD227" s="17">
        <f t="shared" si="129"/>
        <v>1</v>
      </c>
    </row>
    <row r="228" spans="1:56" x14ac:dyDescent="0.3">
      <c r="A228" s="17"/>
      <c r="B228" s="1">
        <v>43664</v>
      </c>
      <c r="C228" s="7">
        <v>1340</v>
      </c>
      <c r="D228" s="7">
        <v>233</v>
      </c>
      <c r="E228" s="7"/>
      <c r="F228" s="4">
        <v>77</v>
      </c>
      <c r="G228" s="7">
        <f t="shared" si="118"/>
        <v>1650</v>
      </c>
      <c r="H228" s="17">
        <f t="shared" si="116"/>
        <v>0</v>
      </c>
      <c r="J228" s="1">
        <v>44029</v>
      </c>
      <c r="K228" s="101">
        <v>1360.877</v>
      </c>
      <c r="L228" s="101">
        <v>294.74200000000002</v>
      </c>
      <c r="M228" s="101"/>
      <c r="N228" s="101">
        <v>77.650000000000006</v>
      </c>
      <c r="O228" s="7">
        <f t="shared" si="119"/>
        <v>1733.269</v>
      </c>
      <c r="P228" s="17">
        <f t="shared" si="117"/>
        <v>0</v>
      </c>
      <c r="R228" s="1">
        <f t="shared" si="130"/>
        <v>44395</v>
      </c>
      <c r="S228" s="43">
        <v>1192.5798372043012</v>
      </c>
      <c r="T228" s="77">
        <v>229.15317763440859</v>
      </c>
      <c r="U228" s="7"/>
      <c r="V228" s="49">
        <v>84.542842150537638</v>
      </c>
      <c r="W228" s="7">
        <f t="shared" si="120"/>
        <v>1506.2758569892474</v>
      </c>
      <c r="X228" s="17">
        <f t="shared" si="125"/>
        <v>1</v>
      </c>
      <c r="Y228" s="17"/>
      <c r="Z228" s="1">
        <f t="shared" si="131"/>
        <v>44760</v>
      </c>
      <c r="AA228" s="116">
        <v>1481.7097580645161</v>
      </c>
      <c r="AB228" s="116">
        <v>287.86679580645159</v>
      </c>
      <c r="AC228" s="101"/>
      <c r="AD228" s="116">
        <v>89.234100645161291</v>
      </c>
      <c r="AE228" s="101">
        <f t="shared" si="121"/>
        <v>1858.810654516129</v>
      </c>
      <c r="AF228" s="17">
        <f t="shared" si="126"/>
        <v>1</v>
      </c>
      <c r="AH228" s="1">
        <f t="shared" si="132"/>
        <v>45125</v>
      </c>
      <c r="AI228" s="120">
        <v>1382.4288713978494</v>
      </c>
      <c r="AJ228" s="120">
        <v>300.44743677419353</v>
      </c>
      <c r="AK228" s="44"/>
      <c r="AL228" s="120">
        <v>83.219226774193544</v>
      </c>
      <c r="AM228" s="44">
        <f t="shared" si="122"/>
        <v>1766.0955349462365</v>
      </c>
      <c r="AN228" s="17">
        <f t="shared" si="127"/>
        <v>1</v>
      </c>
      <c r="AO228" s="17"/>
      <c r="AP228" s="1">
        <f t="shared" si="133"/>
        <v>45490</v>
      </c>
      <c r="AQ228" s="120">
        <v>1236.1300000000001</v>
      </c>
      <c r="AR228" s="120">
        <v>252.9167915483871</v>
      </c>
      <c r="AS228" s="44"/>
      <c r="AT228" s="120">
        <v>76.113754838709681</v>
      </c>
      <c r="AU228" s="44">
        <f t="shared" si="123"/>
        <v>1565.1605463870969</v>
      </c>
      <c r="AV228" s="17">
        <f t="shared" si="128"/>
        <v>1</v>
      </c>
      <c r="AW228" s="17"/>
      <c r="AX228" s="1">
        <f t="shared" si="134"/>
        <v>45856</v>
      </c>
      <c r="AY228" s="120">
        <v>1398.0440000000001</v>
      </c>
      <c r="AZ228" s="120">
        <v>290.34537753010756</v>
      </c>
      <c r="BA228" s="44"/>
      <c r="BB228" s="120">
        <v>84.900695806451608</v>
      </c>
      <c r="BC228" s="44">
        <f t="shared" si="124"/>
        <v>1773.2900733365591</v>
      </c>
      <c r="BD228" s="17">
        <f t="shared" si="129"/>
        <v>1</v>
      </c>
    </row>
    <row r="229" spans="1:56" x14ac:dyDescent="0.3">
      <c r="A229" s="17"/>
      <c r="B229" s="1">
        <v>43665</v>
      </c>
      <c r="C229" s="7">
        <v>1298</v>
      </c>
      <c r="D229" s="7">
        <v>236</v>
      </c>
      <c r="E229" s="7"/>
      <c r="F229" s="4">
        <v>75</v>
      </c>
      <c r="G229" s="7">
        <f t="shared" si="118"/>
        <v>1609</v>
      </c>
      <c r="H229" s="17">
        <f t="shared" si="116"/>
        <v>0</v>
      </c>
      <c r="J229" s="1">
        <v>44030</v>
      </c>
      <c r="K229" s="101">
        <v>1277.6279999999999</v>
      </c>
      <c r="L229" s="101">
        <v>279.35500000000002</v>
      </c>
      <c r="M229" s="101"/>
      <c r="N229" s="101">
        <v>78.123999999999995</v>
      </c>
      <c r="O229" s="7">
        <f t="shared" si="119"/>
        <v>1635.107</v>
      </c>
      <c r="P229" s="17">
        <f t="shared" si="117"/>
        <v>0</v>
      </c>
      <c r="R229" s="1">
        <f t="shared" si="130"/>
        <v>44396</v>
      </c>
      <c r="S229" s="43">
        <v>1223.7036331182796</v>
      </c>
      <c r="T229" s="77">
        <v>258.0283688172043</v>
      </c>
      <c r="U229" s="7"/>
      <c r="V229" s="49">
        <v>85.206909892473121</v>
      </c>
      <c r="W229" s="7">
        <f t="shared" si="120"/>
        <v>1566.9389118279569</v>
      </c>
      <c r="X229" s="17">
        <f t="shared" si="125"/>
        <v>1</v>
      </c>
      <c r="Y229" s="17"/>
      <c r="Z229" s="1">
        <f t="shared" si="131"/>
        <v>44761</v>
      </c>
      <c r="AA229" s="115">
        <v>1364.8218951612903</v>
      </c>
      <c r="AB229" s="115">
        <v>280.66000602150535</v>
      </c>
      <c r="AC229" s="101"/>
      <c r="AD229" s="115">
        <v>89.954678709677424</v>
      </c>
      <c r="AE229" s="101">
        <f t="shared" si="121"/>
        <v>1735.436579892473</v>
      </c>
      <c r="AF229" s="17">
        <f t="shared" si="126"/>
        <v>1</v>
      </c>
      <c r="AH229" s="1">
        <f t="shared" si="132"/>
        <v>45126</v>
      </c>
      <c r="AI229" s="119">
        <v>1365.8398400000001</v>
      </c>
      <c r="AJ229" s="119">
        <v>302.82948827956989</v>
      </c>
      <c r="AK229" s="44"/>
      <c r="AL229" s="119">
        <v>84.943551075268815</v>
      </c>
      <c r="AM229" s="44">
        <f t="shared" si="122"/>
        <v>1753.6128793548387</v>
      </c>
      <c r="AN229" s="17">
        <f t="shared" si="127"/>
        <v>1</v>
      </c>
      <c r="AO229" s="17"/>
      <c r="AP229" s="1">
        <f t="shared" si="133"/>
        <v>45491</v>
      </c>
      <c r="AQ229" s="119">
        <v>1333.09</v>
      </c>
      <c r="AR229" s="119">
        <v>287.21345620645161</v>
      </c>
      <c r="AS229" s="44"/>
      <c r="AT229" s="119">
        <v>83.856929032258066</v>
      </c>
      <c r="AU229" s="44">
        <f t="shared" si="123"/>
        <v>1704.1603852387095</v>
      </c>
      <c r="AV229" s="17">
        <f t="shared" si="128"/>
        <v>1</v>
      </c>
      <c r="AW229" s="17"/>
      <c r="AX229" s="1">
        <f t="shared" si="134"/>
        <v>45857</v>
      </c>
      <c r="AY229" s="119">
        <v>1418.913</v>
      </c>
      <c r="AZ229" s="119">
        <v>304.33136226236559</v>
      </c>
      <c r="BA229" s="44"/>
      <c r="BB229" s="119">
        <v>84.211969354838715</v>
      </c>
      <c r="BC229" s="44">
        <f t="shared" si="124"/>
        <v>1807.4563316172041</v>
      </c>
      <c r="BD229" s="17">
        <f t="shared" si="129"/>
        <v>1</v>
      </c>
    </row>
    <row r="230" spans="1:56" x14ac:dyDescent="0.3">
      <c r="A230" s="17"/>
      <c r="B230" s="1">
        <v>43666</v>
      </c>
      <c r="C230" s="7">
        <v>1267</v>
      </c>
      <c r="D230" s="7">
        <v>233</v>
      </c>
      <c r="E230" s="7"/>
      <c r="F230" s="4">
        <v>70</v>
      </c>
      <c r="G230" s="7">
        <f t="shared" si="118"/>
        <v>1570</v>
      </c>
      <c r="H230" s="17">
        <f t="shared" si="116"/>
        <v>0</v>
      </c>
      <c r="J230" s="1">
        <v>44031</v>
      </c>
      <c r="K230" s="101">
        <v>1240.9000000000001</v>
      </c>
      <c r="L230" s="101">
        <v>260.91300000000001</v>
      </c>
      <c r="M230" s="101"/>
      <c r="N230" s="101">
        <v>72.819999999999993</v>
      </c>
      <c r="O230" s="7">
        <f t="shared" si="119"/>
        <v>1574.633</v>
      </c>
      <c r="P230" s="17">
        <f t="shared" si="117"/>
        <v>0</v>
      </c>
      <c r="R230" s="1">
        <f t="shared" si="130"/>
        <v>44397</v>
      </c>
      <c r="S230" s="43">
        <v>1249.4449483870967</v>
      </c>
      <c r="T230" s="77">
        <v>257.18285139784945</v>
      </c>
      <c r="U230" s="7"/>
      <c r="V230" s="49">
        <v>82.997669892473112</v>
      </c>
      <c r="W230" s="7">
        <f t="shared" si="120"/>
        <v>1589.6254696774192</v>
      </c>
      <c r="X230" s="17">
        <f t="shared" si="125"/>
        <v>1</v>
      </c>
      <c r="Y230" s="17"/>
      <c r="Z230" s="1">
        <f t="shared" si="131"/>
        <v>44762</v>
      </c>
      <c r="AA230" s="116">
        <v>1491.7466666666667</v>
      </c>
      <c r="AB230" s="116">
        <v>296.06469053763442</v>
      </c>
      <c r="AC230" s="101"/>
      <c r="AD230" s="116">
        <v>89.847886451612908</v>
      </c>
      <c r="AE230" s="101">
        <f t="shared" si="121"/>
        <v>1877.659243655914</v>
      </c>
      <c r="AF230" s="17">
        <f t="shared" si="126"/>
        <v>1</v>
      </c>
      <c r="AH230" s="1">
        <f t="shared" si="132"/>
        <v>45127</v>
      </c>
      <c r="AI230" s="120">
        <v>1378.331951827957</v>
      </c>
      <c r="AJ230" s="120">
        <v>304.71952924731181</v>
      </c>
      <c r="AK230" s="44"/>
      <c r="AL230" s="120">
        <v>91.200725376344081</v>
      </c>
      <c r="AM230" s="44">
        <f t="shared" si="122"/>
        <v>1774.2522064516129</v>
      </c>
      <c r="AN230" s="17">
        <f t="shared" si="127"/>
        <v>1</v>
      </c>
      <c r="AO230" s="17"/>
      <c r="AP230" s="1">
        <f t="shared" si="133"/>
        <v>45492</v>
      </c>
      <c r="AQ230" s="120">
        <v>1283.2950000000001</v>
      </c>
      <c r="AR230" s="120">
        <v>276.4280948236559</v>
      </c>
      <c r="AS230" s="44"/>
      <c r="AT230" s="120">
        <v>85.545599999999993</v>
      </c>
      <c r="AU230" s="44">
        <f t="shared" si="123"/>
        <v>1645.268694823656</v>
      </c>
      <c r="AV230" s="17">
        <f t="shared" si="128"/>
        <v>1</v>
      </c>
      <c r="AW230" s="17"/>
      <c r="AX230" s="1">
        <f t="shared" si="134"/>
        <v>45858</v>
      </c>
      <c r="AY230" s="120">
        <v>1334.37</v>
      </c>
      <c r="AZ230" s="120">
        <v>289.05179104086022</v>
      </c>
      <c r="BA230" s="44"/>
      <c r="BB230" s="120">
        <v>80.18356935483871</v>
      </c>
      <c r="BC230" s="44">
        <f t="shared" si="124"/>
        <v>1703.6053603956989</v>
      </c>
      <c r="BD230" s="17">
        <f t="shared" si="129"/>
        <v>1</v>
      </c>
    </row>
    <row r="231" spans="1:56" x14ac:dyDescent="0.3">
      <c r="A231" s="17"/>
      <c r="B231" s="1">
        <v>43667</v>
      </c>
      <c r="C231" s="7">
        <v>1188</v>
      </c>
      <c r="D231" s="7">
        <v>222</v>
      </c>
      <c r="E231" s="7"/>
      <c r="F231" s="4">
        <v>64</v>
      </c>
      <c r="G231" s="7">
        <f t="shared" si="118"/>
        <v>1474</v>
      </c>
      <c r="H231" s="17">
        <f t="shared" si="116"/>
        <v>0</v>
      </c>
      <c r="J231" s="1">
        <v>44032</v>
      </c>
      <c r="K231" s="101">
        <v>1341.289</v>
      </c>
      <c r="L231" s="101">
        <v>278.17399999999998</v>
      </c>
      <c r="M231" s="101"/>
      <c r="N231" s="101">
        <v>77.700999999999993</v>
      </c>
      <c r="O231" s="7">
        <f t="shared" si="119"/>
        <v>1697.164</v>
      </c>
      <c r="P231" s="17">
        <f t="shared" si="117"/>
        <v>0</v>
      </c>
      <c r="R231" s="1">
        <f t="shared" si="130"/>
        <v>44398</v>
      </c>
      <c r="S231" s="43">
        <v>1316.9187387096774</v>
      </c>
      <c r="T231" s="77">
        <v>263.51549913978494</v>
      </c>
      <c r="U231" s="7"/>
      <c r="V231" s="49">
        <v>87.596473978494629</v>
      </c>
      <c r="W231" s="7">
        <f t="shared" si="120"/>
        <v>1668.030711827957</v>
      </c>
      <c r="X231" s="17">
        <f t="shared" si="125"/>
        <v>1</v>
      </c>
      <c r="Y231" s="17"/>
      <c r="Z231" s="1">
        <f t="shared" si="131"/>
        <v>44763</v>
      </c>
      <c r="AA231" s="115">
        <v>1492.7629838709677</v>
      </c>
      <c r="AB231" s="115">
        <v>295.67361860215055</v>
      </c>
      <c r="AC231" s="101"/>
      <c r="AD231" s="115">
        <v>92.157403870967741</v>
      </c>
      <c r="AE231" s="101">
        <f t="shared" si="121"/>
        <v>1880.594006344086</v>
      </c>
      <c r="AF231" s="17">
        <f t="shared" si="126"/>
        <v>1</v>
      </c>
      <c r="AH231" s="1">
        <f t="shared" si="132"/>
        <v>45128</v>
      </c>
      <c r="AI231" s="119">
        <v>1551.0004692473119</v>
      </c>
      <c r="AJ231" s="119">
        <v>326.13955075268819</v>
      </c>
      <c r="AK231" s="44"/>
      <c r="AL231" s="119">
        <v>95.466045161290324</v>
      </c>
      <c r="AM231" s="44">
        <f t="shared" si="122"/>
        <v>1972.6060651612904</v>
      </c>
      <c r="AN231" s="17">
        <f t="shared" si="127"/>
        <v>1</v>
      </c>
      <c r="AO231" s="17"/>
      <c r="AP231" s="1">
        <f t="shared" si="133"/>
        <v>45493</v>
      </c>
      <c r="AQ231" s="119">
        <v>1240.944</v>
      </c>
      <c r="AR231" s="119">
        <v>257.42956333978492</v>
      </c>
      <c r="AS231" s="44"/>
      <c r="AT231" s="119">
        <v>83.253212903225801</v>
      </c>
      <c r="AU231" s="44">
        <f t="shared" si="123"/>
        <v>1581.6267762430107</v>
      </c>
      <c r="AV231" s="17">
        <f t="shared" si="128"/>
        <v>1</v>
      </c>
      <c r="AW231" s="17"/>
      <c r="AX231" s="1">
        <f t="shared" si="134"/>
        <v>45859</v>
      </c>
      <c r="AY231" s="119">
        <v>1405.3050000000001</v>
      </c>
      <c r="AZ231" s="119">
        <v>280.18836844086019</v>
      </c>
      <c r="BA231" s="44"/>
      <c r="BB231" s="119">
        <v>84.493524193548382</v>
      </c>
      <c r="BC231" s="44">
        <f t="shared" si="124"/>
        <v>1769.9868926344086</v>
      </c>
      <c r="BD231" s="17">
        <f t="shared" si="129"/>
        <v>1</v>
      </c>
    </row>
    <row r="232" spans="1:56" x14ac:dyDescent="0.3">
      <c r="A232" s="17"/>
      <c r="B232" s="1">
        <v>43668</v>
      </c>
      <c r="C232" s="7">
        <v>1343</v>
      </c>
      <c r="D232" s="7">
        <v>221</v>
      </c>
      <c r="E232" s="7"/>
      <c r="F232" s="4">
        <v>72</v>
      </c>
      <c r="G232" s="7">
        <f t="shared" si="118"/>
        <v>1636</v>
      </c>
      <c r="H232" s="17">
        <f t="shared" si="116"/>
        <v>0</v>
      </c>
      <c r="J232" s="1">
        <v>44033</v>
      </c>
      <c r="K232" s="101">
        <v>1419.6410000000001</v>
      </c>
      <c r="L232" s="101">
        <v>296.38299999999998</v>
      </c>
      <c r="M232" s="101"/>
      <c r="N232" s="101">
        <v>79.555000000000007</v>
      </c>
      <c r="O232" s="7">
        <f t="shared" si="119"/>
        <v>1795.5790000000002</v>
      </c>
      <c r="P232" s="17">
        <f t="shared" si="117"/>
        <v>1</v>
      </c>
      <c r="R232" s="1">
        <f t="shared" si="130"/>
        <v>44399</v>
      </c>
      <c r="S232" s="43">
        <v>1240.2777664516129</v>
      </c>
      <c r="T232" s="77">
        <v>254.57729806451613</v>
      </c>
      <c r="U232" s="7"/>
      <c r="V232" s="49">
        <v>85.847222365591392</v>
      </c>
      <c r="W232" s="7">
        <f t="shared" si="120"/>
        <v>1580.7022868817203</v>
      </c>
      <c r="X232" s="17">
        <f t="shared" si="125"/>
        <v>1</v>
      </c>
      <c r="Y232" s="17"/>
      <c r="Z232" s="1">
        <f t="shared" si="131"/>
        <v>44764</v>
      </c>
      <c r="AA232" s="116">
        <v>1431.2913172043011</v>
      </c>
      <c r="AB232" s="116">
        <v>291.76938096774194</v>
      </c>
      <c r="AC232" s="101"/>
      <c r="AD232" s="116">
        <v>89.12622967741936</v>
      </c>
      <c r="AE232" s="101">
        <f t="shared" si="121"/>
        <v>1812.1869278494623</v>
      </c>
      <c r="AF232" s="17">
        <f t="shared" si="126"/>
        <v>1</v>
      </c>
      <c r="AH232" s="1">
        <f t="shared" si="132"/>
        <v>45129</v>
      </c>
      <c r="AI232" s="120">
        <v>1475.6800206451612</v>
      </c>
      <c r="AJ232" s="120">
        <v>323.53425021505376</v>
      </c>
      <c r="AK232" s="44"/>
      <c r="AL232" s="120">
        <v>99.932824946236565</v>
      </c>
      <c r="AM232" s="44">
        <f t="shared" si="122"/>
        <v>1899.1470958064515</v>
      </c>
      <c r="AN232" s="17">
        <f t="shared" si="127"/>
        <v>1</v>
      </c>
      <c r="AO232" s="17"/>
      <c r="AP232" s="1">
        <f t="shared" si="133"/>
        <v>45494</v>
      </c>
      <c r="AQ232" s="120">
        <v>1217.921</v>
      </c>
      <c r="AR232" s="120">
        <v>250.28878972043012</v>
      </c>
      <c r="AS232" s="44"/>
      <c r="AT232" s="120">
        <v>78.537290322580645</v>
      </c>
      <c r="AU232" s="44">
        <f t="shared" si="123"/>
        <v>1546.7470800430108</v>
      </c>
      <c r="AV232" s="17">
        <f t="shared" si="128"/>
        <v>1</v>
      </c>
      <c r="AW232" s="17"/>
      <c r="AX232" s="1">
        <f t="shared" si="134"/>
        <v>45860</v>
      </c>
      <c r="AY232" s="120">
        <v>1387.88</v>
      </c>
      <c r="AZ232" s="120">
        <v>301.39461739032259</v>
      </c>
      <c r="BA232" s="44"/>
      <c r="BB232" s="120">
        <v>90.010916129032253</v>
      </c>
      <c r="BC232" s="44">
        <f t="shared" si="124"/>
        <v>1779.2855335193549</v>
      </c>
      <c r="BD232" s="17">
        <f t="shared" si="129"/>
        <v>1</v>
      </c>
    </row>
    <row r="233" spans="1:56" x14ac:dyDescent="0.3">
      <c r="A233" s="17"/>
      <c r="B233" s="1">
        <v>43669</v>
      </c>
      <c r="C233" s="7">
        <v>1338</v>
      </c>
      <c r="D233" s="7">
        <v>228</v>
      </c>
      <c r="E233" s="7"/>
      <c r="F233" s="4">
        <v>78</v>
      </c>
      <c r="G233" s="7">
        <f t="shared" si="118"/>
        <v>1644</v>
      </c>
      <c r="H233" s="17">
        <f t="shared" si="116"/>
        <v>0</v>
      </c>
      <c r="J233" s="1">
        <v>44034</v>
      </c>
      <c r="K233" s="101">
        <v>1448.5329999999999</v>
      </c>
      <c r="L233" s="101">
        <v>282.024</v>
      </c>
      <c r="M233" s="101"/>
      <c r="N233" s="101">
        <v>84.853999999999999</v>
      </c>
      <c r="O233" s="7">
        <f t="shared" si="119"/>
        <v>1815.4109999999998</v>
      </c>
      <c r="P233" s="17">
        <f t="shared" si="117"/>
        <v>1</v>
      </c>
      <c r="R233" s="1">
        <f t="shared" si="130"/>
        <v>44400</v>
      </c>
      <c r="S233" s="43">
        <v>1257.796789892473</v>
      </c>
      <c r="T233" s="77">
        <v>259.79871118279567</v>
      </c>
      <c r="U233" s="7"/>
      <c r="V233" s="49">
        <v>86.770438494623662</v>
      </c>
      <c r="W233" s="7">
        <f t="shared" si="120"/>
        <v>1604.3659395698924</v>
      </c>
      <c r="X233" s="17">
        <f t="shared" si="125"/>
        <v>1</v>
      </c>
      <c r="Y233" s="17"/>
      <c r="Z233" s="1">
        <f t="shared" si="131"/>
        <v>44765</v>
      </c>
      <c r="AA233" s="115">
        <v>1390.4740725806453</v>
      </c>
      <c r="AB233" s="115">
        <v>288.86774860215053</v>
      </c>
      <c r="AC233" s="101"/>
      <c r="AD233" s="115">
        <v>86.515752258064509</v>
      </c>
      <c r="AE233" s="101">
        <f t="shared" si="121"/>
        <v>1765.8575734408603</v>
      </c>
      <c r="AF233" s="17">
        <f t="shared" si="126"/>
        <v>1</v>
      </c>
      <c r="AH233" s="1">
        <f t="shared" si="132"/>
        <v>45130</v>
      </c>
      <c r="AI233" s="119">
        <v>1432.6253819354838</v>
      </c>
      <c r="AJ233" s="119">
        <v>324.03646580645159</v>
      </c>
      <c r="AK233" s="44"/>
      <c r="AL233" s="119">
        <v>90.854127526881726</v>
      </c>
      <c r="AM233" s="44">
        <f t="shared" si="122"/>
        <v>1847.5159752688171</v>
      </c>
      <c r="AN233" s="17">
        <f t="shared" si="127"/>
        <v>1</v>
      </c>
      <c r="AO233" s="17"/>
      <c r="AP233" s="1">
        <f t="shared" si="133"/>
        <v>45495</v>
      </c>
      <c r="AQ233" s="119">
        <v>1333.854</v>
      </c>
      <c r="AR233" s="119">
        <v>265.1375939860215</v>
      </c>
      <c r="AS233" s="44"/>
      <c r="AT233" s="119">
        <v>87.270038709677422</v>
      </c>
      <c r="AU233" s="44">
        <f t="shared" si="123"/>
        <v>1686.2616326956991</v>
      </c>
      <c r="AV233" s="17">
        <f t="shared" si="128"/>
        <v>1</v>
      </c>
      <c r="AW233" s="17"/>
      <c r="AX233" s="1">
        <f t="shared" si="134"/>
        <v>45861</v>
      </c>
      <c r="AY233" s="119">
        <v>1390.97</v>
      </c>
      <c r="AZ233" s="119">
        <v>264.81123495913977</v>
      </c>
      <c r="BA233" s="44"/>
      <c r="BB233" s="119">
        <v>92.149649999999994</v>
      </c>
      <c r="BC233" s="44">
        <f t="shared" si="124"/>
        <v>1747.9308849591398</v>
      </c>
      <c r="BD233" s="17">
        <f t="shared" si="129"/>
        <v>1</v>
      </c>
    </row>
    <row r="234" spans="1:56" x14ac:dyDescent="0.3">
      <c r="A234" s="17"/>
      <c r="B234" s="1">
        <v>43670</v>
      </c>
      <c r="C234" s="7">
        <v>1303</v>
      </c>
      <c r="D234" s="7">
        <v>216</v>
      </c>
      <c r="E234" s="7"/>
      <c r="F234" s="4">
        <v>79</v>
      </c>
      <c r="G234" s="7">
        <f t="shared" si="118"/>
        <v>1598</v>
      </c>
      <c r="H234" s="17">
        <f t="shared" si="116"/>
        <v>0</v>
      </c>
      <c r="J234" s="1">
        <v>44035</v>
      </c>
      <c r="K234" s="101">
        <v>1288.4010000000001</v>
      </c>
      <c r="L234" s="101">
        <v>273.04700000000003</v>
      </c>
      <c r="M234" s="101"/>
      <c r="N234" s="101">
        <v>85.491</v>
      </c>
      <c r="O234" s="7">
        <f t="shared" si="119"/>
        <v>1646.9390000000001</v>
      </c>
      <c r="P234" s="17">
        <f t="shared" si="117"/>
        <v>0</v>
      </c>
      <c r="R234" s="1">
        <f t="shared" si="130"/>
        <v>44401</v>
      </c>
      <c r="S234" s="43">
        <v>1239.3554961290322</v>
      </c>
      <c r="T234" s="77">
        <v>241.67673419354838</v>
      </c>
      <c r="U234" s="7"/>
      <c r="V234" s="49">
        <v>85.798632043010755</v>
      </c>
      <c r="W234" s="7">
        <f t="shared" si="120"/>
        <v>1566.8308623655912</v>
      </c>
      <c r="X234" s="17">
        <f t="shared" si="125"/>
        <v>1</v>
      </c>
      <c r="Y234" s="17"/>
      <c r="Z234" s="1">
        <f t="shared" si="131"/>
        <v>44766</v>
      </c>
      <c r="AA234" s="116">
        <v>1285.6919758064516</v>
      </c>
      <c r="AB234" s="116">
        <v>285.55065419354838</v>
      </c>
      <c r="AC234" s="101"/>
      <c r="AD234" s="116">
        <v>78.661667096774195</v>
      </c>
      <c r="AE234" s="101">
        <f t="shared" si="121"/>
        <v>1649.9042970967741</v>
      </c>
      <c r="AF234" s="17">
        <f t="shared" si="126"/>
        <v>1</v>
      </c>
      <c r="AH234" s="1">
        <f t="shared" si="132"/>
        <v>45131</v>
      </c>
      <c r="AI234" s="120">
        <v>1541.3108640860214</v>
      </c>
      <c r="AJ234" s="120">
        <v>352.07550344086019</v>
      </c>
      <c r="AK234" s="44"/>
      <c r="AL234" s="120">
        <v>89.486149139784942</v>
      </c>
      <c r="AM234" s="44">
        <f t="shared" si="122"/>
        <v>1982.8725166666666</v>
      </c>
      <c r="AN234" s="17">
        <f t="shared" si="127"/>
        <v>1</v>
      </c>
      <c r="AO234" s="17"/>
      <c r="AP234" s="1">
        <f t="shared" si="133"/>
        <v>45496</v>
      </c>
      <c r="AQ234" s="120">
        <v>1308.1790000000001</v>
      </c>
      <c r="AR234" s="120">
        <v>254.25444107526883</v>
      </c>
      <c r="AS234" s="44"/>
      <c r="AT234" s="120">
        <v>87.157316129032253</v>
      </c>
      <c r="AU234" s="44">
        <f t="shared" si="123"/>
        <v>1649.5907572043013</v>
      </c>
      <c r="AV234" s="17">
        <f t="shared" si="128"/>
        <v>1</v>
      </c>
      <c r="AW234" s="17"/>
      <c r="AX234" s="1">
        <f t="shared" si="134"/>
        <v>45862</v>
      </c>
      <c r="AY234" s="120">
        <v>1493.8240000000001</v>
      </c>
      <c r="AZ234" s="120">
        <v>307.86332904731182</v>
      </c>
      <c r="BA234" s="44"/>
      <c r="BB234" s="120">
        <v>94.620835161290316</v>
      </c>
      <c r="BC234" s="44">
        <f t="shared" si="124"/>
        <v>1896.3081642086022</v>
      </c>
      <c r="BD234" s="17">
        <f t="shared" si="129"/>
        <v>1</v>
      </c>
    </row>
    <row r="235" spans="1:56" x14ac:dyDescent="0.3">
      <c r="A235" s="17"/>
      <c r="B235" s="1">
        <v>43671</v>
      </c>
      <c r="C235" s="7">
        <v>1214</v>
      </c>
      <c r="D235" s="7">
        <v>210</v>
      </c>
      <c r="E235" s="7"/>
      <c r="F235" s="4">
        <v>75</v>
      </c>
      <c r="G235" s="7">
        <f t="shared" si="118"/>
        <v>1499</v>
      </c>
      <c r="H235" s="17">
        <f t="shared" si="116"/>
        <v>0</v>
      </c>
      <c r="J235" s="1">
        <v>44036</v>
      </c>
      <c r="K235" s="101">
        <v>1217.394</v>
      </c>
      <c r="L235" s="101">
        <v>251.85499999999999</v>
      </c>
      <c r="M235" s="101"/>
      <c r="N235" s="101">
        <v>78.432000000000002</v>
      </c>
      <c r="O235" s="7">
        <f t="shared" si="119"/>
        <v>1547.681</v>
      </c>
      <c r="P235" s="17">
        <f t="shared" si="117"/>
        <v>0</v>
      </c>
      <c r="R235" s="1">
        <f t="shared" si="130"/>
        <v>44402</v>
      </c>
      <c r="S235" s="43">
        <v>1169.998094623656</v>
      </c>
      <c r="T235" s="77">
        <v>232.18752043010753</v>
      </c>
      <c r="U235" s="7"/>
      <c r="V235" s="49">
        <v>81.165274838709678</v>
      </c>
      <c r="W235" s="7">
        <f t="shared" si="120"/>
        <v>1483.3508898924731</v>
      </c>
      <c r="X235" s="17">
        <f t="shared" si="125"/>
        <v>1</v>
      </c>
      <c r="Y235" s="17"/>
      <c r="Z235" s="1">
        <f t="shared" si="131"/>
        <v>44767</v>
      </c>
      <c r="AA235" s="115">
        <v>1399.2007392473117</v>
      </c>
      <c r="AB235" s="115">
        <v>277.4308194623656</v>
      </c>
      <c r="AC235" s="101"/>
      <c r="AD235" s="115">
        <v>82.836273548387098</v>
      </c>
      <c r="AE235" s="101">
        <f t="shared" si="121"/>
        <v>1759.4678322580644</v>
      </c>
      <c r="AF235" s="17">
        <f t="shared" si="126"/>
        <v>1</v>
      </c>
      <c r="AH235" s="1">
        <f t="shared" si="132"/>
        <v>45132</v>
      </c>
      <c r="AI235" s="119">
        <v>1528.1581907526881</v>
      </c>
      <c r="AJ235" s="119">
        <v>375.3895035483871</v>
      </c>
      <c r="AK235" s="44"/>
      <c r="AL235" s="119">
        <v>89.454738709677414</v>
      </c>
      <c r="AM235" s="44">
        <f t="shared" si="122"/>
        <v>1993.0024330107528</v>
      </c>
      <c r="AN235" s="17">
        <f t="shared" si="127"/>
        <v>1</v>
      </c>
      <c r="AO235" s="17"/>
      <c r="AP235" s="1">
        <f t="shared" si="133"/>
        <v>45497</v>
      </c>
      <c r="AQ235" s="119">
        <v>1431.97</v>
      </c>
      <c r="AR235" s="119">
        <v>283.67312455483869</v>
      </c>
      <c r="AS235" s="44"/>
      <c r="AT235" s="119">
        <v>89.333729032258063</v>
      </c>
      <c r="AU235" s="44">
        <f t="shared" si="123"/>
        <v>1804.9768535870969</v>
      </c>
      <c r="AV235" s="17">
        <f t="shared" si="128"/>
        <v>1</v>
      </c>
      <c r="AW235" s="17"/>
      <c r="AX235" s="1">
        <f t="shared" si="134"/>
        <v>45863</v>
      </c>
      <c r="AY235" s="119">
        <v>1526.212</v>
      </c>
      <c r="AZ235" s="119">
        <v>334.55339371397849</v>
      </c>
      <c r="BA235" s="44"/>
      <c r="BB235" s="119">
        <v>100.63527967741935</v>
      </c>
      <c r="BC235" s="44">
        <f t="shared" si="124"/>
        <v>1961.4006733913977</v>
      </c>
      <c r="BD235" s="17">
        <f t="shared" si="129"/>
        <v>1</v>
      </c>
    </row>
    <row r="236" spans="1:56" x14ac:dyDescent="0.3">
      <c r="A236" s="17"/>
      <c r="B236" s="1">
        <v>43672</v>
      </c>
      <c r="C236" s="7">
        <v>1333</v>
      </c>
      <c r="D236" s="7">
        <v>220</v>
      </c>
      <c r="E236" s="7"/>
      <c r="F236" s="4">
        <v>76</v>
      </c>
      <c r="G236" s="7">
        <f t="shared" si="118"/>
        <v>1629</v>
      </c>
      <c r="H236" s="17">
        <f t="shared" si="116"/>
        <v>0</v>
      </c>
      <c r="J236" s="1">
        <v>44037</v>
      </c>
      <c r="K236" s="101">
        <v>1324.6389999999999</v>
      </c>
      <c r="L236" s="101">
        <v>255.09299999999999</v>
      </c>
      <c r="M236" s="101"/>
      <c r="N236" s="101">
        <v>77.727999999999994</v>
      </c>
      <c r="O236" s="7">
        <f t="shared" si="119"/>
        <v>1657.46</v>
      </c>
      <c r="P236" s="17">
        <f t="shared" si="117"/>
        <v>0</v>
      </c>
      <c r="R236" s="1">
        <f t="shared" si="130"/>
        <v>44403</v>
      </c>
      <c r="S236" s="43">
        <v>1237.6507868817205</v>
      </c>
      <c r="T236" s="77">
        <v>242.56718430107526</v>
      </c>
      <c r="U236" s="7"/>
      <c r="V236" s="49">
        <v>84.673496129032259</v>
      </c>
      <c r="W236" s="7">
        <f t="shared" si="120"/>
        <v>1564.8914673118279</v>
      </c>
      <c r="X236" s="17">
        <f t="shared" si="125"/>
        <v>1</v>
      </c>
      <c r="Y236" s="17"/>
      <c r="Z236" s="1">
        <f t="shared" si="131"/>
        <v>44768</v>
      </c>
      <c r="AA236" s="116">
        <v>1449.2538440860214</v>
      </c>
      <c r="AB236" s="116">
        <v>306.33968301075271</v>
      </c>
      <c r="AC236" s="101"/>
      <c r="AD236" s="116">
        <v>88.20824774193548</v>
      </c>
      <c r="AE236" s="101">
        <f t="shared" si="121"/>
        <v>1843.8017748387097</v>
      </c>
      <c r="AF236" s="17">
        <f t="shared" si="126"/>
        <v>1</v>
      </c>
      <c r="AH236" s="1">
        <f t="shared" si="132"/>
        <v>45133</v>
      </c>
      <c r="AI236" s="120">
        <v>1511.3821886021506</v>
      </c>
      <c r="AJ236" s="120">
        <v>353.35742440860213</v>
      </c>
      <c r="AK236" s="44"/>
      <c r="AL236" s="120">
        <v>95.519117956989248</v>
      </c>
      <c r="AM236" s="44">
        <f t="shared" si="122"/>
        <v>1960.2587309677419</v>
      </c>
      <c r="AN236" s="17">
        <f t="shared" si="127"/>
        <v>1</v>
      </c>
      <c r="AO236" s="17"/>
      <c r="AP236" s="1">
        <f t="shared" si="133"/>
        <v>45498</v>
      </c>
      <c r="AQ236" s="120">
        <v>1417.59</v>
      </c>
      <c r="AR236" s="120">
        <v>290.37038493548386</v>
      </c>
      <c r="AS236" s="44"/>
      <c r="AT236" s="120">
        <v>88.571767741935489</v>
      </c>
      <c r="AU236" s="44">
        <f t="shared" si="123"/>
        <v>1796.5321526774192</v>
      </c>
      <c r="AV236" s="17">
        <f t="shared" si="128"/>
        <v>1</v>
      </c>
      <c r="AW236" s="17"/>
      <c r="AX236" s="1">
        <f t="shared" si="134"/>
        <v>45864</v>
      </c>
      <c r="AY236" s="120">
        <v>1423.203</v>
      </c>
      <c r="AZ236" s="120">
        <v>328.4601322580645</v>
      </c>
      <c r="BA236" s="44"/>
      <c r="BB236" s="120">
        <v>88.685442580645159</v>
      </c>
      <c r="BC236" s="44">
        <f t="shared" si="124"/>
        <v>1840.3485748387097</v>
      </c>
      <c r="BD236" s="17">
        <f t="shared" si="129"/>
        <v>1</v>
      </c>
    </row>
    <row r="237" spans="1:56" x14ac:dyDescent="0.3">
      <c r="A237" s="17"/>
      <c r="B237" s="1">
        <v>43673</v>
      </c>
      <c r="C237" s="7">
        <v>1212</v>
      </c>
      <c r="D237" s="7">
        <v>214</v>
      </c>
      <c r="E237" s="7"/>
      <c r="F237" s="4">
        <v>77</v>
      </c>
      <c r="G237" s="7">
        <f t="shared" si="118"/>
        <v>1503</v>
      </c>
      <c r="H237" s="17">
        <f t="shared" si="116"/>
        <v>0</v>
      </c>
      <c r="J237" s="1">
        <v>44038</v>
      </c>
      <c r="K237" s="101">
        <v>1252.163</v>
      </c>
      <c r="L237" s="101">
        <v>256.63900000000001</v>
      </c>
      <c r="M237" s="101"/>
      <c r="N237" s="101">
        <v>75.552999999999997</v>
      </c>
      <c r="O237" s="7">
        <f t="shared" si="119"/>
        <v>1584.355</v>
      </c>
      <c r="P237" s="17">
        <f t="shared" si="117"/>
        <v>0</v>
      </c>
      <c r="R237" s="1">
        <f t="shared" si="130"/>
        <v>44404</v>
      </c>
      <c r="S237" s="43">
        <v>1180.9913101075269</v>
      </c>
      <c r="T237" s="77">
        <v>226.77859892473117</v>
      </c>
      <c r="U237" s="7"/>
      <c r="V237" s="49">
        <v>80.386749892473119</v>
      </c>
      <c r="W237" s="7">
        <f t="shared" si="120"/>
        <v>1488.1566589247311</v>
      </c>
      <c r="X237" s="17">
        <f t="shared" si="125"/>
        <v>1</v>
      </c>
      <c r="Y237" s="17"/>
      <c r="Z237" s="1">
        <f t="shared" si="131"/>
        <v>44769</v>
      </c>
      <c r="AA237" s="115">
        <v>1431.7342741935483</v>
      </c>
      <c r="AB237" s="115">
        <v>301.57224516129031</v>
      </c>
      <c r="AC237" s="101"/>
      <c r="AD237" s="115">
        <v>89.954678709677424</v>
      </c>
      <c r="AE237" s="101">
        <f t="shared" si="121"/>
        <v>1823.2611980645161</v>
      </c>
      <c r="AF237" s="17">
        <f t="shared" si="126"/>
        <v>1</v>
      </c>
      <c r="AH237" s="1">
        <f t="shared" si="132"/>
        <v>45134</v>
      </c>
      <c r="AI237" s="119">
        <v>1495.6889731182796</v>
      </c>
      <c r="AJ237" s="119">
        <v>344.69942526881721</v>
      </c>
      <c r="AK237" s="44"/>
      <c r="AL237" s="119">
        <v>98.990512043010753</v>
      </c>
      <c r="AM237" s="44">
        <f t="shared" si="122"/>
        <v>1939.3789104301077</v>
      </c>
      <c r="AN237" s="17">
        <f t="shared" si="127"/>
        <v>1</v>
      </c>
      <c r="AO237" s="17"/>
      <c r="AP237" s="1">
        <f t="shared" si="133"/>
        <v>45499</v>
      </c>
      <c r="AQ237" s="119">
        <v>1489.1120000000001</v>
      </c>
      <c r="AR237" s="119">
        <v>297.10865962795697</v>
      </c>
      <c r="AS237" s="44"/>
      <c r="AT237" s="119">
        <v>93.456774193548384</v>
      </c>
      <c r="AU237" s="44">
        <f t="shared" si="123"/>
        <v>1879.6774338215055</v>
      </c>
      <c r="AV237" s="17">
        <f t="shared" si="128"/>
        <v>1</v>
      </c>
      <c r="AW237" s="17"/>
      <c r="AX237" s="1">
        <f t="shared" si="134"/>
        <v>45865</v>
      </c>
      <c r="AY237" s="119">
        <v>1405.9059999999999</v>
      </c>
      <c r="AZ237" s="119">
        <v>334.8159047526882</v>
      </c>
      <c r="BA237" s="44"/>
      <c r="BB237" s="119">
        <v>84.30509903225807</v>
      </c>
      <c r="BC237" s="44">
        <f t="shared" si="124"/>
        <v>1825.0270037849464</v>
      </c>
      <c r="BD237" s="17">
        <f t="shared" si="129"/>
        <v>1</v>
      </c>
    </row>
    <row r="238" spans="1:56" x14ac:dyDescent="0.3">
      <c r="A238" s="17"/>
      <c r="B238" s="1">
        <v>43674</v>
      </c>
      <c r="C238" s="7">
        <v>1071</v>
      </c>
      <c r="D238" s="7">
        <v>182</v>
      </c>
      <c r="E238" s="7"/>
      <c r="F238" s="4">
        <v>63</v>
      </c>
      <c r="G238" s="7">
        <f t="shared" si="118"/>
        <v>1316</v>
      </c>
      <c r="H238" s="17">
        <f t="shared" si="116"/>
        <v>0</v>
      </c>
      <c r="J238" s="1">
        <v>44039</v>
      </c>
      <c r="K238" s="101">
        <v>1277.6279999999999</v>
      </c>
      <c r="L238" s="101">
        <v>249.88</v>
      </c>
      <c r="M238" s="101"/>
      <c r="N238" s="101">
        <v>78.254000000000005</v>
      </c>
      <c r="O238" s="7">
        <f t="shared" si="119"/>
        <v>1605.7619999999997</v>
      </c>
      <c r="P238" s="17">
        <f t="shared" si="117"/>
        <v>0</v>
      </c>
      <c r="R238" s="1">
        <f t="shared" si="130"/>
        <v>44405</v>
      </c>
      <c r="S238" s="43">
        <v>1098.9359838709677</v>
      </c>
      <c r="T238" s="77">
        <v>209.77245483870968</v>
      </c>
      <c r="U238" s="7"/>
      <c r="V238" s="49">
        <v>78.557594193548383</v>
      </c>
      <c r="W238" s="7">
        <f t="shared" si="120"/>
        <v>1387.2660329032258</v>
      </c>
      <c r="X238" s="17">
        <f t="shared" si="125"/>
        <v>0</v>
      </c>
      <c r="Y238" s="17"/>
      <c r="Z238" s="1">
        <f t="shared" si="131"/>
        <v>44770</v>
      </c>
      <c r="AA238" s="116">
        <v>1306.2584274193548</v>
      </c>
      <c r="AB238" s="116">
        <v>268.06551000000002</v>
      </c>
      <c r="AC238" s="101"/>
      <c r="AD238" s="116">
        <v>90.167184516129026</v>
      </c>
      <c r="AE238" s="101">
        <f t="shared" si="121"/>
        <v>1664.491121935484</v>
      </c>
      <c r="AF238" s="17">
        <f t="shared" si="126"/>
        <v>1</v>
      </c>
      <c r="AH238" s="1">
        <f t="shared" si="132"/>
        <v>45135</v>
      </c>
      <c r="AI238" s="120">
        <v>1493.2367797849463</v>
      </c>
      <c r="AJ238" s="120">
        <v>349.62266537634406</v>
      </c>
      <c r="AK238" s="44"/>
      <c r="AL238" s="120">
        <v>99.704286989247308</v>
      </c>
      <c r="AM238" s="44">
        <f t="shared" si="122"/>
        <v>1942.5637321505376</v>
      </c>
      <c r="AN238" s="17">
        <f t="shared" si="127"/>
        <v>1</v>
      </c>
      <c r="AO238" s="17"/>
      <c r="AP238" s="1">
        <f t="shared" si="133"/>
        <v>45500</v>
      </c>
      <c r="AQ238" s="120">
        <v>1519.665</v>
      </c>
      <c r="AR238" s="120">
        <v>312.13538447311828</v>
      </c>
      <c r="AS238" s="44"/>
      <c r="AT238" s="120">
        <v>92.97336774193549</v>
      </c>
      <c r="AU238" s="44">
        <f t="shared" si="123"/>
        <v>1924.7737522150539</v>
      </c>
      <c r="AV238" s="17">
        <f t="shared" si="128"/>
        <v>1</v>
      </c>
      <c r="AW238" s="17"/>
      <c r="AX238" s="1">
        <f t="shared" si="134"/>
        <v>45866</v>
      </c>
      <c r="AY238" s="120">
        <v>1445.778</v>
      </c>
      <c r="AZ238" s="120">
        <v>352.00597883655917</v>
      </c>
      <c r="BA238" s="44"/>
      <c r="BB238" s="120">
        <v>90.143030322580643</v>
      </c>
      <c r="BC238" s="44">
        <f t="shared" si="124"/>
        <v>1887.9270091591397</v>
      </c>
      <c r="BD238" s="17">
        <f t="shared" si="129"/>
        <v>1</v>
      </c>
    </row>
    <row r="239" spans="1:56" x14ac:dyDescent="0.3">
      <c r="A239" s="17"/>
      <c r="B239" s="1">
        <v>43675</v>
      </c>
      <c r="C239" s="7">
        <v>1275</v>
      </c>
      <c r="D239" s="7">
        <v>217</v>
      </c>
      <c r="E239" s="7"/>
      <c r="F239" s="4">
        <v>73</v>
      </c>
      <c r="G239" s="7">
        <f t="shared" si="118"/>
        <v>1565</v>
      </c>
      <c r="H239" s="17">
        <f t="shared" si="116"/>
        <v>0</v>
      </c>
      <c r="J239" s="1">
        <v>44040</v>
      </c>
      <c r="K239" s="101">
        <v>1259.999</v>
      </c>
      <c r="L239" s="101">
        <v>240.904</v>
      </c>
      <c r="M239" s="101"/>
      <c r="N239" s="101">
        <v>82.233999999999995</v>
      </c>
      <c r="O239" s="7">
        <f t="shared" si="119"/>
        <v>1583.1369999999999</v>
      </c>
      <c r="P239" s="17">
        <f t="shared" si="117"/>
        <v>0</v>
      </c>
      <c r="R239" s="1">
        <f t="shared" si="130"/>
        <v>44406</v>
      </c>
      <c r="S239" s="43">
        <v>1183.5565993548387</v>
      </c>
      <c r="T239" s="77">
        <v>232.06332752688172</v>
      </c>
      <c r="U239" s="7"/>
      <c r="V239" s="49">
        <v>82.140320645161296</v>
      </c>
      <c r="W239" s="7">
        <f t="shared" si="120"/>
        <v>1497.7602475268818</v>
      </c>
      <c r="X239" s="17">
        <f t="shared" si="125"/>
        <v>1</v>
      </c>
      <c r="Y239" s="17"/>
      <c r="Z239" s="1">
        <f t="shared" si="131"/>
        <v>44771</v>
      </c>
      <c r="AA239" s="115">
        <v>1436.9607526881721</v>
      </c>
      <c r="AB239" s="115">
        <v>270.21383451612905</v>
      </c>
      <c r="AC239" s="101"/>
      <c r="AD239" s="115">
        <v>87.448836129032259</v>
      </c>
      <c r="AE239" s="101">
        <f t="shared" si="121"/>
        <v>1794.6234233333334</v>
      </c>
      <c r="AF239" s="17">
        <f t="shared" si="126"/>
        <v>1</v>
      </c>
      <c r="AH239" s="1">
        <f t="shared" si="132"/>
        <v>45136</v>
      </c>
      <c r="AI239" s="119">
        <v>1235.2952167741935</v>
      </c>
      <c r="AJ239" s="119">
        <v>294.32447849462363</v>
      </c>
      <c r="AK239" s="44"/>
      <c r="AL239" s="119">
        <v>93.977840645161294</v>
      </c>
      <c r="AM239" s="44">
        <f t="shared" si="122"/>
        <v>1623.5975359139784</v>
      </c>
      <c r="AN239" s="17">
        <f t="shared" si="127"/>
        <v>1</v>
      </c>
      <c r="AO239" s="17"/>
      <c r="AP239" s="1">
        <f t="shared" si="133"/>
        <v>45501</v>
      </c>
      <c r="AQ239" s="119">
        <v>1444.4469999999999</v>
      </c>
      <c r="AR239" s="119">
        <v>306.95621858064516</v>
      </c>
      <c r="AS239" s="44"/>
      <c r="AT239" s="119">
        <v>92.869316129032256</v>
      </c>
      <c r="AU239" s="44">
        <f t="shared" si="123"/>
        <v>1844.2725347096773</v>
      </c>
      <c r="AV239" s="17">
        <f t="shared" si="128"/>
        <v>1</v>
      </c>
      <c r="AW239" s="17"/>
      <c r="AX239" s="1">
        <f t="shared" si="134"/>
        <v>45867</v>
      </c>
      <c r="AY239" s="119">
        <v>1460.6420000000001</v>
      </c>
      <c r="AZ239" s="119">
        <v>364.63997371182796</v>
      </c>
      <c r="BA239" s="44"/>
      <c r="BB239" s="119">
        <v>95.049664838709674</v>
      </c>
      <c r="BC239" s="44">
        <f t="shared" si="124"/>
        <v>1920.3316385505377</v>
      </c>
      <c r="BD239" s="17">
        <f t="shared" si="129"/>
        <v>1</v>
      </c>
    </row>
    <row r="240" spans="1:56" x14ac:dyDescent="0.3">
      <c r="A240" s="17"/>
      <c r="B240" s="1">
        <v>43676</v>
      </c>
      <c r="C240" s="7">
        <v>1340</v>
      </c>
      <c r="D240" s="7">
        <v>222</v>
      </c>
      <c r="E240" s="7"/>
      <c r="F240" s="4">
        <v>78</v>
      </c>
      <c r="G240" s="7">
        <f t="shared" si="118"/>
        <v>1640</v>
      </c>
      <c r="H240" s="17">
        <f t="shared" si="116"/>
        <v>0</v>
      </c>
      <c r="J240" s="1">
        <v>44041</v>
      </c>
      <c r="K240" s="101">
        <v>1249.2249999999999</v>
      </c>
      <c r="L240" s="101">
        <v>235.71700000000001</v>
      </c>
      <c r="M240" s="101"/>
      <c r="N240" s="101">
        <v>77.850999999999999</v>
      </c>
      <c r="O240" s="7">
        <f t="shared" si="119"/>
        <v>1562.7930000000001</v>
      </c>
      <c r="P240" s="17">
        <f t="shared" si="117"/>
        <v>0</v>
      </c>
      <c r="R240" s="1">
        <f t="shared" si="130"/>
        <v>44407</v>
      </c>
      <c r="S240" s="43">
        <v>1254.5529070967741</v>
      </c>
      <c r="T240" s="77">
        <v>243.82828000000001</v>
      </c>
      <c r="U240" s="7"/>
      <c r="V240" s="49">
        <v>85.205830107526879</v>
      </c>
      <c r="W240" s="7">
        <f t="shared" si="120"/>
        <v>1583.587017204301</v>
      </c>
      <c r="X240" s="17">
        <f t="shared" si="125"/>
        <v>1</v>
      </c>
      <c r="Y240" s="17"/>
      <c r="Z240" s="1">
        <f t="shared" si="131"/>
        <v>44772</v>
      </c>
      <c r="AA240" s="116">
        <v>1315.9527688172043</v>
      </c>
      <c r="AB240" s="116">
        <v>263.10240354838709</v>
      </c>
      <c r="AC240" s="101"/>
      <c r="AD240" s="116">
        <v>87.42402580645161</v>
      </c>
      <c r="AE240" s="101">
        <f t="shared" si="121"/>
        <v>1666.479198172043</v>
      </c>
      <c r="AF240" s="17">
        <f t="shared" si="126"/>
        <v>1</v>
      </c>
      <c r="AH240" s="1">
        <f t="shared" si="132"/>
        <v>45137</v>
      </c>
      <c r="AI240" s="120">
        <v>1359.9369062365593</v>
      </c>
      <c r="AJ240" s="120">
        <v>288.14980892473119</v>
      </c>
      <c r="AK240" s="44"/>
      <c r="AL240" s="120">
        <v>89.264109892473115</v>
      </c>
      <c r="AM240" s="44">
        <f t="shared" si="122"/>
        <v>1737.3508250537634</v>
      </c>
      <c r="AN240" s="17">
        <f t="shared" si="127"/>
        <v>1</v>
      </c>
      <c r="AO240" s="17"/>
      <c r="AP240" s="1">
        <f t="shared" si="133"/>
        <v>45502</v>
      </c>
      <c r="AQ240" s="120">
        <v>1379.192</v>
      </c>
      <c r="AR240" s="120">
        <v>278.69682006236559</v>
      </c>
      <c r="AS240" s="44"/>
      <c r="AT240" s="120">
        <v>90.822967741935486</v>
      </c>
      <c r="AU240" s="44">
        <f t="shared" si="123"/>
        <v>1748.7117878043009</v>
      </c>
      <c r="AV240" s="17">
        <f t="shared" si="128"/>
        <v>1</v>
      </c>
      <c r="AW240" s="17"/>
      <c r="AX240" s="1">
        <f t="shared" si="134"/>
        <v>45868</v>
      </c>
      <c r="AY240" s="120">
        <v>1464.883</v>
      </c>
      <c r="AZ240" s="120">
        <v>351.81639796774192</v>
      </c>
      <c r="BA240" s="44"/>
      <c r="BB240" s="120">
        <v>92.995397419354845</v>
      </c>
      <c r="BC240" s="44">
        <f t="shared" si="124"/>
        <v>1909.6947953870967</v>
      </c>
      <c r="BD240" s="17">
        <f t="shared" si="129"/>
        <v>1</v>
      </c>
    </row>
    <row r="241" spans="1:56" x14ac:dyDescent="0.3">
      <c r="A241" s="17"/>
      <c r="B241" s="1">
        <v>43677</v>
      </c>
      <c r="C241" s="7">
        <v>1265</v>
      </c>
      <c r="D241" s="7">
        <v>223</v>
      </c>
      <c r="E241" s="7"/>
      <c r="F241" s="4">
        <v>76</v>
      </c>
      <c r="G241" s="7">
        <f t="shared" si="118"/>
        <v>1564</v>
      </c>
      <c r="H241" s="17">
        <f t="shared" si="116"/>
        <v>0</v>
      </c>
      <c r="J241" s="1">
        <v>44042</v>
      </c>
      <c r="K241" s="101">
        <v>1259.019</v>
      </c>
      <c r="L241" s="101">
        <v>251.44800000000001</v>
      </c>
      <c r="M241" s="101"/>
      <c r="N241" s="101">
        <v>74.108999999999995</v>
      </c>
      <c r="O241" s="7">
        <f t="shared" si="119"/>
        <v>1584.576</v>
      </c>
      <c r="P241" s="17">
        <f t="shared" si="117"/>
        <v>0</v>
      </c>
      <c r="R241" s="38">
        <f t="shared" si="130"/>
        <v>44408</v>
      </c>
      <c r="S241" s="43">
        <v>1102.7361077419355</v>
      </c>
      <c r="T241" s="77">
        <v>236.45022387096773</v>
      </c>
      <c r="U241" s="7"/>
      <c r="V241" s="49">
        <v>83.526764516129035</v>
      </c>
      <c r="W241" s="7">
        <f t="shared" si="120"/>
        <v>1422.7130961290322</v>
      </c>
      <c r="X241" s="17">
        <f t="shared" si="125"/>
        <v>0</v>
      </c>
      <c r="Y241" s="17"/>
      <c r="Z241" s="38">
        <f t="shared" si="131"/>
        <v>44773</v>
      </c>
      <c r="AA241" s="115">
        <v>1202.8797177419356</v>
      </c>
      <c r="AB241" s="115">
        <v>234.40604236559139</v>
      </c>
      <c r="AC241" s="101"/>
      <c r="AD241" s="115">
        <v>81.212815483870969</v>
      </c>
      <c r="AE241" s="101">
        <f t="shared" si="121"/>
        <v>1518.4985755913981</v>
      </c>
      <c r="AF241" s="17">
        <f t="shared" si="126"/>
        <v>1</v>
      </c>
      <c r="AH241" s="38">
        <f t="shared" si="132"/>
        <v>45138</v>
      </c>
      <c r="AI241" s="119">
        <v>1486.9342217204301</v>
      </c>
      <c r="AJ241" s="119">
        <v>312.69682892473116</v>
      </c>
      <c r="AK241" s="44"/>
      <c r="AL241" s="119">
        <v>91.799689784946239</v>
      </c>
      <c r="AM241" s="44">
        <f t="shared" si="122"/>
        <v>1891.4307404301073</v>
      </c>
      <c r="AN241" s="17">
        <f t="shared" si="127"/>
        <v>1</v>
      </c>
      <c r="AO241" s="17"/>
      <c r="AP241" s="1">
        <f t="shared" si="133"/>
        <v>45503</v>
      </c>
      <c r="AQ241" s="119">
        <v>1462.5530000000001</v>
      </c>
      <c r="AR241" s="119">
        <v>276.20081523333334</v>
      </c>
      <c r="AS241" s="44"/>
      <c r="AT241" s="119">
        <v>89.625290322580639</v>
      </c>
      <c r="AU241" s="44">
        <f t="shared" si="123"/>
        <v>1828.3791055559141</v>
      </c>
      <c r="AV241" s="17">
        <f t="shared" si="128"/>
        <v>1</v>
      </c>
      <c r="AW241" s="17"/>
      <c r="AX241" s="38">
        <f t="shared" si="134"/>
        <v>45869</v>
      </c>
      <c r="AY241" s="119">
        <v>1417.9770000000001</v>
      </c>
      <c r="AZ241" s="119">
        <v>342.89744947419354</v>
      </c>
      <c r="BA241" s="44"/>
      <c r="BB241" s="119">
        <v>87.475839677419359</v>
      </c>
      <c r="BC241" s="44">
        <f t="shared" si="124"/>
        <v>1848.350289151613</v>
      </c>
      <c r="BD241" s="17">
        <f t="shared" si="129"/>
        <v>1</v>
      </c>
    </row>
    <row r="242" spans="1:56" x14ac:dyDescent="0.3">
      <c r="A242" s="17"/>
      <c r="B242" s="1">
        <v>43678</v>
      </c>
      <c r="C242" s="7">
        <v>1257</v>
      </c>
      <c r="D242" s="7">
        <v>218.26300000000001</v>
      </c>
      <c r="F242" s="7">
        <v>74</v>
      </c>
      <c r="G242" s="7">
        <f t="shared" ref="G242:G272" si="135">SUM(C242:F242)</f>
        <v>1549.2629999999999</v>
      </c>
      <c r="H242" s="17">
        <f t="shared" si="116"/>
        <v>0</v>
      </c>
      <c r="J242" s="1">
        <v>44043</v>
      </c>
      <c r="K242" s="101">
        <v>1262.4469999999999</v>
      </c>
      <c r="L242" s="101">
        <v>260.57900000000001</v>
      </c>
      <c r="M242" s="101"/>
      <c r="N242" s="101">
        <v>77.629000000000005</v>
      </c>
      <c r="O242" s="7">
        <f t="shared" si="119"/>
        <v>1600.6549999999997</v>
      </c>
      <c r="P242" s="17">
        <f t="shared" si="117"/>
        <v>0</v>
      </c>
      <c r="R242" s="1">
        <f t="shared" si="130"/>
        <v>44409</v>
      </c>
      <c r="S242" s="63">
        <v>1133.7064677419355</v>
      </c>
      <c r="T242" s="84">
        <v>209.16477666666665</v>
      </c>
      <c r="U242" s="52"/>
      <c r="V242" s="84">
        <v>75.471103225806445</v>
      </c>
      <c r="W242" s="7">
        <f t="shared" si="120"/>
        <v>1418.3423476344087</v>
      </c>
      <c r="X242" s="17">
        <f t="shared" si="125"/>
        <v>0</v>
      </c>
      <c r="Y242" s="17"/>
      <c r="Z242" s="1">
        <f t="shared" si="131"/>
        <v>44774</v>
      </c>
      <c r="AA242" s="115">
        <v>1238.6466399999999</v>
      </c>
      <c r="AB242" s="115">
        <v>233.57300333333333</v>
      </c>
      <c r="AC242" s="101"/>
      <c r="AD242" s="115">
        <v>77.177821935483877</v>
      </c>
      <c r="AE242" s="101">
        <f t="shared" si="121"/>
        <v>1549.3974652688173</v>
      </c>
      <c r="AF242" s="17">
        <f t="shared" si="126"/>
        <v>1</v>
      </c>
      <c r="AH242" s="1">
        <f t="shared" si="132"/>
        <v>45139</v>
      </c>
      <c r="AI242" s="119">
        <v>1452.836</v>
      </c>
      <c r="AJ242" s="119">
        <v>317.78199999999998</v>
      </c>
      <c r="AK242" s="44"/>
      <c r="AL242" s="119">
        <v>92.188000000000002</v>
      </c>
      <c r="AM242" s="44">
        <f t="shared" si="122"/>
        <v>1862.806</v>
      </c>
      <c r="AN242" s="17">
        <f t="shared" si="127"/>
        <v>1</v>
      </c>
      <c r="AO242" s="17"/>
      <c r="AP242" s="38">
        <f t="shared" si="133"/>
        <v>45504</v>
      </c>
      <c r="AQ242" s="119">
        <v>1447.27</v>
      </c>
      <c r="AR242" s="119">
        <v>290.82819524731184</v>
      </c>
      <c r="AS242" s="44"/>
      <c r="AT242" s="119">
        <v>92.300283870967746</v>
      </c>
      <c r="AU242" s="44">
        <f t="shared" si="123"/>
        <v>1830.3984791182797</v>
      </c>
      <c r="AV242" s="17">
        <f t="shared" si="128"/>
        <v>1</v>
      </c>
      <c r="AW242" s="17"/>
      <c r="AX242" s="1">
        <f t="shared" si="134"/>
        <v>45870</v>
      </c>
      <c r="AY242" s="119"/>
      <c r="AZ242" s="119"/>
      <c r="BA242" s="44"/>
      <c r="BB242" s="119"/>
      <c r="BC242" s="44">
        <f t="shared" si="124"/>
        <v>0</v>
      </c>
      <c r="BD242" s="17">
        <f t="shared" si="129"/>
        <v>0</v>
      </c>
    </row>
    <row r="243" spans="1:56" s="28" customFormat="1" x14ac:dyDescent="0.3">
      <c r="A243" s="39"/>
      <c r="B243" s="38">
        <v>43679</v>
      </c>
      <c r="C243" s="40">
        <v>1288</v>
      </c>
      <c r="D243" s="40">
        <v>226.62899999999999</v>
      </c>
      <c r="F243" s="40">
        <v>76</v>
      </c>
      <c r="G243" s="40">
        <f t="shared" si="135"/>
        <v>1590.6289999999999</v>
      </c>
      <c r="H243" s="39">
        <f t="shared" si="116"/>
        <v>0</v>
      </c>
      <c r="J243" s="38">
        <v>44044</v>
      </c>
      <c r="K243" s="105">
        <v>1181.1569999999999</v>
      </c>
      <c r="L243" s="105">
        <v>258.685</v>
      </c>
      <c r="M243" s="105"/>
      <c r="N243" s="105">
        <v>76.878</v>
      </c>
      <c r="O243" s="7">
        <f t="shared" si="119"/>
        <v>1516.7199999999998</v>
      </c>
      <c r="P243" s="39">
        <f t="shared" si="117"/>
        <v>0</v>
      </c>
      <c r="R243" s="1">
        <f t="shared" si="130"/>
        <v>44410</v>
      </c>
      <c r="S243" s="63">
        <v>1259.4292983870969</v>
      </c>
      <c r="T243" s="84">
        <v>242.21354075268817</v>
      </c>
      <c r="U243" s="52"/>
      <c r="V243" s="84">
        <v>81.222154193548391</v>
      </c>
      <c r="W243" s="7">
        <f t="shared" si="120"/>
        <v>1582.8649933333336</v>
      </c>
      <c r="X243" s="17">
        <f t="shared" si="125"/>
        <v>1</v>
      </c>
      <c r="Y243" s="17"/>
      <c r="Z243" s="1">
        <f t="shared" si="131"/>
        <v>44775</v>
      </c>
      <c r="AA243" s="116">
        <v>1255.4808933333334</v>
      </c>
      <c r="AB243" s="116">
        <v>235.05583107526883</v>
      </c>
      <c r="AC243" s="101"/>
      <c r="AD243" s="116">
        <v>83.897171612903222</v>
      </c>
      <c r="AE243" s="101">
        <f t="shared" si="121"/>
        <v>1574.4338960215055</v>
      </c>
      <c r="AF243" s="17">
        <f t="shared" si="126"/>
        <v>1</v>
      </c>
      <c r="AH243" s="1">
        <f t="shared" si="132"/>
        <v>45140</v>
      </c>
      <c r="AI243" s="120">
        <v>1535.126</v>
      </c>
      <c r="AJ243" s="120">
        <v>333.21699999999998</v>
      </c>
      <c r="AK243" s="44"/>
      <c r="AL243" s="120">
        <v>98.27</v>
      </c>
      <c r="AM243" s="44">
        <f t="shared" si="122"/>
        <v>1966.6129999999998</v>
      </c>
      <c r="AN243" s="17">
        <f t="shared" si="127"/>
        <v>1</v>
      </c>
      <c r="AO243" s="17"/>
      <c r="AP243" s="1">
        <f t="shared" si="133"/>
        <v>45505</v>
      </c>
      <c r="AQ243" s="120">
        <v>1368.4269999999999</v>
      </c>
      <c r="AR243" s="120">
        <v>285.8166316935484</v>
      </c>
      <c r="AS243" s="44"/>
      <c r="AT243" s="120">
        <v>82.792956451612909</v>
      </c>
      <c r="AU243" s="44">
        <f t="shared" si="123"/>
        <v>1737.0365881451612</v>
      </c>
      <c r="AV243" s="17">
        <f t="shared" si="128"/>
        <v>1</v>
      </c>
      <c r="AW243" s="17"/>
      <c r="AX243" s="1">
        <f t="shared" si="134"/>
        <v>45871</v>
      </c>
      <c r="AY243" s="120"/>
      <c r="AZ243" s="120"/>
      <c r="BA243" s="44"/>
      <c r="BB243" s="120"/>
      <c r="BC243" s="44">
        <f t="shared" si="124"/>
        <v>0</v>
      </c>
      <c r="BD243" s="17">
        <f t="shared" si="129"/>
        <v>0</v>
      </c>
    </row>
    <row r="244" spans="1:56" x14ac:dyDescent="0.3">
      <c r="A244" s="17"/>
      <c r="B244" s="1">
        <v>43680</v>
      </c>
      <c r="C244" s="7">
        <v>1193</v>
      </c>
      <c r="D244" s="7">
        <v>208.071</v>
      </c>
      <c r="F244" s="7">
        <v>72</v>
      </c>
      <c r="G244" s="7">
        <f t="shared" si="135"/>
        <v>1473.0709999999999</v>
      </c>
      <c r="H244" s="17">
        <f t="shared" si="116"/>
        <v>0</v>
      </c>
      <c r="J244" s="1">
        <v>44045</v>
      </c>
      <c r="K244" s="101">
        <v>1085.665</v>
      </c>
      <c r="L244" s="101">
        <v>214.71</v>
      </c>
      <c r="M244" s="101"/>
      <c r="N244" s="101">
        <v>67.736999999999995</v>
      </c>
      <c r="O244" s="7">
        <f t="shared" si="119"/>
        <v>1368.1120000000001</v>
      </c>
      <c r="P244" s="17">
        <f t="shared" si="117"/>
        <v>0</v>
      </c>
      <c r="R244" s="1">
        <f t="shared" si="130"/>
        <v>44411</v>
      </c>
      <c r="S244" s="43">
        <v>1241.1494919354839</v>
      </c>
      <c r="T244" s="82">
        <v>243.1038593548387</v>
      </c>
      <c r="V244" s="82">
        <v>85.500178064516135</v>
      </c>
      <c r="W244" s="7">
        <f t="shared" si="120"/>
        <v>1569.7535293548387</v>
      </c>
      <c r="X244" s="17">
        <f t="shared" si="125"/>
        <v>1</v>
      </c>
      <c r="Y244" s="17"/>
      <c r="Z244" s="1">
        <f t="shared" si="131"/>
        <v>44776</v>
      </c>
      <c r="AA244" s="115">
        <v>1286.6463866666666</v>
      </c>
      <c r="AB244" s="115">
        <v>250.63856849462366</v>
      </c>
      <c r="AC244" s="101"/>
      <c r="AD244" s="115">
        <v>87.404276129032255</v>
      </c>
      <c r="AE244" s="101">
        <f t="shared" si="121"/>
        <v>1624.6892312903226</v>
      </c>
      <c r="AF244" s="17">
        <f t="shared" si="126"/>
        <v>1</v>
      </c>
      <c r="AH244" s="1">
        <f t="shared" si="132"/>
        <v>45141</v>
      </c>
      <c r="AI244" s="119">
        <v>1480.097</v>
      </c>
      <c r="AJ244" s="119">
        <v>320.7</v>
      </c>
      <c r="AK244" s="44"/>
      <c r="AL244" s="119">
        <v>101.054</v>
      </c>
      <c r="AM244" s="44">
        <f t="shared" si="122"/>
        <v>1901.8510000000001</v>
      </c>
      <c r="AN244" s="17">
        <f t="shared" si="127"/>
        <v>1</v>
      </c>
      <c r="AO244" s="17"/>
      <c r="AP244" s="1">
        <f t="shared" si="133"/>
        <v>45506</v>
      </c>
      <c r="AQ244" s="119">
        <v>1378.596</v>
      </c>
      <c r="AR244" s="119">
        <v>301.77125357526882</v>
      </c>
      <c r="AS244" s="44"/>
      <c r="AT244" s="119">
        <v>76.712704946236556</v>
      </c>
      <c r="AU244" s="44">
        <f t="shared" si="123"/>
        <v>1757.0799585215054</v>
      </c>
      <c r="AV244" s="17">
        <f t="shared" si="128"/>
        <v>1</v>
      </c>
      <c r="AW244" s="17"/>
      <c r="AX244" s="1">
        <f t="shared" si="134"/>
        <v>45872</v>
      </c>
      <c r="AY244" s="119"/>
      <c r="AZ244" s="119"/>
      <c r="BA244" s="44"/>
      <c r="BB244" s="119"/>
      <c r="BC244" s="44">
        <f t="shared" si="124"/>
        <v>0</v>
      </c>
      <c r="BD244" s="17">
        <f t="shared" si="129"/>
        <v>0</v>
      </c>
    </row>
    <row r="245" spans="1:56" x14ac:dyDescent="0.3">
      <c r="A245" s="17"/>
      <c r="B245" s="1">
        <v>43681</v>
      </c>
      <c r="C245" s="7">
        <v>1189</v>
      </c>
      <c r="D245" s="7">
        <v>202.851</v>
      </c>
      <c r="F245" s="7">
        <v>65</v>
      </c>
      <c r="G245" s="7">
        <f t="shared" si="135"/>
        <v>1456.8510000000001</v>
      </c>
      <c r="H245" s="17">
        <f t="shared" si="116"/>
        <v>0</v>
      </c>
      <c r="J245" s="1">
        <v>44046</v>
      </c>
      <c r="K245" s="101">
        <v>1164.9960000000001</v>
      </c>
      <c r="L245" s="101">
        <v>215.5</v>
      </c>
      <c r="M245" s="101"/>
      <c r="N245" s="101">
        <v>71.424999999999997</v>
      </c>
      <c r="O245" s="7">
        <f t="shared" si="119"/>
        <v>1451.921</v>
      </c>
      <c r="P245" s="17">
        <f t="shared" si="117"/>
        <v>0</v>
      </c>
      <c r="R245" s="1">
        <f t="shared" si="130"/>
        <v>44412</v>
      </c>
      <c r="S245" s="43">
        <v>1090.0594354838709</v>
      </c>
      <c r="T245" s="82">
        <v>199.57949333333335</v>
      </c>
      <c r="V245" s="82">
        <v>78.196418709677417</v>
      </c>
      <c r="W245" s="7">
        <f t="shared" si="120"/>
        <v>1367.8353475268816</v>
      </c>
      <c r="X245" s="17">
        <f t="shared" si="125"/>
        <v>0</v>
      </c>
      <c r="Y245" s="17"/>
      <c r="Z245" s="1">
        <f t="shared" si="131"/>
        <v>44777</v>
      </c>
      <c r="AA245" s="116">
        <v>1312.2339999999999</v>
      </c>
      <c r="AB245" s="116">
        <v>251.89766752688172</v>
      </c>
      <c r="AC245" s="101"/>
      <c r="AD245" s="116">
        <v>85.488766451612904</v>
      </c>
      <c r="AE245" s="101">
        <f t="shared" si="121"/>
        <v>1649.6204339784947</v>
      </c>
      <c r="AF245" s="17">
        <f t="shared" si="126"/>
        <v>1</v>
      </c>
      <c r="AH245" s="1">
        <f t="shared" si="132"/>
        <v>45142</v>
      </c>
      <c r="AI245" s="120">
        <v>1488.319</v>
      </c>
      <c r="AJ245" s="120">
        <v>301.46100000000001</v>
      </c>
      <c r="AK245" s="44"/>
      <c r="AL245" s="120">
        <v>99.198999999999998</v>
      </c>
      <c r="AM245" s="44">
        <f t="shared" si="122"/>
        <v>1888.979</v>
      </c>
      <c r="AN245" s="17">
        <f t="shared" si="127"/>
        <v>1</v>
      </c>
      <c r="AO245" s="17"/>
      <c r="AP245" s="1">
        <f t="shared" si="133"/>
        <v>45507</v>
      </c>
      <c r="AQ245" s="120">
        <v>1395.9069999999999</v>
      </c>
      <c r="AR245" s="120">
        <v>280.12138806451611</v>
      </c>
      <c r="AS245" s="44"/>
      <c r="AT245" s="120">
        <v>73.761883225806457</v>
      </c>
      <c r="AU245" s="44">
        <f t="shared" si="123"/>
        <v>1749.7902712903226</v>
      </c>
      <c r="AV245" s="17">
        <f t="shared" si="128"/>
        <v>1</v>
      </c>
      <c r="AW245" s="17"/>
      <c r="AX245" s="1">
        <f t="shared" si="134"/>
        <v>45873</v>
      </c>
      <c r="AY245" s="120"/>
      <c r="AZ245" s="120"/>
      <c r="BA245" s="44"/>
      <c r="BB245" s="120"/>
      <c r="BC245" s="44">
        <f t="shared" si="124"/>
        <v>0</v>
      </c>
      <c r="BD245" s="17">
        <f t="shared" si="129"/>
        <v>0</v>
      </c>
    </row>
    <row r="246" spans="1:56" x14ac:dyDescent="0.3">
      <c r="A246" s="17"/>
      <c r="B246" s="1">
        <v>43682</v>
      </c>
      <c r="C246" s="7">
        <v>1321</v>
      </c>
      <c r="D246" s="7">
        <v>222.715</v>
      </c>
      <c r="F246" s="7">
        <v>73</v>
      </c>
      <c r="G246" s="7">
        <f t="shared" si="135"/>
        <v>1616.7149999999999</v>
      </c>
      <c r="H246" s="17">
        <f t="shared" si="116"/>
        <v>0</v>
      </c>
      <c r="J246" s="1">
        <v>44047</v>
      </c>
      <c r="K246" s="101">
        <v>1182.626</v>
      </c>
      <c r="L246" s="101">
        <v>213.78800000000001</v>
      </c>
      <c r="M246" s="101"/>
      <c r="N246" s="101">
        <v>72.950999999999993</v>
      </c>
      <c r="O246" s="7">
        <f t="shared" si="119"/>
        <v>1469.365</v>
      </c>
      <c r="P246" s="17">
        <f t="shared" si="117"/>
        <v>0</v>
      </c>
      <c r="R246" s="1">
        <f t="shared" si="130"/>
        <v>44413</v>
      </c>
      <c r="S246" s="43">
        <v>1090.776370967742</v>
      </c>
      <c r="T246" s="82">
        <v>213.41079096774195</v>
      </c>
      <c r="V246" s="82">
        <v>78.230875483870975</v>
      </c>
      <c r="W246" s="7">
        <f t="shared" si="120"/>
        <v>1382.4180374193547</v>
      </c>
      <c r="X246" s="17">
        <f t="shared" si="125"/>
        <v>0</v>
      </c>
      <c r="Y246" s="17"/>
      <c r="Z246" s="1">
        <f t="shared" si="131"/>
        <v>44778</v>
      </c>
      <c r="AA246" s="115">
        <v>1285.0725066666666</v>
      </c>
      <c r="AB246" s="115">
        <v>260.47472924731181</v>
      </c>
      <c r="AC246" s="101"/>
      <c r="AD246" s="115">
        <v>88.427674838709677</v>
      </c>
      <c r="AE246" s="101">
        <f t="shared" si="121"/>
        <v>1633.9749107526882</v>
      </c>
      <c r="AF246" s="17">
        <f t="shared" si="126"/>
        <v>1</v>
      </c>
      <c r="AH246" s="1">
        <f t="shared" si="132"/>
        <v>45143</v>
      </c>
      <c r="AI246" s="119">
        <v>1420.163</v>
      </c>
      <c r="AJ246" s="119">
        <v>281.56700000000001</v>
      </c>
      <c r="AK246" s="44"/>
      <c r="AL246" s="119">
        <v>95.337999999999994</v>
      </c>
      <c r="AM246" s="44">
        <f t="shared" si="122"/>
        <v>1797.068</v>
      </c>
      <c r="AN246" s="17">
        <f t="shared" si="127"/>
        <v>1</v>
      </c>
      <c r="AO246" s="17"/>
      <c r="AP246" s="1">
        <f t="shared" si="133"/>
        <v>45508</v>
      </c>
      <c r="AQ246" s="119">
        <v>1383.0619999999999</v>
      </c>
      <c r="AR246" s="119">
        <v>289.69902419354838</v>
      </c>
      <c r="AS246" s="44"/>
      <c r="AT246" s="119">
        <v>73.794357419354839</v>
      </c>
      <c r="AU246" s="44">
        <f t="shared" si="123"/>
        <v>1746.5553816129031</v>
      </c>
      <c r="AV246" s="17">
        <f t="shared" si="128"/>
        <v>1</v>
      </c>
      <c r="AW246" s="17"/>
      <c r="AX246" s="1">
        <f t="shared" si="134"/>
        <v>45874</v>
      </c>
      <c r="AY246" s="119"/>
      <c r="AZ246" s="119"/>
      <c r="BA246" s="44"/>
      <c r="BB246" s="119"/>
      <c r="BC246" s="44">
        <f t="shared" si="124"/>
        <v>0</v>
      </c>
      <c r="BD246" s="17">
        <f t="shared" si="129"/>
        <v>0</v>
      </c>
    </row>
    <row r="247" spans="1:56" x14ac:dyDescent="0.3">
      <c r="A247" s="17"/>
      <c r="B247" s="1">
        <v>43683</v>
      </c>
      <c r="C247" s="7">
        <v>1430</v>
      </c>
      <c r="D247" s="7">
        <v>245.09700000000001</v>
      </c>
      <c r="F247" s="7">
        <v>79</v>
      </c>
      <c r="G247" s="7">
        <f t="shared" si="135"/>
        <v>1754.097</v>
      </c>
      <c r="H247" s="17">
        <f t="shared" si="116"/>
        <v>0</v>
      </c>
      <c r="J247" s="1">
        <v>44048</v>
      </c>
      <c r="K247" s="101">
        <v>1222.2909999999999</v>
      </c>
      <c r="L247" s="101">
        <v>222.399</v>
      </c>
      <c r="M247" s="101"/>
      <c r="N247" s="101">
        <v>75.614999999999995</v>
      </c>
      <c r="O247" s="7">
        <f t="shared" si="119"/>
        <v>1520.3050000000001</v>
      </c>
      <c r="P247" s="17">
        <f t="shared" si="117"/>
        <v>0</v>
      </c>
      <c r="R247" s="1">
        <f t="shared" si="130"/>
        <v>44414</v>
      </c>
      <c r="S247" s="43">
        <v>1343.8085080645162</v>
      </c>
      <c r="T247" s="82">
        <v>258.56829978494625</v>
      </c>
      <c r="V247" s="82">
        <v>86.967821290322576</v>
      </c>
      <c r="W247" s="7">
        <f t="shared" si="120"/>
        <v>1689.344629139785</v>
      </c>
      <c r="X247" s="17">
        <f t="shared" si="125"/>
        <v>1</v>
      </c>
      <c r="Y247" s="17"/>
      <c r="Z247" s="1">
        <f t="shared" si="131"/>
        <v>44779</v>
      </c>
      <c r="AA247" s="116">
        <v>1310.5246</v>
      </c>
      <c r="AB247" s="116">
        <v>276.86327978494626</v>
      </c>
      <c r="AC247" s="101"/>
      <c r="AD247" s="116">
        <v>88.439512258064511</v>
      </c>
      <c r="AE247" s="101">
        <f t="shared" si="121"/>
        <v>1675.8273920430106</v>
      </c>
      <c r="AF247" s="17">
        <f t="shared" si="126"/>
        <v>1</v>
      </c>
      <c r="AH247" s="1">
        <f t="shared" si="132"/>
        <v>45144</v>
      </c>
      <c r="AI247" s="120">
        <v>1441.059</v>
      </c>
      <c r="AJ247" s="120">
        <v>290.94499999999999</v>
      </c>
      <c r="AK247" s="44"/>
      <c r="AL247" s="120">
        <v>94.762</v>
      </c>
      <c r="AM247" s="44">
        <f t="shared" si="122"/>
        <v>1826.7659999999998</v>
      </c>
      <c r="AN247" s="17">
        <f t="shared" si="127"/>
        <v>1</v>
      </c>
      <c r="AO247" s="17"/>
      <c r="AP247" s="1">
        <f t="shared" si="133"/>
        <v>45509</v>
      </c>
      <c r="AQ247" s="120">
        <v>1487.421</v>
      </c>
      <c r="AR247" s="120">
        <v>301.37318441935486</v>
      </c>
      <c r="AS247" s="44"/>
      <c r="AT247" s="120">
        <v>78.38729086021506</v>
      </c>
      <c r="AU247" s="44">
        <f t="shared" si="123"/>
        <v>1867.1814752795699</v>
      </c>
      <c r="AV247" s="17">
        <f t="shared" si="128"/>
        <v>1</v>
      </c>
      <c r="AW247" s="17"/>
      <c r="AX247" s="1">
        <f t="shared" si="134"/>
        <v>45875</v>
      </c>
      <c r="AY247" s="120"/>
      <c r="AZ247" s="120"/>
      <c r="BA247" s="44"/>
      <c r="BB247" s="120"/>
      <c r="BC247" s="44">
        <f t="shared" si="124"/>
        <v>0</v>
      </c>
      <c r="BD247" s="17">
        <f t="shared" si="129"/>
        <v>0</v>
      </c>
    </row>
    <row r="248" spans="1:56" x14ac:dyDescent="0.3">
      <c r="A248" s="17"/>
      <c r="B248" s="1">
        <v>43684</v>
      </c>
      <c r="C248" s="7">
        <v>1421</v>
      </c>
      <c r="D248" s="7">
        <v>251</v>
      </c>
      <c r="F248" s="7">
        <v>80</v>
      </c>
      <c r="G248" s="7">
        <f t="shared" si="135"/>
        <v>1752</v>
      </c>
      <c r="H248" s="17">
        <f t="shared" si="116"/>
        <v>0</v>
      </c>
      <c r="J248" s="1">
        <v>44049</v>
      </c>
      <c r="K248" s="101">
        <v>1227.1880000000001</v>
      </c>
      <c r="L248" s="101">
        <v>235.64099999999999</v>
      </c>
      <c r="M248" s="101"/>
      <c r="N248" s="101">
        <v>77.052000000000007</v>
      </c>
      <c r="O248" s="7">
        <f t="shared" si="119"/>
        <v>1539.8810000000001</v>
      </c>
      <c r="P248" s="17">
        <f t="shared" si="117"/>
        <v>0</v>
      </c>
      <c r="R248" s="1">
        <f t="shared" si="130"/>
        <v>44415</v>
      </c>
      <c r="S248" s="43">
        <v>1309.0197258064516</v>
      </c>
      <c r="T248" s="82">
        <v>254.78587354838709</v>
      </c>
      <c r="V248" s="82">
        <v>89.348569032258069</v>
      </c>
      <c r="W248" s="7">
        <f t="shared" si="120"/>
        <v>1653.1541683870969</v>
      </c>
      <c r="X248" s="17">
        <f t="shared" si="125"/>
        <v>1</v>
      </c>
      <c r="Y248" s="17"/>
      <c r="Z248" s="1">
        <f t="shared" si="131"/>
        <v>44780</v>
      </c>
      <c r="AA248" s="115">
        <v>1267.0770933333333</v>
      </c>
      <c r="AB248" s="115">
        <v>276.47263215053761</v>
      </c>
      <c r="AC248" s="101"/>
      <c r="AD248" s="115">
        <v>79.327927741935483</v>
      </c>
      <c r="AE248" s="101">
        <f t="shared" si="121"/>
        <v>1622.8776532258066</v>
      </c>
      <c r="AF248" s="17">
        <f t="shared" si="126"/>
        <v>1</v>
      </c>
      <c r="AH248" s="1">
        <f t="shared" si="132"/>
        <v>45145</v>
      </c>
      <c r="AI248" s="119">
        <v>1483.1189999999999</v>
      </c>
      <c r="AJ248" s="119">
        <v>303.49799999999999</v>
      </c>
      <c r="AK248" s="44"/>
      <c r="AL248" s="119">
        <v>86.656000000000006</v>
      </c>
      <c r="AM248" s="44">
        <f t="shared" si="122"/>
        <v>1873.2729999999999</v>
      </c>
      <c r="AN248" s="17">
        <f t="shared" si="127"/>
        <v>1</v>
      </c>
      <c r="AO248" s="17"/>
      <c r="AP248" s="1">
        <f t="shared" si="133"/>
        <v>45510</v>
      </c>
      <c r="AQ248" s="119">
        <v>1539.5630000000001</v>
      </c>
      <c r="AR248" s="119">
        <v>308.34361084946238</v>
      </c>
      <c r="AS248" s="44"/>
      <c r="AT248" s="119">
        <v>85.767592580645157</v>
      </c>
      <c r="AU248" s="44">
        <f t="shared" si="123"/>
        <v>1933.6742034301078</v>
      </c>
      <c r="AV248" s="17">
        <f t="shared" si="128"/>
        <v>1</v>
      </c>
      <c r="AW248" s="17"/>
      <c r="AX248" s="1">
        <f t="shared" si="134"/>
        <v>45876</v>
      </c>
      <c r="AY248" s="119"/>
      <c r="AZ248" s="119"/>
      <c r="BA248" s="44"/>
      <c r="BB248" s="119"/>
      <c r="BC248" s="44">
        <f t="shared" si="124"/>
        <v>0</v>
      </c>
      <c r="BD248" s="17">
        <f t="shared" si="129"/>
        <v>0</v>
      </c>
    </row>
    <row r="249" spans="1:56" x14ac:dyDescent="0.3">
      <c r="A249" s="17"/>
      <c r="B249" s="1">
        <v>43685</v>
      </c>
      <c r="C249" s="7">
        <v>1312</v>
      </c>
      <c r="D249" s="7">
        <v>228</v>
      </c>
      <c r="F249" s="7">
        <v>78</v>
      </c>
      <c r="G249" s="7">
        <f t="shared" si="135"/>
        <v>1618</v>
      </c>
      <c r="H249" s="17">
        <f t="shared" si="116"/>
        <v>0</v>
      </c>
      <c r="J249" s="1">
        <v>44050</v>
      </c>
      <c r="K249" s="101">
        <v>1206.1320000000001</v>
      </c>
      <c r="L249" s="101">
        <v>227.983</v>
      </c>
      <c r="M249" s="101"/>
      <c r="N249" s="101">
        <v>76.153000000000006</v>
      </c>
      <c r="O249" s="7">
        <f t="shared" si="119"/>
        <v>1510.268</v>
      </c>
      <c r="P249" s="17">
        <f t="shared" si="117"/>
        <v>0</v>
      </c>
      <c r="R249" s="1">
        <f t="shared" si="130"/>
        <v>44416</v>
      </c>
      <c r="S249" s="43">
        <v>1149.8702903225806</v>
      </c>
      <c r="T249" s="82">
        <v>221.47104053763442</v>
      </c>
      <c r="V249" s="82">
        <v>73.85486516129032</v>
      </c>
      <c r="W249" s="7">
        <f t="shared" si="120"/>
        <v>1445.1961960215053</v>
      </c>
      <c r="X249" s="17">
        <f t="shared" si="125"/>
        <v>0</v>
      </c>
      <c r="Y249" s="17"/>
      <c r="Z249" s="1">
        <f t="shared" si="131"/>
        <v>44781</v>
      </c>
      <c r="AA249" s="116">
        <v>1397.8425999999999</v>
      </c>
      <c r="AB249" s="116">
        <v>305.50615774193551</v>
      </c>
      <c r="AC249" s="101"/>
      <c r="AD249" s="116">
        <v>86.345365161290317</v>
      </c>
      <c r="AE249" s="101">
        <f t="shared" si="121"/>
        <v>1789.6941229032259</v>
      </c>
      <c r="AF249" s="17">
        <f t="shared" si="126"/>
        <v>1</v>
      </c>
      <c r="AH249" s="1">
        <f t="shared" si="132"/>
        <v>45146</v>
      </c>
      <c r="AI249" s="120">
        <v>1406.7090000000001</v>
      </c>
      <c r="AJ249" s="120">
        <v>297.57</v>
      </c>
      <c r="AK249" s="44"/>
      <c r="AL249" s="120">
        <v>82.213999999999999</v>
      </c>
      <c r="AM249" s="44">
        <f t="shared" si="122"/>
        <v>1786.4929999999999</v>
      </c>
      <c r="AN249" s="17">
        <f t="shared" si="127"/>
        <v>1</v>
      </c>
      <c r="AO249" s="17"/>
      <c r="AP249" s="1">
        <f t="shared" si="133"/>
        <v>45511</v>
      </c>
      <c r="AQ249" s="120">
        <v>1498.0039999999999</v>
      </c>
      <c r="AR249" s="120">
        <v>341.48918086236557</v>
      </c>
      <c r="AS249" s="44"/>
      <c r="AT249" s="120">
        <v>85.916973870967738</v>
      </c>
      <c r="AU249" s="44">
        <f t="shared" si="123"/>
        <v>1925.4101547333332</v>
      </c>
      <c r="AV249" s="17">
        <f t="shared" si="128"/>
        <v>1</v>
      </c>
      <c r="AW249" s="17"/>
      <c r="AX249" s="1">
        <f t="shared" si="134"/>
        <v>45877</v>
      </c>
      <c r="AY249" s="120"/>
      <c r="AZ249" s="120"/>
      <c r="BA249" s="44"/>
      <c r="BB249" s="120"/>
      <c r="BC249" s="44">
        <f t="shared" si="124"/>
        <v>0</v>
      </c>
      <c r="BD249" s="17">
        <f t="shared" si="129"/>
        <v>0</v>
      </c>
    </row>
    <row r="250" spans="1:56" x14ac:dyDescent="0.3">
      <c r="A250" s="17"/>
      <c r="B250" s="1">
        <v>43686</v>
      </c>
      <c r="C250" s="7">
        <v>1208</v>
      </c>
      <c r="D250" s="7">
        <v>212</v>
      </c>
      <c r="F250" s="7">
        <v>71</v>
      </c>
      <c r="G250" s="7">
        <f t="shared" si="135"/>
        <v>1491</v>
      </c>
      <c r="H250" s="17">
        <f t="shared" si="116"/>
        <v>0</v>
      </c>
      <c r="J250" s="1">
        <v>44051</v>
      </c>
      <c r="K250" s="101">
        <v>1150.7950000000001</v>
      </c>
      <c r="L250" s="101">
        <v>229.89699999999999</v>
      </c>
      <c r="M250" s="101"/>
      <c r="N250" s="101">
        <v>74.402000000000001</v>
      </c>
      <c r="O250" s="7">
        <f t="shared" si="119"/>
        <v>1455.0940000000001</v>
      </c>
      <c r="P250" s="17">
        <f t="shared" si="117"/>
        <v>0</v>
      </c>
      <c r="R250" s="1">
        <f t="shared" si="130"/>
        <v>44417</v>
      </c>
      <c r="S250" s="43">
        <v>1133.9789032258066</v>
      </c>
      <c r="T250" s="82">
        <v>223.74211548387098</v>
      </c>
      <c r="V250" s="82">
        <v>78.238412903225807</v>
      </c>
      <c r="W250" s="7">
        <f t="shared" si="120"/>
        <v>1435.9594316129032</v>
      </c>
      <c r="X250" s="17">
        <f t="shared" si="125"/>
        <v>0</v>
      </c>
      <c r="Y250" s="17"/>
      <c r="Z250" s="1">
        <f t="shared" si="131"/>
        <v>44782</v>
      </c>
      <c r="AA250" s="115">
        <v>1297.0516533333334</v>
      </c>
      <c r="AB250" s="115">
        <v>274.87878999999998</v>
      </c>
      <c r="AC250" s="101"/>
      <c r="AD250" s="115">
        <v>92.619197419354833</v>
      </c>
      <c r="AE250" s="101">
        <f t="shared" si="121"/>
        <v>1664.5496407526882</v>
      </c>
      <c r="AF250" s="17">
        <f t="shared" si="126"/>
        <v>1</v>
      </c>
      <c r="AH250" s="1">
        <f t="shared" si="132"/>
        <v>45147</v>
      </c>
      <c r="AI250" s="119">
        <v>1382.893</v>
      </c>
      <c r="AJ250" s="119">
        <v>283.762</v>
      </c>
      <c r="AK250" s="44"/>
      <c r="AL250" s="119">
        <v>87.34</v>
      </c>
      <c r="AM250" s="44">
        <f t="shared" si="122"/>
        <v>1753.9949999999999</v>
      </c>
      <c r="AN250" s="17">
        <f t="shared" si="127"/>
        <v>1</v>
      </c>
      <c r="AO250" s="17"/>
      <c r="AP250" s="1">
        <f t="shared" si="133"/>
        <v>45512</v>
      </c>
      <c r="AQ250" s="119">
        <v>1349.5239999999999</v>
      </c>
      <c r="AR250" s="119">
        <v>290.02151227526883</v>
      </c>
      <c r="AS250" s="44"/>
      <c r="AT250" s="119">
        <v>84.346305376344091</v>
      </c>
      <c r="AU250" s="44">
        <f t="shared" si="123"/>
        <v>1723.8918176516129</v>
      </c>
      <c r="AV250" s="17">
        <f t="shared" si="128"/>
        <v>1</v>
      </c>
      <c r="AW250" s="17"/>
      <c r="AX250" s="1">
        <f t="shared" si="134"/>
        <v>45878</v>
      </c>
      <c r="AY250" s="119"/>
      <c r="AZ250" s="119"/>
      <c r="BA250" s="44"/>
      <c r="BB250" s="119"/>
      <c r="BC250" s="44">
        <f t="shared" si="124"/>
        <v>0</v>
      </c>
      <c r="BD250" s="17">
        <f t="shared" si="129"/>
        <v>0</v>
      </c>
    </row>
    <row r="251" spans="1:56" x14ac:dyDescent="0.3">
      <c r="A251" s="17"/>
      <c r="B251" s="1">
        <v>43687</v>
      </c>
      <c r="C251" s="7">
        <v>1308</v>
      </c>
      <c r="D251" s="7">
        <v>225</v>
      </c>
      <c r="F251" s="7">
        <v>78</v>
      </c>
      <c r="G251" s="7">
        <f t="shared" si="135"/>
        <v>1611</v>
      </c>
      <c r="H251" s="17">
        <f t="shared" si="116"/>
        <v>0</v>
      </c>
      <c r="J251" s="1">
        <v>44052</v>
      </c>
      <c r="K251" s="101">
        <v>1168.423</v>
      </c>
      <c r="L251" s="101">
        <v>222.10499999999999</v>
      </c>
      <c r="M251" s="101"/>
      <c r="N251" s="101">
        <v>71.016999999999996</v>
      </c>
      <c r="O251" s="7">
        <f t="shared" si="119"/>
        <v>1461.5450000000001</v>
      </c>
      <c r="P251" s="17">
        <f t="shared" si="117"/>
        <v>0</v>
      </c>
      <c r="R251" s="1">
        <f t="shared" si="130"/>
        <v>44418</v>
      </c>
      <c r="S251" s="43">
        <v>1211.439685483871</v>
      </c>
      <c r="T251" s="82">
        <v>237.4422482795699</v>
      </c>
      <c r="V251" s="82">
        <v>82.120183870967736</v>
      </c>
      <c r="W251" s="7">
        <f t="shared" si="120"/>
        <v>1531.0021176344087</v>
      </c>
      <c r="X251" s="17">
        <f t="shared" si="125"/>
        <v>1</v>
      </c>
      <c r="Y251" s="17"/>
      <c r="Z251" s="1">
        <f t="shared" si="131"/>
        <v>44783</v>
      </c>
      <c r="AA251" s="116">
        <v>1264.82664</v>
      </c>
      <c r="AB251" s="116">
        <v>258.98035419354841</v>
      </c>
      <c r="AC251" s="101"/>
      <c r="AD251" s="116">
        <v>92.892534193548386</v>
      </c>
      <c r="AE251" s="101">
        <f t="shared" si="121"/>
        <v>1616.699528387097</v>
      </c>
      <c r="AF251" s="17">
        <f t="shared" si="126"/>
        <v>1</v>
      </c>
      <c r="AH251" s="1">
        <f t="shared" si="132"/>
        <v>45148</v>
      </c>
      <c r="AI251" s="120">
        <v>1353.8789999999999</v>
      </c>
      <c r="AJ251" s="120">
        <v>280.64299999999997</v>
      </c>
      <c r="AK251" s="44"/>
      <c r="AL251" s="120">
        <v>91.539000000000001</v>
      </c>
      <c r="AM251" s="44">
        <f t="shared" si="122"/>
        <v>1726.0609999999999</v>
      </c>
      <c r="AN251" s="17">
        <f t="shared" si="127"/>
        <v>1</v>
      </c>
      <c r="AO251" s="17"/>
      <c r="AP251" s="1">
        <f t="shared" si="133"/>
        <v>45513</v>
      </c>
      <c r="AQ251" s="120">
        <v>1320.6379999999999</v>
      </c>
      <c r="AR251" s="120">
        <v>280.7365319032258</v>
      </c>
      <c r="AS251" s="44"/>
      <c r="AT251" s="120">
        <v>79.469763978494626</v>
      </c>
      <c r="AU251" s="44">
        <f t="shared" si="123"/>
        <v>1680.8442958817204</v>
      </c>
      <c r="AV251" s="17">
        <f t="shared" si="128"/>
        <v>1</v>
      </c>
      <c r="AW251" s="17"/>
      <c r="AX251" s="1">
        <f t="shared" si="134"/>
        <v>45879</v>
      </c>
      <c r="AY251" s="120"/>
      <c r="AZ251" s="120"/>
      <c r="BA251" s="44"/>
      <c r="BB251" s="120"/>
      <c r="BC251" s="44">
        <f t="shared" si="124"/>
        <v>0</v>
      </c>
      <c r="BD251" s="17">
        <f t="shared" si="129"/>
        <v>0</v>
      </c>
    </row>
    <row r="252" spans="1:56" x14ac:dyDescent="0.3">
      <c r="A252" s="17"/>
      <c r="B252" s="1">
        <v>43688</v>
      </c>
      <c r="C252" s="7">
        <v>1280</v>
      </c>
      <c r="D252" s="7">
        <v>229</v>
      </c>
      <c r="F252" s="7">
        <v>73</v>
      </c>
      <c r="G252" s="7">
        <f t="shared" si="135"/>
        <v>1582</v>
      </c>
      <c r="H252" s="17">
        <f t="shared" si="116"/>
        <v>0</v>
      </c>
      <c r="J252" s="1">
        <v>44053</v>
      </c>
      <c r="K252" s="101">
        <v>1320.23</v>
      </c>
      <c r="L252" s="101">
        <v>238.12899999999999</v>
      </c>
      <c r="M252" s="101"/>
      <c r="N252" s="101">
        <v>74.599000000000004</v>
      </c>
      <c r="O252" s="7">
        <f t="shared" si="119"/>
        <v>1632.9579999999999</v>
      </c>
      <c r="P252" s="17">
        <f t="shared" si="117"/>
        <v>0</v>
      </c>
      <c r="R252" s="1">
        <f t="shared" si="130"/>
        <v>44419</v>
      </c>
      <c r="S252" s="43">
        <v>1134.0567419354838</v>
      </c>
      <c r="T252" s="82">
        <v>217.77905311827956</v>
      </c>
      <c r="V252" s="82">
        <v>82.878232903225808</v>
      </c>
      <c r="W252" s="7">
        <f t="shared" si="120"/>
        <v>1434.7140279569892</v>
      </c>
      <c r="X252" s="17">
        <f t="shared" si="125"/>
        <v>0</v>
      </c>
      <c r="Y252" s="17"/>
      <c r="Z252" s="1">
        <f t="shared" si="131"/>
        <v>44784</v>
      </c>
      <c r="AA252" s="115">
        <v>1329.1165066666667</v>
      </c>
      <c r="AB252" s="115">
        <v>259.08220548387095</v>
      </c>
      <c r="AC252" s="101"/>
      <c r="AD252" s="115">
        <v>89.488738064516127</v>
      </c>
      <c r="AE252" s="101">
        <f t="shared" si="121"/>
        <v>1677.6874502150538</v>
      </c>
      <c r="AF252" s="17">
        <f t="shared" si="126"/>
        <v>1</v>
      </c>
      <c r="AH252" s="1">
        <f t="shared" si="132"/>
        <v>45149</v>
      </c>
      <c r="AI252" s="119">
        <v>1388.6959999999999</v>
      </c>
      <c r="AJ252" s="119">
        <v>289.92500000000001</v>
      </c>
      <c r="AK252" s="44"/>
      <c r="AL252" s="119">
        <v>96.149000000000001</v>
      </c>
      <c r="AM252" s="44">
        <f t="shared" si="122"/>
        <v>1774.77</v>
      </c>
      <c r="AN252" s="17">
        <f t="shared" si="127"/>
        <v>1</v>
      </c>
      <c r="AO252" s="17"/>
      <c r="AP252" s="1">
        <f t="shared" si="133"/>
        <v>45514</v>
      </c>
      <c r="AQ252" s="119">
        <v>1278.9280000000001</v>
      </c>
      <c r="AR252" s="119">
        <v>282.83289553763439</v>
      </c>
      <c r="AS252" s="44"/>
      <c r="AT252" s="119">
        <v>74.947191290322579</v>
      </c>
      <c r="AU252" s="44">
        <f t="shared" si="123"/>
        <v>1636.708086827957</v>
      </c>
      <c r="AV252" s="17">
        <f t="shared" si="128"/>
        <v>1</v>
      </c>
      <c r="AW252" s="17"/>
      <c r="AX252" s="1">
        <f t="shared" si="134"/>
        <v>45880</v>
      </c>
      <c r="AY252" s="119"/>
      <c r="AZ252" s="119"/>
      <c r="BA252" s="44"/>
      <c r="BB252" s="119"/>
      <c r="BC252" s="44">
        <f t="shared" si="124"/>
        <v>0</v>
      </c>
      <c r="BD252" s="17">
        <f t="shared" si="129"/>
        <v>0</v>
      </c>
    </row>
    <row r="253" spans="1:56" x14ac:dyDescent="0.3">
      <c r="A253" s="17"/>
      <c r="B253" s="1">
        <v>43689</v>
      </c>
      <c r="C253" s="7">
        <v>1346</v>
      </c>
      <c r="D253" s="7">
        <v>236</v>
      </c>
      <c r="F253" s="7">
        <v>74</v>
      </c>
      <c r="G253" s="7">
        <f t="shared" si="135"/>
        <v>1656</v>
      </c>
      <c r="H253" s="17">
        <f t="shared" si="116"/>
        <v>0</v>
      </c>
      <c r="J253" s="1">
        <v>44054</v>
      </c>
      <c r="K253" s="101">
        <v>1283.99</v>
      </c>
      <c r="L253" s="101">
        <v>238.51900000000001</v>
      </c>
      <c r="M253" s="101"/>
      <c r="N253" s="101">
        <v>78.012</v>
      </c>
      <c r="O253" s="7">
        <f t="shared" si="119"/>
        <v>1600.521</v>
      </c>
      <c r="P253" s="17">
        <f t="shared" si="117"/>
        <v>0</v>
      </c>
      <c r="R253" s="1">
        <f t="shared" si="130"/>
        <v>44420</v>
      </c>
      <c r="S253" s="43">
        <v>1080.3275483870968</v>
      </c>
      <c r="T253" s="82">
        <v>203.68881860215055</v>
      </c>
      <c r="V253" s="82">
        <v>77.200402580645161</v>
      </c>
      <c r="W253" s="7">
        <f t="shared" si="120"/>
        <v>1361.2167695698927</v>
      </c>
      <c r="X253" s="17">
        <f t="shared" si="125"/>
        <v>0</v>
      </c>
      <c r="Y253" s="17"/>
      <c r="Z253" s="1">
        <f t="shared" si="131"/>
        <v>44785</v>
      </c>
      <c r="AA253" s="116">
        <v>1358.8333733333334</v>
      </c>
      <c r="AB253" s="116">
        <v>287.26059913978497</v>
      </c>
      <c r="AC253" s="101"/>
      <c r="AD253" s="116">
        <v>90.55302967741936</v>
      </c>
      <c r="AE253" s="101">
        <f t="shared" si="121"/>
        <v>1736.6470021505377</v>
      </c>
      <c r="AF253" s="17">
        <f t="shared" si="126"/>
        <v>1</v>
      </c>
      <c r="AH253" s="1">
        <f t="shared" si="132"/>
        <v>45150</v>
      </c>
      <c r="AI253" s="120">
        <v>1331.1880000000001</v>
      </c>
      <c r="AJ253" s="120">
        <v>289.00400000000002</v>
      </c>
      <c r="AK253" s="44"/>
      <c r="AL253" s="120">
        <v>94.322999999999993</v>
      </c>
      <c r="AM253" s="44">
        <f t="shared" si="122"/>
        <v>1714.5150000000001</v>
      </c>
      <c r="AN253" s="17">
        <f t="shared" si="127"/>
        <v>1</v>
      </c>
      <c r="AO253" s="17"/>
      <c r="AP253" s="1">
        <f t="shared" si="133"/>
        <v>45515</v>
      </c>
      <c r="AQ253" s="120">
        <v>1251.97</v>
      </c>
      <c r="AR253" s="120">
        <v>262.98235518817205</v>
      </c>
      <c r="AS253" s="44"/>
      <c r="AT253" s="120">
        <v>69.592196774193553</v>
      </c>
      <c r="AU253" s="44">
        <f t="shared" si="123"/>
        <v>1584.5445519623656</v>
      </c>
      <c r="AV253" s="17">
        <f t="shared" si="128"/>
        <v>1</v>
      </c>
      <c r="AW253" s="17"/>
      <c r="AX253" s="1">
        <f t="shared" si="134"/>
        <v>45881</v>
      </c>
      <c r="AY253" s="120"/>
      <c r="AZ253" s="120"/>
      <c r="BA253" s="44"/>
      <c r="BB253" s="120"/>
      <c r="BC253" s="44">
        <f t="shared" si="124"/>
        <v>0</v>
      </c>
      <c r="BD253" s="17">
        <f t="shared" si="129"/>
        <v>0</v>
      </c>
    </row>
    <row r="254" spans="1:56" x14ac:dyDescent="0.3">
      <c r="A254" s="17"/>
      <c r="B254" s="1">
        <v>43690</v>
      </c>
      <c r="C254" s="7">
        <v>1358</v>
      </c>
      <c r="D254" s="7">
        <v>246</v>
      </c>
      <c r="F254" s="7">
        <v>80</v>
      </c>
      <c r="G254" s="7">
        <f t="shared" si="135"/>
        <v>1684</v>
      </c>
      <c r="H254" s="17">
        <f t="shared" si="116"/>
        <v>0</v>
      </c>
      <c r="J254" s="1">
        <v>44055</v>
      </c>
      <c r="K254" s="101">
        <v>1253.29</v>
      </c>
      <c r="L254" s="101">
        <v>238.13300000000001</v>
      </c>
      <c r="M254" s="101"/>
      <c r="N254" s="101">
        <v>77.823999999999998</v>
      </c>
      <c r="O254" s="7">
        <f t="shared" si="119"/>
        <v>1569.2470000000001</v>
      </c>
      <c r="P254" s="17">
        <f t="shared" si="117"/>
        <v>0</v>
      </c>
      <c r="R254" s="1">
        <f t="shared" si="130"/>
        <v>44421</v>
      </c>
      <c r="S254" s="43">
        <v>1084.8114677419355</v>
      </c>
      <c r="T254" s="82">
        <v>203.52508677419354</v>
      </c>
      <c r="V254" s="82">
        <v>75.769369677419348</v>
      </c>
      <c r="W254" s="7">
        <f t="shared" si="120"/>
        <v>1364.1059241935484</v>
      </c>
      <c r="X254" s="17">
        <f t="shared" si="125"/>
        <v>0</v>
      </c>
      <c r="Y254" s="17"/>
      <c r="Z254" s="1">
        <f t="shared" si="131"/>
        <v>44786</v>
      </c>
      <c r="AA254" s="115">
        <v>1388.5635866666667</v>
      </c>
      <c r="AB254" s="115">
        <v>280.12415666666669</v>
      </c>
      <c r="AC254" s="101"/>
      <c r="AD254" s="115">
        <v>91.040516129032255</v>
      </c>
      <c r="AE254" s="101">
        <f t="shared" si="121"/>
        <v>1759.7282594623657</v>
      </c>
      <c r="AF254" s="17">
        <f t="shared" si="126"/>
        <v>1</v>
      </c>
      <c r="AH254" s="1">
        <f t="shared" si="132"/>
        <v>45151</v>
      </c>
      <c r="AI254" s="119">
        <v>1272.903</v>
      </c>
      <c r="AJ254" s="119">
        <v>255.75200000000001</v>
      </c>
      <c r="AK254" s="44"/>
      <c r="AL254" s="119">
        <v>81.578000000000003</v>
      </c>
      <c r="AM254" s="44">
        <f t="shared" si="122"/>
        <v>1610.2329999999999</v>
      </c>
      <c r="AN254" s="17">
        <f t="shared" si="127"/>
        <v>1</v>
      </c>
      <c r="AO254" s="17"/>
      <c r="AP254" s="1">
        <f t="shared" si="133"/>
        <v>45516</v>
      </c>
      <c r="AQ254" s="119">
        <v>1401.0540000000001</v>
      </c>
      <c r="AR254" s="119">
        <v>276.15416658924732</v>
      </c>
      <c r="AS254" s="44"/>
      <c r="AT254" s="119">
        <v>79.299815698924732</v>
      </c>
      <c r="AU254" s="44">
        <f t="shared" si="123"/>
        <v>1756.5079822881721</v>
      </c>
      <c r="AV254" s="17">
        <f t="shared" si="128"/>
        <v>1</v>
      </c>
      <c r="AW254" s="17"/>
      <c r="AX254" s="1">
        <f t="shared" si="134"/>
        <v>45882</v>
      </c>
      <c r="AY254" s="119"/>
      <c r="AZ254" s="119"/>
      <c r="BA254" s="44"/>
      <c r="BB254" s="119"/>
      <c r="BC254" s="44">
        <f t="shared" si="124"/>
        <v>0</v>
      </c>
      <c r="BD254" s="17">
        <f t="shared" si="129"/>
        <v>0</v>
      </c>
    </row>
    <row r="255" spans="1:56" x14ac:dyDescent="0.3">
      <c r="A255" s="17"/>
      <c r="B255" s="1">
        <v>43691</v>
      </c>
      <c r="C255" s="7">
        <v>1273</v>
      </c>
      <c r="D255" s="7">
        <v>237</v>
      </c>
      <c r="F255" s="7">
        <v>80</v>
      </c>
      <c r="G255" s="7">
        <f t="shared" si="135"/>
        <v>1590</v>
      </c>
      <c r="H255" s="17">
        <f t="shared" si="116"/>
        <v>0</v>
      </c>
      <c r="J255" s="1">
        <v>44056</v>
      </c>
      <c r="K255" s="101">
        <v>1299.8800000000001</v>
      </c>
      <c r="L255" s="101">
        <v>231.54599999999999</v>
      </c>
      <c r="M255" s="101"/>
      <c r="N255" s="101">
        <v>78.287999999999997</v>
      </c>
      <c r="O255" s="7">
        <f t="shared" si="119"/>
        <v>1609.7140000000002</v>
      </c>
      <c r="P255" s="17">
        <f t="shared" si="117"/>
        <v>0</v>
      </c>
      <c r="R255" s="1">
        <f t="shared" si="130"/>
        <v>44422</v>
      </c>
      <c r="S255" s="43">
        <v>1173.5455483870967</v>
      </c>
      <c r="T255" s="82">
        <v>205.635231827957</v>
      </c>
      <c r="V255" s="82">
        <v>77.006583225806452</v>
      </c>
      <c r="W255" s="7">
        <f t="shared" si="120"/>
        <v>1456.1873634408603</v>
      </c>
      <c r="X255" s="17">
        <f t="shared" si="125"/>
        <v>0</v>
      </c>
      <c r="Y255" s="17"/>
      <c r="Z255" s="1">
        <f t="shared" si="131"/>
        <v>44787</v>
      </c>
      <c r="AA255" s="116">
        <v>1252.1082933333332</v>
      </c>
      <c r="AB255" s="116">
        <v>258.70505193548388</v>
      </c>
      <c r="AC255" s="101"/>
      <c r="AD255" s="116">
        <v>85.40913290322581</v>
      </c>
      <c r="AE255" s="101">
        <f t="shared" si="121"/>
        <v>1596.2224781720429</v>
      </c>
      <c r="AF255" s="17">
        <f t="shared" si="126"/>
        <v>1</v>
      </c>
      <c r="AH255" s="1">
        <f t="shared" si="132"/>
        <v>45152</v>
      </c>
      <c r="AI255" s="120">
        <v>1343.309</v>
      </c>
      <c r="AJ255" s="120">
        <v>274.858</v>
      </c>
      <c r="AK255" s="44"/>
      <c r="AL255" s="120">
        <v>85.02</v>
      </c>
      <c r="AM255" s="44">
        <f t="shared" si="122"/>
        <v>1703.1869999999999</v>
      </c>
      <c r="AN255" s="17">
        <f t="shared" si="127"/>
        <v>1</v>
      </c>
      <c r="AO255" s="17"/>
      <c r="AP255" s="1">
        <f t="shared" si="133"/>
        <v>45517</v>
      </c>
      <c r="AQ255" s="120">
        <v>1347.3030000000001</v>
      </c>
      <c r="AR255" s="120">
        <v>265.02618078064518</v>
      </c>
      <c r="AS255" s="44"/>
      <c r="AT255" s="120">
        <v>81.212545698924728</v>
      </c>
      <c r="AU255" s="44">
        <f t="shared" si="123"/>
        <v>1693.5417264795701</v>
      </c>
      <c r="AV255" s="17">
        <f t="shared" si="128"/>
        <v>1</v>
      </c>
      <c r="AW255" s="17"/>
      <c r="AX255" s="1">
        <f t="shared" si="134"/>
        <v>45883</v>
      </c>
      <c r="AY255" s="120"/>
      <c r="AZ255" s="120"/>
      <c r="BA255" s="44"/>
      <c r="BB255" s="120"/>
      <c r="BC255" s="44">
        <f t="shared" si="124"/>
        <v>0</v>
      </c>
      <c r="BD255" s="17">
        <f t="shared" si="129"/>
        <v>0</v>
      </c>
    </row>
    <row r="256" spans="1:56" x14ac:dyDescent="0.3">
      <c r="A256" s="17"/>
      <c r="B256" s="1">
        <v>43692</v>
      </c>
      <c r="C256" s="7">
        <v>1199</v>
      </c>
      <c r="D256" s="7">
        <v>231</v>
      </c>
      <c r="F256" s="7">
        <v>72</v>
      </c>
      <c r="G256" s="7">
        <f t="shared" si="135"/>
        <v>1502</v>
      </c>
      <c r="H256" s="17">
        <f t="shared" si="116"/>
        <v>0</v>
      </c>
      <c r="J256" s="1">
        <v>44057</v>
      </c>
      <c r="K256" s="101">
        <v>1310.8</v>
      </c>
      <c r="L256" s="101">
        <v>240.67699999999999</v>
      </c>
      <c r="M256" s="101"/>
      <c r="N256" s="101">
        <v>80.298000000000002</v>
      </c>
      <c r="O256" s="7">
        <f t="shared" si="119"/>
        <v>1631.7749999999999</v>
      </c>
      <c r="P256" s="17">
        <f t="shared" si="117"/>
        <v>0</v>
      </c>
      <c r="R256" s="1">
        <f t="shared" si="130"/>
        <v>44423</v>
      </c>
      <c r="S256" s="43">
        <v>1072.9185322580645</v>
      </c>
      <c r="T256" s="82">
        <v>199.50373548387097</v>
      </c>
      <c r="V256" s="82">
        <v>65.400034193548393</v>
      </c>
      <c r="W256" s="7">
        <f t="shared" si="120"/>
        <v>1337.8223019354839</v>
      </c>
      <c r="X256" s="17">
        <f t="shared" si="125"/>
        <v>0</v>
      </c>
      <c r="Y256" s="17"/>
      <c r="Z256" s="1">
        <f t="shared" si="131"/>
        <v>44788</v>
      </c>
      <c r="AA256" s="115">
        <v>1288.3588666666667</v>
      </c>
      <c r="AB256" s="115">
        <v>256.20493548387094</v>
      </c>
      <c r="AC256" s="101"/>
      <c r="AD256" s="115">
        <v>78.195840000000004</v>
      </c>
      <c r="AE256" s="101">
        <f t="shared" si="121"/>
        <v>1622.7596421505377</v>
      </c>
      <c r="AF256" s="17">
        <f t="shared" si="126"/>
        <v>1</v>
      </c>
      <c r="AH256" s="1">
        <f t="shared" si="132"/>
        <v>45153</v>
      </c>
      <c r="AI256" s="119">
        <v>1412.9349999999999</v>
      </c>
      <c r="AJ256" s="119">
        <v>297.99799999999999</v>
      </c>
      <c r="AK256" s="44"/>
      <c r="AL256" s="119">
        <v>83.548000000000002</v>
      </c>
      <c r="AM256" s="44">
        <f t="shared" si="122"/>
        <v>1794.481</v>
      </c>
      <c r="AN256" s="17">
        <f t="shared" si="127"/>
        <v>1</v>
      </c>
      <c r="AO256" s="17"/>
      <c r="AP256" s="1">
        <f t="shared" si="133"/>
        <v>45518</v>
      </c>
      <c r="AQ256" s="119">
        <v>1352.518</v>
      </c>
      <c r="AR256" s="119">
        <v>262.42498138494625</v>
      </c>
      <c r="AS256" s="44"/>
      <c r="AT256" s="119">
        <v>85.980839784946241</v>
      </c>
      <c r="AU256" s="44">
        <f t="shared" si="123"/>
        <v>1700.9238211698926</v>
      </c>
      <c r="AV256" s="17">
        <f t="shared" si="128"/>
        <v>1</v>
      </c>
      <c r="AW256" s="17"/>
      <c r="AX256" s="1">
        <f t="shared" si="134"/>
        <v>45884</v>
      </c>
      <c r="AY256" s="119"/>
      <c r="AZ256" s="119"/>
      <c r="BA256" s="44"/>
      <c r="BB256" s="119"/>
      <c r="BC256" s="44">
        <f t="shared" si="124"/>
        <v>0</v>
      </c>
      <c r="BD256" s="17">
        <f t="shared" si="129"/>
        <v>0</v>
      </c>
    </row>
    <row r="257" spans="1:56" x14ac:dyDescent="0.3">
      <c r="A257" s="17"/>
      <c r="B257" s="1">
        <v>43693</v>
      </c>
      <c r="C257" s="7">
        <v>1271</v>
      </c>
      <c r="D257" s="7">
        <v>229</v>
      </c>
      <c r="F257" s="7">
        <v>75</v>
      </c>
      <c r="G257" s="7">
        <f t="shared" si="135"/>
        <v>1575</v>
      </c>
      <c r="H257" s="17">
        <f t="shared" si="116"/>
        <v>0</v>
      </c>
      <c r="J257" s="1">
        <v>44058</v>
      </c>
      <c r="K257" s="101">
        <v>1279.97</v>
      </c>
      <c r="L257" s="101">
        <v>240.315</v>
      </c>
      <c r="M257" s="101"/>
      <c r="N257" s="101">
        <v>74.649000000000001</v>
      </c>
      <c r="O257" s="7">
        <f t="shared" si="119"/>
        <v>1594.9340000000002</v>
      </c>
      <c r="P257" s="17">
        <f t="shared" si="117"/>
        <v>0</v>
      </c>
      <c r="R257" s="1">
        <f t="shared" si="130"/>
        <v>44424</v>
      </c>
      <c r="S257" s="43">
        <v>1074.9935483870968</v>
      </c>
      <c r="T257" s="82">
        <v>229.45256645161291</v>
      </c>
      <c r="V257" s="82">
        <v>71.215691612903228</v>
      </c>
      <c r="W257" s="7">
        <f t="shared" si="120"/>
        <v>1375.6618064516128</v>
      </c>
      <c r="X257" s="17">
        <f t="shared" si="125"/>
        <v>0</v>
      </c>
      <c r="Y257" s="17"/>
      <c r="Z257" s="1">
        <f t="shared" si="131"/>
        <v>44789</v>
      </c>
      <c r="AA257" s="116">
        <v>1318.7646266666666</v>
      </c>
      <c r="AB257" s="116">
        <v>272.44510569892475</v>
      </c>
      <c r="AC257" s="101"/>
      <c r="AD257" s="116">
        <v>85.323042580645165</v>
      </c>
      <c r="AE257" s="101">
        <f t="shared" si="121"/>
        <v>1676.5327749462363</v>
      </c>
      <c r="AF257" s="17">
        <f t="shared" si="126"/>
        <v>1</v>
      </c>
      <c r="AH257" s="1">
        <f t="shared" si="132"/>
        <v>45154</v>
      </c>
      <c r="AI257" s="120">
        <v>1391.3440000000001</v>
      </c>
      <c r="AJ257" s="120">
        <v>301.8</v>
      </c>
      <c r="AK257" s="44"/>
      <c r="AL257" s="120">
        <v>86.896000000000001</v>
      </c>
      <c r="AM257" s="44">
        <f t="shared" si="122"/>
        <v>1780.04</v>
      </c>
      <c r="AN257" s="17">
        <f t="shared" si="127"/>
        <v>1</v>
      </c>
      <c r="AO257" s="17"/>
      <c r="AP257" s="1">
        <f t="shared" si="133"/>
        <v>45519</v>
      </c>
      <c r="AQ257" s="120">
        <v>1268.0219999999999</v>
      </c>
      <c r="AR257" s="120">
        <v>268.21926792795699</v>
      </c>
      <c r="AS257" s="44"/>
      <c r="AT257" s="120">
        <v>82.824348172043017</v>
      </c>
      <c r="AU257" s="44">
        <f t="shared" si="123"/>
        <v>1619.0656160999999</v>
      </c>
      <c r="AV257" s="17">
        <f t="shared" si="128"/>
        <v>1</v>
      </c>
      <c r="AW257" s="17"/>
      <c r="AX257" s="1">
        <f t="shared" si="134"/>
        <v>45885</v>
      </c>
      <c r="AY257" s="120"/>
      <c r="AZ257" s="120"/>
      <c r="BA257" s="44"/>
      <c r="BB257" s="120"/>
      <c r="BC257" s="44">
        <f t="shared" si="124"/>
        <v>0</v>
      </c>
      <c r="BD257" s="17">
        <f t="shared" si="129"/>
        <v>0</v>
      </c>
    </row>
    <row r="258" spans="1:56" x14ac:dyDescent="0.3">
      <c r="A258" s="17"/>
      <c r="B258" s="1">
        <v>43694</v>
      </c>
      <c r="C258" s="7">
        <v>1212</v>
      </c>
      <c r="D258" s="7">
        <v>228</v>
      </c>
      <c r="F258" s="7">
        <v>78</v>
      </c>
      <c r="G258" s="7">
        <f t="shared" si="135"/>
        <v>1518</v>
      </c>
      <c r="H258" s="17">
        <f t="shared" si="116"/>
        <v>0</v>
      </c>
      <c r="J258" s="1">
        <v>44059</v>
      </c>
      <c r="K258" s="101">
        <v>1224.02</v>
      </c>
      <c r="L258" s="101">
        <v>242.029</v>
      </c>
      <c r="M258" s="101"/>
      <c r="N258" s="101">
        <v>70.131</v>
      </c>
      <c r="O258" s="7">
        <f t="shared" si="119"/>
        <v>1536.18</v>
      </c>
      <c r="P258" s="17">
        <f t="shared" si="117"/>
        <v>0</v>
      </c>
      <c r="R258" s="1">
        <f t="shared" si="130"/>
        <v>44425</v>
      </c>
      <c r="S258" s="43">
        <v>1198.0452822580646</v>
      </c>
      <c r="T258" s="82">
        <v>225.60023193548386</v>
      </c>
      <c r="V258" s="82">
        <v>77.611730322580641</v>
      </c>
      <c r="W258" s="7">
        <f t="shared" si="120"/>
        <v>1501.257244516129</v>
      </c>
      <c r="X258" s="17">
        <f t="shared" si="125"/>
        <v>1</v>
      </c>
      <c r="Y258" s="17"/>
      <c r="Z258" s="1">
        <f t="shared" si="131"/>
        <v>44790</v>
      </c>
      <c r="AA258" s="115">
        <v>1318.4976933333332</v>
      </c>
      <c r="AB258" s="115">
        <v>267.46979279569894</v>
      </c>
      <c r="AC258" s="101"/>
      <c r="AD258" s="115">
        <v>87.345089032258059</v>
      </c>
      <c r="AE258" s="101">
        <f t="shared" si="121"/>
        <v>1673.3125751612904</v>
      </c>
      <c r="AF258" s="17">
        <f t="shared" si="126"/>
        <v>1</v>
      </c>
      <c r="AH258" s="1">
        <f t="shared" si="132"/>
        <v>45155</v>
      </c>
      <c r="AI258" s="119">
        <v>1538.174</v>
      </c>
      <c r="AJ258" s="119">
        <v>316.36900000000003</v>
      </c>
      <c r="AK258" s="44"/>
      <c r="AL258" s="119">
        <v>97.953999999999994</v>
      </c>
      <c r="AM258" s="44">
        <f t="shared" si="122"/>
        <v>1952.4970000000001</v>
      </c>
      <c r="AN258" s="17">
        <f t="shared" si="127"/>
        <v>1</v>
      </c>
      <c r="AO258" s="17"/>
      <c r="AP258" s="1">
        <f t="shared" si="133"/>
        <v>45520</v>
      </c>
      <c r="AQ258" s="119">
        <v>1319.116</v>
      </c>
      <c r="AR258" s="119">
        <v>277.43312017849462</v>
      </c>
      <c r="AS258" s="44"/>
      <c r="AT258" s="119">
        <v>86.281767311827963</v>
      </c>
      <c r="AU258" s="44">
        <f t="shared" si="123"/>
        <v>1682.8308874903225</v>
      </c>
      <c r="AV258" s="17">
        <f t="shared" si="128"/>
        <v>1</v>
      </c>
      <c r="AW258" s="17"/>
      <c r="AX258" s="1">
        <f t="shared" si="134"/>
        <v>45886</v>
      </c>
      <c r="AY258" s="119"/>
      <c r="AZ258" s="119"/>
      <c r="BA258" s="44"/>
      <c r="BB258" s="119"/>
      <c r="BC258" s="44">
        <f t="shared" si="124"/>
        <v>0</v>
      </c>
      <c r="BD258" s="17">
        <f t="shared" si="129"/>
        <v>0</v>
      </c>
    </row>
    <row r="259" spans="1:56" x14ac:dyDescent="0.3">
      <c r="A259" s="17"/>
      <c r="B259" s="1">
        <v>43695</v>
      </c>
      <c r="C259" s="7">
        <v>1194</v>
      </c>
      <c r="D259" s="7">
        <v>228</v>
      </c>
      <c r="F259" s="7">
        <v>71</v>
      </c>
      <c r="G259" s="7">
        <f t="shared" si="135"/>
        <v>1493</v>
      </c>
      <c r="H259" s="17">
        <f t="shared" si="116"/>
        <v>0</v>
      </c>
      <c r="J259" s="1">
        <v>44060</v>
      </c>
      <c r="K259" s="101">
        <v>1270.98</v>
      </c>
      <c r="L259" s="101">
        <v>239.83500000000001</v>
      </c>
      <c r="M259" s="101"/>
      <c r="N259" s="101">
        <v>67.605999999999995</v>
      </c>
      <c r="O259" s="7">
        <f t="shared" si="119"/>
        <v>1578.421</v>
      </c>
      <c r="P259" s="17">
        <f t="shared" si="117"/>
        <v>0</v>
      </c>
      <c r="R259" s="1">
        <f t="shared" si="130"/>
        <v>44426</v>
      </c>
      <c r="S259" s="43">
        <v>1207.407435483871</v>
      </c>
      <c r="T259" s="82">
        <v>225.57063333333335</v>
      </c>
      <c r="V259" s="82">
        <v>80.090464516129032</v>
      </c>
      <c r="W259" s="7">
        <f t="shared" si="120"/>
        <v>1513.0685333333333</v>
      </c>
      <c r="X259" s="17">
        <f t="shared" si="125"/>
        <v>1</v>
      </c>
      <c r="Y259" s="17"/>
      <c r="Z259" s="1">
        <f t="shared" si="131"/>
        <v>44791</v>
      </c>
      <c r="AA259" s="116">
        <v>1314.4875333333334</v>
      </c>
      <c r="AB259" s="116">
        <v>255.38318677419355</v>
      </c>
      <c r="AC259" s="101"/>
      <c r="AD259" s="116">
        <v>91.543068387096781</v>
      </c>
      <c r="AE259" s="101">
        <f t="shared" si="121"/>
        <v>1661.4137884946238</v>
      </c>
      <c r="AF259" s="17">
        <f t="shared" si="126"/>
        <v>1</v>
      </c>
      <c r="AH259" s="1">
        <f t="shared" si="132"/>
        <v>45156</v>
      </c>
      <c r="AI259" s="120">
        <v>1426.816</v>
      </c>
      <c r="AJ259" s="120">
        <v>313.32900000000001</v>
      </c>
      <c r="AK259" s="44"/>
      <c r="AL259" s="120">
        <v>98.522999999999996</v>
      </c>
      <c r="AM259" s="44">
        <f t="shared" si="122"/>
        <v>1838.6679999999999</v>
      </c>
      <c r="AN259" s="17">
        <f t="shared" si="127"/>
        <v>1</v>
      </c>
      <c r="AO259" s="17"/>
      <c r="AP259" s="1">
        <f t="shared" si="133"/>
        <v>45521</v>
      </c>
      <c r="AQ259" s="120">
        <v>1308.1679999999999</v>
      </c>
      <c r="AR259" s="120">
        <v>276.08276567741933</v>
      </c>
      <c r="AS259" s="44"/>
      <c r="AT259" s="120">
        <v>87.16723032258065</v>
      </c>
      <c r="AU259" s="44">
        <f t="shared" si="123"/>
        <v>1671.4179959999999</v>
      </c>
      <c r="AV259" s="17">
        <f t="shared" si="128"/>
        <v>1</v>
      </c>
      <c r="AW259" s="17"/>
      <c r="AX259" s="1">
        <f t="shared" si="134"/>
        <v>45887</v>
      </c>
      <c r="AY259" s="120"/>
      <c r="AZ259" s="120"/>
      <c r="BA259" s="44"/>
      <c r="BB259" s="120"/>
      <c r="BC259" s="44">
        <f t="shared" si="124"/>
        <v>0</v>
      </c>
      <c r="BD259" s="17">
        <f t="shared" si="129"/>
        <v>0</v>
      </c>
    </row>
    <row r="260" spans="1:56" x14ac:dyDescent="0.3">
      <c r="A260" s="17"/>
      <c r="B260" s="1">
        <v>43696</v>
      </c>
      <c r="C260" s="7">
        <v>1240</v>
      </c>
      <c r="D260" s="7">
        <v>241</v>
      </c>
      <c r="F260" s="7">
        <v>74</v>
      </c>
      <c r="G260" s="7">
        <f t="shared" si="135"/>
        <v>1555</v>
      </c>
      <c r="H260" s="17">
        <f t="shared" si="116"/>
        <v>0</v>
      </c>
      <c r="J260" s="1">
        <v>44061</v>
      </c>
      <c r="K260" s="101">
        <v>1307.0899999999999</v>
      </c>
      <c r="L260" s="101">
        <v>242.86</v>
      </c>
      <c r="M260" s="101"/>
      <c r="N260" s="101">
        <v>75.498000000000005</v>
      </c>
      <c r="O260" s="7">
        <f t="shared" si="119"/>
        <v>1625.4479999999999</v>
      </c>
      <c r="P260" s="17">
        <f t="shared" si="117"/>
        <v>0</v>
      </c>
      <c r="R260" s="1">
        <f t="shared" si="130"/>
        <v>44427</v>
      </c>
      <c r="S260" s="43">
        <v>1337.0631693548387</v>
      </c>
      <c r="T260" s="82">
        <v>235.69568655913977</v>
      </c>
      <c r="V260" s="82">
        <v>86.782616129032263</v>
      </c>
      <c r="W260" s="7">
        <f t="shared" si="120"/>
        <v>1659.5414720430108</v>
      </c>
      <c r="X260" s="17">
        <f t="shared" si="125"/>
        <v>1</v>
      </c>
      <c r="Y260" s="17"/>
      <c r="Z260" s="1">
        <f t="shared" si="131"/>
        <v>44792</v>
      </c>
      <c r="AA260" s="115">
        <v>1303.1664800000001</v>
      </c>
      <c r="AB260" s="115">
        <v>255.04275150537634</v>
      </c>
      <c r="AC260" s="101"/>
      <c r="AD260" s="115">
        <v>91.910028387096773</v>
      </c>
      <c r="AE260" s="101">
        <f t="shared" si="121"/>
        <v>1650.1192598924733</v>
      </c>
      <c r="AF260" s="17">
        <f t="shared" si="126"/>
        <v>1</v>
      </c>
      <c r="AH260" s="1">
        <f t="shared" si="132"/>
        <v>45157</v>
      </c>
      <c r="AI260" s="119">
        <v>1343.356</v>
      </c>
      <c r="AJ260" s="119">
        <v>312.899</v>
      </c>
      <c r="AK260" s="44"/>
      <c r="AL260" s="119">
        <v>95.183000000000007</v>
      </c>
      <c r="AM260" s="44">
        <f t="shared" si="122"/>
        <v>1751.4380000000001</v>
      </c>
      <c r="AN260" s="17">
        <f t="shared" si="127"/>
        <v>1</v>
      </c>
      <c r="AO260" s="17"/>
      <c r="AP260" s="1">
        <f t="shared" si="133"/>
        <v>45522</v>
      </c>
      <c r="AQ260" s="119">
        <v>1192.6600000000001</v>
      </c>
      <c r="AR260" s="119">
        <v>263.47435520860216</v>
      </c>
      <c r="AS260" s="44"/>
      <c r="AT260" s="119">
        <v>83.503058817204305</v>
      </c>
      <c r="AU260" s="44">
        <f t="shared" si="123"/>
        <v>1539.6374140258067</v>
      </c>
      <c r="AV260" s="17">
        <f t="shared" si="128"/>
        <v>1</v>
      </c>
      <c r="AW260" s="17"/>
      <c r="AX260" s="1">
        <f t="shared" si="134"/>
        <v>45888</v>
      </c>
      <c r="AY260" s="119"/>
      <c r="AZ260" s="119"/>
      <c r="BA260" s="44"/>
      <c r="BB260" s="119"/>
      <c r="BC260" s="44">
        <f t="shared" si="124"/>
        <v>0</v>
      </c>
      <c r="BD260" s="17">
        <f t="shared" si="129"/>
        <v>0</v>
      </c>
    </row>
    <row r="261" spans="1:56" x14ac:dyDescent="0.3">
      <c r="A261" s="17"/>
      <c r="B261" s="1">
        <v>43697</v>
      </c>
      <c r="C261" s="7">
        <v>1297</v>
      </c>
      <c r="D261" s="7">
        <v>239</v>
      </c>
      <c r="F261" s="7">
        <v>79</v>
      </c>
      <c r="G261" s="7">
        <f t="shared" si="135"/>
        <v>1615</v>
      </c>
      <c r="H261" s="17">
        <f t="shared" si="116"/>
        <v>0</v>
      </c>
      <c r="J261" s="1">
        <v>44062</v>
      </c>
      <c r="K261" s="101">
        <v>1125.23</v>
      </c>
      <c r="L261" s="101">
        <v>235.16300000000001</v>
      </c>
      <c r="M261" s="101"/>
      <c r="N261" s="101">
        <v>72.680000000000007</v>
      </c>
      <c r="O261" s="7">
        <f t="shared" si="119"/>
        <v>1433.0730000000001</v>
      </c>
      <c r="P261" s="17">
        <f t="shared" si="117"/>
        <v>0</v>
      </c>
      <c r="R261" s="1">
        <f t="shared" si="130"/>
        <v>44428</v>
      </c>
      <c r="S261" s="43">
        <v>1317.3904596774194</v>
      </c>
      <c r="T261" s="82">
        <v>243.2426688172043</v>
      </c>
      <c r="V261" s="82">
        <v>92.741484516129034</v>
      </c>
      <c r="W261" s="7">
        <f t="shared" si="120"/>
        <v>1653.3746130107527</v>
      </c>
      <c r="X261" s="17">
        <f t="shared" si="125"/>
        <v>1</v>
      </c>
      <c r="Y261" s="17"/>
      <c r="Z261" s="1">
        <f t="shared" si="131"/>
        <v>44793</v>
      </c>
      <c r="AA261" s="116">
        <v>1235.2206533333333</v>
      </c>
      <c r="AB261" s="116">
        <v>251.40014483870968</v>
      </c>
      <c r="AC261" s="101"/>
      <c r="AD261" s="116">
        <v>88.803243870967748</v>
      </c>
      <c r="AE261" s="101">
        <f t="shared" si="121"/>
        <v>1575.4240420430106</v>
      </c>
      <c r="AF261" s="17">
        <f t="shared" si="126"/>
        <v>1</v>
      </c>
      <c r="AH261" s="1">
        <f t="shared" si="132"/>
        <v>45158</v>
      </c>
      <c r="AI261" s="120">
        <v>1320.443</v>
      </c>
      <c r="AJ261" s="120">
        <v>294.99400000000003</v>
      </c>
      <c r="AK261" s="44"/>
      <c r="AL261" s="120">
        <v>87.781000000000006</v>
      </c>
      <c r="AM261" s="44">
        <f t="shared" si="122"/>
        <v>1703.2179999999998</v>
      </c>
      <c r="AN261" s="17">
        <f t="shared" si="127"/>
        <v>1</v>
      </c>
      <c r="AO261" s="17"/>
      <c r="AP261" s="1">
        <f t="shared" si="133"/>
        <v>45523</v>
      </c>
      <c r="AQ261" s="120">
        <v>1189.0039999999999</v>
      </c>
      <c r="AR261" s="120">
        <v>269.60315839677418</v>
      </c>
      <c r="AS261" s="44"/>
      <c r="AT261" s="120">
        <v>87.984497526881725</v>
      </c>
      <c r="AU261" s="44">
        <f t="shared" si="123"/>
        <v>1546.5916559236559</v>
      </c>
      <c r="AV261" s="17">
        <f t="shared" si="128"/>
        <v>1</v>
      </c>
      <c r="AW261" s="17"/>
      <c r="AX261" s="1">
        <f t="shared" si="134"/>
        <v>45889</v>
      </c>
      <c r="AY261" s="120"/>
      <c r="AZ261" s="120"/>
      <c r="BA261" s="44"/>
      <c r="BB261" s="120"/>
      <c r="BC261" s="44">
        <f t="shared" si="124"/>
        <v>0</v>
      </c>
      <c r="BD261" s="17">
        <f t="shared" si="129"/>
        <v>0</v>
      </c>
    </row>
    <row r="262" spans="1:56" x14ac:dyDescent="0.3">
      <c r="A262" s="17"/>
      <c r="B262" s="1">
        <v>43698</v>
      </c>
      <c r="C262" s="7">
        <v>1312</v>
      </c>
      <c r="D262" s="7">
        <v>228</v>
      </c>
      <c r="F262" s="7">
        <v>81</v>
      </c>
      <c r="G262" s="7">
        <f t="shared" si="135"/>
        <v>1621</v>
      </c>
      <c r="H262" s="17">
        <f t="shared" si="116"/>
        <v>0</v>
      </c>
      <c r="J262" s="1">
        <v>44063</v>
      </c>
      <c r="K262" s="101">
        <v>1124.3900000000001</v>
      </c>
      <c r="L262" s="101">
        <v>220.95</v>
      </c>
      <c r="M262" s="101"/>
      <c r="N262" s="101">
        <v>71.575000000000003</v>
      </c>
      <c r="O262" s="7">
        <f t="shared" si="119"/>
        <v>1416.9150000000002</v>
      </c>
      <c r="P262" s="17">
        <f t="shared" si="117"/>
        <v>0</v>
      </c>
      <c r="R262" s="1">
        <f t="shared" si="130"/>
        <v>44429</v>
      </c>
      <c r="S262" s="43">
        <v>1283.0246693548388</v>
      </c>
      <c r="T262" s="82">
        <v>250.62241645161291</v>
      </c>
      <c r="V262" s="82">
        <v>96.281918064516134</v>
      </c>
      <c r="W262" s="7">
        <f t="shared" si="120"/>
        <v>1629.9290038709678</v>
      </c>
      <c r="X262" s="17">
        <f t="shared" si="125"/>
        <v>1</v>
      </c>
      <c r="Y262" s="17"/>
      <c r="Z262" s="1">
        <f t="shared" si="131"/>
        <v>44794</v>
      </c>
      <c r="AA262" s="115">
        <v>1146.299</v>
      </c>
      <c r="AB262" s="115">
        <v>244.23605258064515</v>
      </c>
      <c r="AC262" s="101"/>
      <c r="AD262" s="115">
        <v>85.340260645161294</v>
      </c>
      <c r="AE262" s="101">
        <f t="shared" si="121"/>
        <v>1475.8753132258066</v>
      </c>
      <c r="AF262" s="17">
        <f t="shared" si="126"/>
        <v>0</v>
      </c>
      <c r="AH262" s="1">
        <f t="shared" si="132"/>
        <v>45159</v>
      </c>
      <c r="AI262" s="119">
        <v>1355.902</v>
      </c>
      <c r="AJ262" s="119">
        <v>303.09199999999998</v>
      </c>
      <c r="AK262" s="44"/>
      <c r="AL262" s="119">
        <v>85.078999999999994</v>
      </c>
      <c r="AM262" s="44">
        <f t="shared" si="122"/>
        <v>1744.0730000000001</v>
      </c>
      <c r="AN262" s="17">
        <f t="shared" si="127"/>
        <v>1</v>
      </c>
      <c r="AO262" s="17"/>
      <c r="AP262" s="1">
        <f t="shared" si="133"/>
        <v>45524</v>
      </c>
      <c r="AQ262" s="119">
        <v>1274.5519999999999</v>
      </c>
      <c r="AR262" s="119">
        <v>282.90837202150539</v>
      </c>
      <c r="AS262" s="44"/>
      <c r="AT262" s="119">
        <v>87.667332903225812</v>
      </c>
      <c r="AU262" s="44">
        <f t="shared" si="123"/>
        <v>1645.127704924731</v>
      </c>
      <c r="AV262" s="17">
        <f t="shared" si="128"/>
        <v>1</v>
      </c>
      <c r="AW262" s="17"/>
      <c r="AX262" s="1">
        <f t="shared" si="134"/>
        <v>45890</v>
      </c>
      <c r="AY262" s="119"/>
      <c r="AZ262" s="119"/>
      <c r="BA262" s="44"/>
      <c r="BB262" s="119"/>
      <c r="BC262" s="44">
        <f t="shared" si="124"/>
        <v>0</v>
      </c>
      <c r="BD262" s="17">
        <f t="shared" si="129"/>
        <v>0</v>
      </c>
    </row>
    <row r="263" spans="1:56" x14ac:dyDescent="0.3">
      <c r="A263" s="17"/>
      <c r="B263" s="1">
        <v>43699</v>
      </c>
      <c r="C263" s="7">
        <v>1135</v>
      </c>
      <c r="D263" s="7">
        <v>218</v>
      </c>
      <c r="F263" s="7">
        <v>77</v>
      </c>
      <c r="G263" s="7">
        <f t="shared" si="135"/>
        <v>1430</v>
      </c>
      <c r="H263" s="17">
        <f t="shared" si="116"/>
        <v>0</v>
      </c>
      <c r="J263" s="1">
        <v>44064</v>
      </c>
      <c r="K263" s="101">
        <v>1053.2</v>
      </c>
      <c r="L263" s="101">
        <v>200.7</v>
      </c>
      <c r="M263" s="101"/>
      <c r="N263" s="101">
        <v>72.316999999999993</v>
      </c>
      <c r="O263" s="7">
        <f t="shared" si="119"/>
        <v>1326.2170000000001</v>
      </c>
      <c r="P263" s="17">
        <f t="shared" si="117"/>
        <v>0</v>
      </c>
      <c r="R263" s="1">
        <f t="shared" si="130"/>
        <v>44430</v>
      </c>
      <c r="S263" s="43">
        <v>1256.8124838709678</v>
      </c>
      <c r="T263" s="82">
        <v>240.51115268817205</v>
      </c>
      <c r="V263" s="82">
        <v>88.107048387096768</v>
      </c>
      <c r="W263" s="7">
        <f t="shared" si="120"/>
        <v>1585.4306849462364</v>
      </c>
      <c r="X263" s="17">
        <f t="shared" si="125"/>
        <v>1</v>
      </c>
      <c r="Y263" s="17"/>
      <c r="Z263" s="1">
        <f t="shared" si="131"/>
        <v>44795</v>
      </c>
      <c r="AA263" s="116">
        <v>1229.8768533333334</v>
      </c>
      <c r="AB263" s="116">
        <v>252.93982806451612</v>
      </c>
      <c r="AC263" s="101"/>
      <c r="AD263" s="116">
        <v>84.122082580645156</v>
      </c>
      <c r="AE263" s="101">
        <f t="shared" si="121"/>
        <v>1566.9387639784948</v>
      </c>
      <c r="AF263" s="17">
        <f t="shared" si="126"/>
        <v>1</v>
      </c>
      <c r="AH263" s="1">
        <f t="shared" si="132"/>
        <v>45160</v>
      </c>
      <c r="AI263" s="120">
        <v>1322.029</v>
      </c>
      <c r="AJ263" s="120">
        <v>300.637</v>
      </c>
      <c r="AK263" s="44"/>
      <c r="AL263" s="120">
        <v>82.584000000000003</v>
      </c>
      <c r="AM263" s="44">
        <f t="shared" si="122"/>
        <v>1705.25</v>
      </c>
      <c r="AN263" s="17">
        <f t="shared" si="127"/>
        <v>1</v>
      </c>
      <c r="AO263" s="17"/>
      <c r="AP263" s="1">
        <f t="shared" si="133"/>
        <v>45525</v>
      </c>
      <c r="AQ263" s="120">
        <v>1224.07</v>
      </c>
      <c r="AR263" s="120">
        <v>292.32187958709676</v>
      </c>
      <c r="AS263" s="44"/>
      <c r="AT263" s="120">
        <v>87.463827956989249</v>
      </c>
      <c r="AU263" s="44">
        <f t="shared" si="123"/>
        <v>1603.855707544086</v>
      </c>
      <c r="AV263" s="17">
        <f t="shared" si="128"/>
        <v>1</v>
      </c>
      <c r="AW263" s="17"/>
      <c r="AX263" s="1">
        <f t="shared" si="134"/>
        <v>45891</v>
      </c>
      <c r="AY263" s="120"/>
      <c r="AZ263" s="120"/>
      <c r="BA263" s="44"/>
      <c r="BB263" s="120"/>
      <c r="BC263" s="44">
        <f t="shared" si="124"/>
        <v>0</v>
      </c>
      <c r="BD263" s="17">
        <f t="shared" si="129"/>
        <v>0</v>
      </c>
    </row>
    <row r="264" spans="1:56" x14ac:dyDescent="0.3">
      <c r="A264" s="17"/>
      <c r="B264" s="1">
        <v>43700</v>
      </c>
      <c r="C264" s="7">
        <v>1220</v>
      </c>
      <c r="D264" s="7">
        <v>204</v>
      </c>
      <c r="F264" s="7">
        <v>76</v>
      </c>
      <c r="G264" s="7">
        <f t="shared" si="135"/>
        <v>1500</v>
      </c>
      <c r="H264" s="17">
        <f t="shared" si="116"/>
        <v>0</v>
      </c>
      <c r="J264" s="1">
        <v>44065</v>
      </c>
      <c r="K264" s="101">
        <v>1088.77</v>
      </c>
      <c r="L264" s="101">
        <v>211.751</v>
      </c>
      <c r="M264" s="101"/>
      <c r="N264" s="101">
        <v>69.655000000000001</v>
      </c>
      <c r="O264" s="7">
        <f t="shared" si="119"/>
        <v>1370.1759999999999</v>
      </c>
      <c r="P264" s="17">
        <f t="shared" si="117"/>
        <v>0</v>
      </c>
      <c r="R264" s="1">
        <f t="shared" si="130"/>
        <v>44431</v>
      </c>
      <c r="S264" s="43">
        <v>1272.9773306451614</v>
      </c>
      <c r="T264" s="82">
        <v>252.6113693548387</v>
      </c>
      <c r="V264" s="82">
        <v>90.422112903225809</v>
      </c>
      <c r="W264" s="7">
        <f t="shared" si="120"/>
        <v>1616.0108129032258</v>
      </c>
      <c r="X264" s="17">
        <f t="shared" si="125"/>
        <v>1</v>
      </c>
      <c r="Y264" s="17"/>
      <c r="Z264" s="1">
        <f t="shared" si="131"/>
        <v>44796</v>
      </c>
      <c r="AA264" s="115">
        <v>1298.1276</v>
      </c>
      <c r="AB264" s="115">
        <v>252.09104322580646</v>
      </c>
      <c r="AC264" s="101"/>
      <c r="AD264" s="115">
        <v>87.702363870967744</v>
      </c>
      <c r="AE264" s="101">
        <f t="shared" si="121"/>
        <v>1637.9210070967742</v>
      </c>
      <c r="AF264" s="17">
        <f t="shared" si="126"/>
        <v>1</v>
      </c>
      <c r="AH264" s="1">
        <f t="shared" si="132"/>
        <v>45161</v>
      </c>
      <c r="AI264" s="119">
        <v>1373.672</v>
      </c>
      <c r="AJ264" s="119">
        <v>304.48399999999998</v>
      </c>
      <c r="AK264" s="44"/>
      <c r="AL264" s="119">
        <v>90.813999999999993</v>
      </c>
      <c r="AM264" s="44">
        <f t="shared" si="122"/>
        <v>1768.97</v>
      </c>
      <c r="AN264" s="17">
        <f t="shared" si="127"/>
        <v>1</v>
      </c>
      <c r="AO264" s="17"/>
      <c r="AP264" s="1">
        <f t="shared" si="133"/>
        <v>45526</v>
      </c>
      <c r="AQ264" s="119">
        <v>1258.4069999999999</v>
      </c>
      <c r="AR264" s="119">
        <v>282.51698504731183</v>
      </c>
      <c r="AS264" s="44"/>
      <c r="AT264" s="119">
        <v>85.802231720430115</v>
      </c>
      <c r="AU264" s="44">
        <f t="shared" si="123"/>
        <v>1626.726216767742</v>
      </c>
      <c r="AV264" s="17">
        <f t="shared" si="128"/>
        <v>1</v>
      </c>
      <c r="AW264" s="17"/>
      <c r="AX264" s="1">
        <f t="shared" si="134"/>
        <v>45892</v>
      </c>
      <c r="AY264" s="119"/>
      <c r="AZ264" s="119"/>
      <c r="BA264" s="44"/>
      <c r="BB264" s="119"/>
      <c r="BC264" s="44">
        <f t="shared" si="124"/>
        <v>0</v>
      </c>
      <c r="BD264" s="17">
        <f t="shared" si="129"/>
        <v>0</v>
      </c>
    </row>
    <row r="265" spans="1:56" x14ac:dyDescent="0.3">
      <c r="A265" s="17"/>
      <c r="B265" s="1">
        <v>43701</v>
      </c>
      <c r="C265" s="7">
        <v>1136</v>
      </c>
      <c r="D265" s="7">
        <v>204</v>
      </c>
      <c r="F265" s="7">
        <v>75</v>
      </c>
      <c r="G265" s="7">
        <f t="shared" si="135"/>
        <v>1415</v>
      </c>
      <c r="H265" s="17">
        <f t="shared" si="116"/>
        <v>0</v>
      </c>
      <c r="J265" s="1">
        <v>44066</v>
      </c>
      <c r="K265" s="101">
        <v>1202.6500000000001</v>
      </c>
      <c r="L265" s="101">
        <v>226.221</v>
      </c>
      <c r="M265" s="101"/>
      <c r="N265" s="101">
        <v>72.587000000000003</v>
      </c>
      <c r="O265" s="7">
        <f t="shared" si="119"/>
        <v>1501.4580000000001</v>
      </c>
      <c r="P265" s="17">
        <f t="shared" si="117"/>
        <v>0</v>
      </c>
      <c r="R265" s="1">
        <f t="shared" si="130"/>
        <v>44432</v>
      </c>
      <c r="S265" s="43">
        <v>1246.9884193548387</v>
      </c>
      <c r="T265" s="82">
        <v>247.39680838709677</v>
      </c>
      <c r="V265" s="82">
        <v>89.448709032258066</v>
      </c>
      <c r="W265" s="7">
        <f t="shared" si="120"/>
        <v>1583.8339367741935</v>
      </c>
      <c r="X265" s="17">
        <f t="shared" si="125"/>
        <v>1</v>
      </c>
      <c r="Y265" s="17"/>
      <c r="Z265" s="1">
        <f t="shared" si="131"/>
        <v>44797</v>
      </c>
      <c r="AA265" s="116">
        <v>1309.5636400000001</v>
      </c>
      <c r="AB265" s="116">
        <v>254.23776354838711</v>
      </c>
      <c r="AC265" s="101"/>
      <c r="AD265" s="116">
        <v>87.501127741935477</v>
      </c>
      <c r="AE265" s="101">
        <f t="shared" si="121"/>
        <v>1651.3025312903228</v>
      </c>
      <c r="AF265" s="17">
        <f t="shared" si="126"/>
        <v>1</v>
      </c>
      <c r="AH265" s="1">
        <f t="shared" si="132"/>
        <v>45162</v>
      </c>
      <c r="AI265" s="120">
        <v>1450.894</v>
      </c>
      <c r="AJ265" s="120">
        <v>303.50099999999998</v>
      </c>
      <c r="AK265" s="44"/>
      <c r="AL265" s="120">
        <v>96.373999999999995</v>
      </c>
      <c r="AM265" s="44">
        <f t="shared" si="122"/>
        <v>1850.769</v>
      </c>
      <c r="AN265" s="17">
        <f t="shared" si="127"/>
        <v>1</v>
      </c>
      <c r="AO265" s="17"/>
      <c r="AP265" s="1">
        <f t="shared" si="133"/>
        <v>45527</v>
      </c>
      <c r="AQ265" s="120">
        <v>1137.98</v>
      </c>
      <c r="AR265" s="120">
        <v>251.21884942688172</v>
      </c>
      <c r="AS265" s="44"/>
      <c r="AT265" s="120">
        <v>80.895381075268816</v>
      </c>
      <c r="AU265" s="44">
        <f t="shared" si="123"/>
        <v>1470.0942305021506</v>
      </c>
      <c r="AV265" s="17">
        <f t="shared" si="128"/>
        <v>0</v>
      </c>
      <c r="AW265" s="17"/>
      <c r="AX265" s="1">
        <f t="shared" si="134"/>
        <v>45893</v>
      </c>
      <c r="AY265" s="120"/>
      <c r="AZ265" s="120"/>
      <c r="BA265" s="44"/>
      <c r="BB265" s="120"/>
      <c r="BC265" s="44">
        <f t="shared" si="124"/>
        <v>0</v>
      </c>
      <c r="BD265" s="17">
        <f t="shared" si="129"/>
        <v>0</v>
      </c>
    </row>
    <row r="266" spans="1:56" x14ac:dyDescent="0.3">
      <c r="A266" s="17"/>
      <c r="B266" s="1">
        <v>43702</v>
      </c>
      <c r="C266" s="7">
        <v>1056</v>
      </c>
      <c r="D266" s="7">
        <v>191</v>
      </c>
      <c r="F266" s="7">
        <v>63</v>
      </c>
      <c r="G266" s="7">
        <f t="shared" si="135"/>
        <v>1310</v>
      </c>
      <c r="H266" s="17">
        <f t="shared" si="116"/>
        <v>0</v>
      </c>
      <c r="J266" s="1">
        <v>44067</v>
      </c>
      <c r="K266" s="101">
        <v>1209.095</v>
      </c>
      <c r="L266" s="101">
        <v>235.56100000000001</v>
      </c>
      <c r="M266" s="101"/>
      <c r="N266" s="101">
        <v>72.525000000000006</v>
      </c>
      <c r="O266" s="7">
        <f t="shared" si="119"/>
        <v>1517.181</v>
      </c>
      <c r="P266" s="17">
        <f t="shared" si="117"/>
        <v>0</v>
      </c>
      <c r="R266" s="1">
        <f t="shared" si="130"/>
        <v>44433</v>
      </c>
      <c r="S266" s="43">
        <v>1247.7412016129033</v>
      </c>
      <c r="T266" s="82">
        <v>246.04776387096774</v>
      </c>
      <c r="V266" s="82">
        <v>95.69184580645161</v>
      </c>
      <c r="W266" s="7">
        <f t="shared" si="120"/>
        <v>1589.4808112903224</v>
      </c>
      <c r="X266" s="17">
        <f t="shared" si="125"/>
        <v>1</v>
      </c>
      <c r="Y266" s="17"/>
      <c r="Z266" s="1">
        <f t="shared" si="131"/>
        <v>44798</v>
      </c>
      <c r="AA266" s="115">
        <v>1376.7476799999999</v>
      </c>
      <c r="AB266" s="115">
        <v>258.56072161290325</v>
      </c>
      <c r="AC266" s="101"/>
      <c r="AD266" s="115">
        <v>92.445940645161286</v>
      </c>
      <c r="AE266" s="101">
        <f t="shared" si="121"/>
        <v>1727.7543422580645</v>
      </c>
      <c r="AF266" s="17">
        <f t="shared" si="126"/>
        <v>1</v>
      </c>
      <c r="AH266" s="1">
        <f t="shared" si="132"/>
        <v>45163</v>
      </c>
      <c r="AI266" s="119">
        <v>1456.5409999999999</v>
      </c>
      <c r="AJ266" s="119">
        <v>287.30599999999998</v>
      </c>
      <c r="AK266" s="44"/>
      <c r="AL266" s="119">
        <v>103.77</v>
      </c>
      <c r="AM266" s="44">
        <f t="shared" si="122"/>
        <v>1847.617</v>
      </c>
      <c r="AN266" s="17">
        <f t="shared" si="127"/>
        <v>1</v>
      </c>
      <c r="AO266" s="17"/>
      <c r="AP266" s="1">
        <f t="shared" si="133"/>
        <v>45528</v>
      </c>
      <c r="AQ266" s="119">
        <v>1118.577</v>
      </c>
      <c r="AR266" s="119">
        <v>244.16105378709676</v>
      </c>
      <c r="AS266" s="44"/>
      <c r="AT266" s="119">
        <v>78.411105268817209</v>
      </c>
      <c r="AU266" s="44">
        <f t="shared" si="123"/>
        <v>1441.149159055914</v>
      </c>
      <c r="AV266" s="17">
        <f t="shared" si="128"/>
        <v>0</v>
      </c>
      <c r="AW266" s="17"/>
      <c r="AX266" s="1">
        <f t="shared" si="134"/>
        <v>45894</v>
      </c>
      <c r="AY266" s="119"/>
      <c r="AZ266" s="119"/>
      <c r="BA266" s="44"/>
      <c r="BB266" s="119"/>
      <c r="BC266" s="44">
        <f t="shared" si="124"/>
        <v>0</v>
      </c>
      <c r="BD266" s="17">
        <f t="shared" si="129"/>
        <v>0</v>
      </c>
    </row>
    <row r="267" spans="1:56" x14ac:dyDescent="0.3">
      <c r="A267" s="17"/>
      <c r="B267" s="1">
        <v>43703</v>
      </c>
      <c r="C267" s="7">
        <v>1199</v>
      </c>
      <c r="D267" s="7">
        <v>208</v>
      </c>
      <c r="F267" s="7">
        <v>73</v>
      </c>
      <c r="G267" s="7">
        <f t="shared" si="135"/>
        <v>1480</v>
      </c>
      <c r="H267" s="17">
        <f t="shared" si="116"/>
        <v>0</v>
      </c>
      <c r="J267" s="1">
        <v>44068</v>
      </c>
      <c r="K267" s="101">
        <v>1175.58</v>
      </c>
      <c r="L267" s="101">
        <v>234.21100000000001</v>
      </c>
      <c r="M267" s="101"/>
      <c r="N267" s="101">
        <v>69.625</v>
      </c>
      <c r="O267" s="7">
        <f t="shared" si="119"/>
        <v>1479.4159999999999</v>
      </c>
      <c r="P267" s="17">
        <f t="shared" si="117"/>
        <v>0</v>
      </c>
      <c r="R267" s="1">
        <f t="shared" si="130"/>
        <v>44434</v>
      </c>
      <c r="S267" s="43">
        <v>1206.3904112903226</v>
      </c>
      <c r="T267" s="82">
        <v>228.33546000000001</v>
      </c>
      <c r="V267" s="82">
        <v>89.779278709677413</v>
      </c>
      <c r="W267" s="7">
        <f t="shared" si="120"/>
        <v>1524.50515</v>
      </c>
      <c r="X267" s="17">
        <f t="shared" si="125"/>
        <v>1</v>
      </c>
      <c r="Y267" s="17"/>
      <c r="Z267" s="1">
        <f t="shared" si="131"/>
        <v>44799</v>
      </c>
      <c r="AA267" s="116">
        <v>1475.6762533333333</v>
      </c>
      <c r="AB267" s="116">
        <v>280.43665322580642</v>
      </c>
      <c r="AC267" s="101"/>
      <c r="AD267" s="116">
        <v>92.916209032258067</v>
      </c>
      <c r="AE267" s="101">
        <f t="shared" si="121"/>
        <v>1849.0291155913978</v>
      </c>
      <c r="AF267" s="17">
        <f t="shared" si="126"/>
        <v>1</v>
      </c>
      <c r="AH267" s="1">
        <f t="shared" si="132"/>
        <v>45164</v>
      </c>
      <c r="AI267" s="120">
        <v>1295.8820000000001</v>
      </c>
      <c r="AJ267" s="120">
        <v>256.33300000000003</v>
      </c>
      <c r="AK267" s="44"/>
      <c r="AL267" s="120">
        <v>92.786000000000001</v>
      </c>
      <c r="AM267" s="44">
        <f t="shared" si="122"/>
        <v>1645.0010000000002</v>
      </c>
      <c r="AN267" s="17">
        <f t="shared" si="127"/>
        <v>1</v>
      </c>
      <c r="AO267" s="17"/>
      <c r="AP267" s="1">
        <f t="shared" si="133"/>
        <v>45529</v>
      </c>
      <c r="AQ267" s="120">
        <v>1173.0730000000001</v>
      </c>
      <c r="AR267" s="120">
        <v>240.80400023655915</v>
      </c>
      <c r="AS267" s="44"/>
      <c r="AT267" s="120">
        <v>76.617447311827959</v>
      </c>
      <c r="AU267" s="44">
        <f t="shared" si="123"/>
        <v>1490.4944475483871</v>
      </c>
      <c r="AV267" s="17">
        <f t="shared" si="128"/>
        <v>1</v>
      </c>
      <c r="AW267" s="17"/>
      <c r="AX267" s="1">
        <f t="shared" si="134"/>
        <v>45895</v>
      </c>
      <c r="AY267" s="120"/>
      <c r="AZ267" s="120"/>
      <c r="BA267" s="44"/>
      <c r="BB267" s="120"/>
      <c r="BC267" s="44">
        <f t="shared" si="124"/>
        <v>0</v>
      </c>
      <c r="BD267" s="17">
        <f t="shared" si="129"/>
        <v>0</v>
      </c>
    </row>
    <row r="268" spans="1:56" x14ac:dyDescent="0.3">
      <c r="A268" s="17"/>
      <c r="B268" s="1">
        <v>43704</v>
      </c>
      <c r="C268" s="7">
        <v>1277</v>
      </c>
      <c r="D268" s="7">
        <v>225</v>
      </c>
      <c r="F268" s="7">
        <v>79</v>
      </c>
      <c r="G268" s="7">
        <f t="shared" si="135"/>
        <v>1581</v>
      </c>
      <c r="H268" s="17">
        <f t="shared" si="116"/>
        <v>0</v>
      </c>
      <c r="J268" s="1">
        <v>44069</v>
      </c>
      <c r="K268" s="101">
        <v>1202.82</v>
      </c>
      <c r="L268" s="101">
        <v>242.38300000000001</v>
      </c>
      <c r="M268" s="101"/>
      <c r="N268" s="101">
        <v>77.108999999999995</v>
      </c>
      <c r="O268" s="7">
        <f t="shared" si="119"/>
        <v>1522.3119999999999</v>
      </c>
      <c r="P268" s="17">
        <f t="shared" si="117"/>
        <v>0</v>
      </c>
      <c r="R268" s="1">
        <f t="shared" si="130"/>
        <v>44435</v>
      </c>
      <c r="S268" s="43">
        <v>1290.5750241935484</v>
      </c>
      <c r="T268" s="82">
        <v>244.95624892473117</v>
      </c>
      <c r="V268" s="82">
        <v>95.23637032258064</v>
      </c>
      <c r="W268" s="7">
        <f t="shared" si="120"/>
        <v>1630.7676434408602</v>
      </c>
      <c r="X268" s="17">
        <f t="shared" si="125"/>
        <v>1</v>
      </c>
      <c r="Y268" s="17"/>
      <c r="Z268" s="92">
        <f t="shared" si="131"/>
        <v>44800</v>
      </c>
      <c r="AA268" s="117">
        <v>1343.73624</v>
      </c>
      <c r="AB268" s="117">
        <v>285.3415392473118</v>
      </c>
      <c r="AC268" s="118"/>
      <c r="AD268" s="117">
        <v>96.704183225806446</v>
      </c>
      <c r="AE268" s="101">
        <f t="shared" si="121"/>
        <v>1725.7819624731183</v>
      </c>
      <c r="AF268" s="17">
        <f t="shared" si="126"/>
        <v>1</v>
      </c>
      <c r="AH268" s="1">
        <f t="shared" si="132"/>
        <v>45165</v>
      </c>
      <c r="AI268" s="119">
        <v>1187.271</v>
      </c>
      <c r="AJ268" s="119">
        <v>246.71299999999999</v>
      </c>
      <c r="AK268" s="44"/>
      <c r="AL268" s="119">
        <v>83.44</v>
      </c>
      <c r="AM268" s="44">
        <f t="shared" si="122"/>
        <v>1517.424</v>
      </c>
      <c r="AN268" s="17">
        <f t="shared" si="127"/>
        <v>1</v>
      </c>
      <c r="AO268" s="17"/>
      <c r="AP268" s="1">
        <f t="shared" si="133"/>
        <v>45530</v>
      </c>
      <c r="AQ268" s="119">
        <v>1226.711</v>
      </c>
      <c r="AR268" s="119">
        <v>252.2468015763441</v>
      </c>
      <c r="AS268" s="44"/>
      <c r="AT268" s="119">
        <v>81.350019784946241</v>
      </c>
      <c r="AU268" s="44">
        <f t="shared" si="123"/>
        <v>1560.3078213612903</v>
      </c>
      <c r="AV268" s="17">
        <f t="shared" si="128"/>
        <v>1</v>
      </c>
      <c r="AW268" s="17"/>
      <c r="AX268" s="1">
        <f t="shared" si="134"/>
        <v>45896</v>
      </c>
      <c r="AY268" s="119"/>
      <c r="AZ268" s="119"/>
      <c r="BA268" s="44"/>
      <c r="BB268" s="119"/>
      <c r="BC268" s="44">
        <f t="shared" si="124"/>
        <v>0</v>
      </c>
      <c r="BD268" s="17">
        <f t="shared" si="129"/>
        <v>0</v>
      </c>
    </row>
    <row r="269" spans="1:56" x14ac:dyDescent="0.3">
      <c r="A269" s="17"/>
      <c r="B269" s="1">
        <v>43705</v>
      </c>
      <c r="C269" s="7">
        <v>1325</v>
      </c>
      <c r="D269" s="7">
        <v>232</v>
      </c>
      <c r="F269" s="7">
        <v>79</v>
      </c>
      <c r="G269" s="7">
        <f t="shared" si="135"/>
        <v>1636</v>
      </c>
      <c r="H269" s="17">
        <f t="shared" si="116"/>
        <v>0</v>
      </c>
      <c r="J269" s="1">
        <v>44070</v>
      </c>
      <c r="K269" s="101">
        <v>1263.05</v>
      </c>
      <c r="L269" s="101">
        <v>241.46100000000001</v>
      </c>
      <c r="M269" s="101"/>
      <c r="N269" s="101">
        <v>75.399000000000001</v>
      </c>
      <c r="O269" s="7">
        <f t="shared" si="119"/>
        <v>1579.9099999999999</v>
      </c>
      <c r="P269" s="17">
        <f t="shared" si="117"/>
        <v>0</v>
      </c>
      <c r="R269" s="1">
        <f t="shared" si="130"/>
        <v>44436</v>
      </c>
      <c r="S269" s="43">
        <v>1175.8592016129032</v>
      </c>
      <c r="T269" s="82">
        <v>226.85983408602149</v>
      </c>
      <c r="V269" s="82">
        <v>95.271903870967748</v>
      </c>
      <c r="W269" s="7">
        <f t="shared" si="120"/>
        <v>1497.9909395698924</v>
      </c>
      <c r="X269" s="17">
        <f t="shared" si="125"/>
        <v>1</v>
      </c>
      <c r="Y269" s="17"/>
      <c r="Z269" s="1">
        <f t="shared" si="131"/>
        <v>44801</v>
      </c>
      <c r="AA269" s="116">
        <v>1134.9851333333334</v>
      </c>
      <c r="AB269" s="116">
        <v>244.13085913978495</v>
      </c>
      <c r="AC269" s="101"/>
      <c r="AD269" s="116">
        <v>85.121806451612898</v>
      </c>
      <c r="AE269" s="101">
        <f t="shared" si="121"/>
        <v>1464.2377989247311</v>
      </c>
      <c r="AF269" s="17">
        <f t="shared" si="126"/>
        <v>0</v>
      </c>
      <c r="AH269" s="1">
        <f t="shared" si="132"/>
        <v>45166</v>
      </c>
      <c r="AI269" s="120">
        <v>1219.479</v>
      </c>
      <c r="AJ269" s="120">
        <v>248.637</v>
      </c>
      <c r="AK269" s="44"/>
      <c r="AL269" s="120">
        <v>75.575000000000003</v>
      </c>
      <c r="AM269" s="44">
        <f t="shared" si="122"/>
        <v>1543.691</v>
      </c>
      <c r="AN269" s="17">
        <f t="shared" si="127"/>
        <v>1</v>
      </c>
      <c r="AO269" s="17"/>
      <c r="AP269" s="1">
        <f t="shared" si="133"/>
        <v>45531</v>
      </c>
      <c r="AQ269" s="120">
        <v>1295.3309999999999</v>
      </c>
      <c r="AR269" s="120">
        <v>252.3142609827957</v>
      </c>
      <c r="AS269" s="44"/>
      <c r="AT269" s="120">
        <v>81.760277096774189</v>
      </c>
      <c r="AU269" s="44">
        <f t="shared" si="123"/>
        <v>1629.4055380795699</v>
      </c>
      <c r="AV269" s="17">
        <f t="shared" si="128"/>
        <v>1</v>
      </c>
      <c r="AW269" s="17"/>
      <c r="AX269" s="1">
        <f t="shared" si="134"/>
        <v>45897</v>
      </c>
      <c r="AY269" s="120"/>
      <c r="AZ269" s="120"/>
      <c r="BA269" s="44"/>
      <c r="BB269" s="120"/>
      <c r="BC269" s="44">
        <f t="shared" si="124"/>
        <v>0</v>
      </c>
      <c r="BD269" s="17">
        <f t="shared" si="129"/>
        <v>0</v>
      </c>
    </row>
    <row r="270" spans="1:56" x14ac:dyDescent="0.3">
      <c r="A270" s="17"/>
      <c r="B270" s="1">
        <v>43706</v>
      </c>
      <c r="C270" s="7">
        <v>1247</v>
      </c>
      <c r="D270" s="7">
        <v>227</v>
      </c>
      <c r="F270" s="7">
        <v>80</v>
      </c>
      <c r="G270" s="7">
        <f t="shared" si="135"/>
        <v>1554</v>
      </c>
      <c r="H270" s="17">
        <f t="shared" si="116"/>
        <v>0</v>
      </c>
      <c r="J270" s="1">
        <v>44071</v>
      </c>
      <c r="K270" s="101">
        <v>1384.68</v>
      </c>
      <c r="L270" s="101">
        <v>250.601</v>
      </c>
      <c r="M270" s="101"/>
      <c r="N270" s="101">
        <v>81.284999999999997</v>
      </c>
      <c r="O270" s="7">
        <f t="shared" si="119"/>
        <v>1716.566</v>
      </c>
      <c r="P270" s="17">
        <f t="shared" si="117"/>
        <v>0</v>
      </c>
      <c r="R270" s="1">
        <f t="shared" si="130"/>
        <v>44437</v>
      </c>
      <c r="S270" s="43">
        <v>1114.8469677419355</v>
      </c>
      <c r="T270" s="82">
        <v>204.84440096774193</v>
      </c>
      <c r="V270" s="82">
        <v>85.583089677419352</v>
      </c>
      <c r="W270" s="7">
        <f t="shared" si="120"/>
        <v>1405.2744583870967</v>
      </c>
      <c r="X270" s="17">
        <f t="shared" si="125"/>
        <v>0</v>
      </c>
      <c r="Y270" s="17"/>
      <c r="Z270" s="1">
        <f t="shared" si="131"/>
        <v>44802</v>
      </c>
      <c r="AA270" s="115">
        <v>1167.7994533333333</v>
      </c>
      <c r="AB270" s="115">
        <v>231.84096182795699</v>
      </c>
      <c r="AC270" s="101"/>
      <c r="AD270" s="115">
        <v>82.336784516129029</v>
      </c>
      <c r="AE270" s="101">
        <f t="shared" si="121"/>
        <v>1481.9771996774193</v>
      </c>
      <c r="AF270" s="17">
        <f t="shared" si="126"/>
        <v>1</v>
      </c>
      <c r="AH270" s="1">
        <f t="shared" si="132"/>
        <v>45167</v>
      </c>
      <c r="AI270" s="119">
        <v>1270.7650000000001</v>
      </c>
      <c r="AJ270" s="119">
        <v>242.51499999999999</v>
      </c>
      <c r="AK270" s="44"/>
      <c r="AL270" s="119">
        <v>74.147000000000006</v>
      </c>
      <c r="AM270" s="44">
        <f t="shared" si="122"/>
        <v>1587.4270000000001</v>
      </c>
      <c r="AN270" s="17">
        <f t="shared" si="127"/>
        <v>1</v>
      </c>
      <c r="AO270" s="17"/>
      <c r="AP270" s="1">
        <f t="shared" si="133"/>
        <v>45532</v>
      </c>
      <c r="AQ270" s="119">
        <v>1338.3</v>
      </c>
      <c r="AR270" s="119">
        <v>272.67654897849462</v>
      </c>
      <c r="AS270" s="44"/>
      <c r="AT270" s="119">
        <v>82.43682279569893</v>
      </c>
      <c r="AU270" s="44">
        <f t="shared" si="123"/>
        <v>1693.4133717741934</v>
      </c>
      <c r="AV270" s="17">
        <f t="shared" si="128"/>
        <v>1</v>
      </c>
      <c r="AW270" s="17"/>
      <c r="AX270" s="1">
        <f t="shared" si="134"/>
        <v>45898</v>
      </c>
      <c r="AY270" s="119"/>
      <c r="AZ270" s="119"/>
      <c r="BA270" s="44"/>
      <c r="BB270" s="119"/>
      <c r="BC270" s="44">
        <f t="shared" si="124"/>
        <v>0</v>
      </c>
      <c r="BD270" s="17">
        <f t="shared" si="129"/>
        <v>0</v>
      </c>
    </row>
    <row r="271" spans="1:56" x14ac:dyDescent="0.3">
      <c r="A271" s="17"/>
      <c r="B271" s="1">
        <v>43707</v>
      </c>
      <c r="C271" s="7">
        <v>1180</v>
      </c>
      <c r="D271" s="7">
        <v>204</v>
      </c>
      <c r="F271" s="7">
        <v>76</v>
      </c>
      <c r="G271" s="7">
        <f t="shared" si="135"/>
        <v>1460</v>
      </c>
      <c r="H271" s="17">
        <f t="shared" si="116"/>
        <v>0</v>
      </c>
      <c r="J271" s="1">
        <v>44072</v>
      </c>
      <c r="K271" s="101">
        <v>1242.98</v>
      </c>
      <c r="L271" s="101">
        <v>246.33600000000001</v>
      </c>
      <c r="M271" s="101"/>
      <c r="N271" s="101">
        <v>80.25</v>
      </c>
      <c r="O271" s="7">
        <f t="shared" si="119"/>
        <v>1569.566</v>
      </c>
      <c r="P271" s="17">
        <f t="shared" si="117"/>
        <v>0</v>
      </c>
      <c r="R271" s="1">
        <f t="shared" si="130"/>
        <v>44438</v>
      </c>
      <c r="S271" s="43">
        <v>1232.4837903225807</v>
      </c>
      <c r="T271" s="82">
        <v>240.23912032258065</v>
      </c>
      <c r="V271" s="82">
        <v>84.803505161290317</v>
      </c>
      <c r="W271" s="7">
        <f t="shared" si="120"/>
        <v>1557.5264158064517</v>
      </c>
      <c r="X271" s="17">
        <f t="shared" si="125"/>
        <v>1</v>
      </c>
      <c r="Y271" s="17"/>
      <c r="Z271" s="1">
        <f t="shared" si="131"/>
        <v>44803</v>
      </c>
      <c r="AA271" s="116">
        <v>1135.4686933333332</v>
      </c>
      <c r="AB271" s="116">
        <v>234.18472634408602</v>
      </c>
      <c r="AC271" s="101"/>
      <c r="AD271" s="116">
        <v>80.670936774193549</v>
      </c>
      <c r="AE271" s="101">
        <f t="shared" si="121"/>
        <v>1450.3243564516126</v>
      </c>
      <c r="AF271" s="17">
        <f t="shared" si="126"/>
        <v>0</v>
      </c>
      <c r="AH271" s="1">
        <f t="shared" si="132"/>
        <v>45168</v>
      </c>
      <c r="AI271" s="120">
        <v>1264.989</v>
      </c>
      <c r="AJ271" s="120">
        <v>273.21899999999999</v>
      </c>
      <c r="AK271" s="44"/>
      <c r="AL271" s="120">
        <v>76.588999999999999</v>
      </c>
      <c r="AM271" s="44">
        <f t="shared" si="122"/>
        <v>1614.797</v>
      </c>
      <c r="AN271" s="17">
        <f t="shared" si="127"/>
        <v>1</v>
      </c>
      <c r="AO271" s="17"/>
      <c r="AP271" s="1">
        <f t="shared" si="133"/>
        <v>45533</v>
      </c>
      <c r="AQ271" s="120">
        <v>1268.136</v>
      </c>
      <c r="AR271" s="120">
        <v>261.79817863870966</v>
      </c>
      <c r="AS271" s="44"/>
      <c r="AT271" s="120">
        <v>87.288467311827958</v>
      </c>
      <c r="AU271" s="44">
        <f t="shared" si="123"/>
        <v>1617.2226459505378</v>
      </c>
      <c r="AV271" s="17">
        <f t="shared" si="128"/>
        <v>1</v>
      </c>
      <c r="AW271" s="17"/>
      <c r="AX271" s="1">
        <f t="shared" si="134"/>
        <v>45899</v>
      </c>
      <c r="AY271" s="120"/>
      <c r="AZ271" s="120"/>
      <c r="BA271" s="44"/>
      <c r="BB271" s="120"/>
      <c r="BC271" s="44">
        <f t="shared" si="124"/>
        <v>0</v>
      </c>
      <c r="BD271" s="17">
        <f t="shared" si="129"/>
        <v>0</v>
      </c>
    </row>
    <row r="272" spans="1:56" x14ac:dyDescent="0.3">
      <c r="A272" s="17"/>
      <c r="B272" s="1">
        <v>43708</v>
      </c>
      <c r="C272" s="7">
        <v>1151</v>
      </c>
      <c r="D272" s="7">
        <v>206</v>
      </c>
      <c r="F272" s="7">
        <v>76</v>
      </c>
      <c r="G272" s="7">
        <f t="shared" si="135"/>
        <v>1433</v>
      </c>
      <c r="H272" s="17">
        <f t="shared" ref="H272:H335" si="136">IF(G272&gt;1758,1,0)</f>
        <v>0</v>
      </c>
      <c r="J272" s="1">
        <v>44073</v>
      </c>
      <c r="K272" s="101">
        <v>1212.1400000000001</v>
      </c>
      <c r="L272" s="101">
        <v>224.82900000000001</v>
      </c>
      <c r="M272" s="101"/>
      <c r="N272" s="101">
        <v>76.837000000000003</v>
      </c>
      <c r="O272" s="7">
        <f t="shared" si="119"/>
        <v>1513.806</v>
      </c>
      <c r="P272" s="17">
        <f t="shared" ref="P272:P303" si="137">IF(O272&gt;1758,1,0)</f>
        <v>0</v>
      </c>
      <c r="R272" s="38">
        <f t="shared" si="130"/>
        <v>44439</v>
      </c>
      <c r="S272" s="43">
        <v>1217.2099919354839</v>
      </c>
      <c r="T272" s="82">
        <v>238.92379698924731</v>
      </c>
      <c r="V272" s="82">
        <v>80.207832903225807</v>
      </c>
      <c r="W272" s="7">
        <f t="shared" si="120"/>
        <v>1536.3416218279569</v>
      </c>
      <c r="X272" s="17">
        <f t="shared" si="125"/>
        <v>1</v>
      </c>
      <c r="Y272" s="17"/>
      <c r="Z272" s="38">
        <f t="shared" si="131"/>
        <v>44804</v>
      </c>
      <c r="AA272" s="115">
        <v>1226.0391733333333</v>
      </c>
      <c r="AB272" s="115">
        <v>241.05300215053762</v>
      </c>
      <c r="AC272" s="101"/>
      <c r="AD272" s="115">
        <v>84.819414193548383</v>
      </c>
      <c r="AE272" s="101">
        <f t="shared" si="121"/>
        <v>1551.9115896774194</v>
      </c>
      <c r="AF272" s="17">
        <f t="shared" si="126"/>
        <v>1</v>
      </c>
      <c r="AH272" s="38">
        <f t="shared" si="132"/>
        <v>45169</v>
      </c>
      <c r="AI272" s="119">
        <v>1320.095</v>
      </c>
      <c r="AJ272" s="119">
        <v>281.35700000000003</v>
      </c>
      <c r="AK272" s="44"/>
      <c r="AL272" s="119">
        <v>84.257000000000005</v>
      </c>
      <c r="AM272" s="44">
        <f t="shared" si="122"/>
        <v>1685.7090000000001</v>
      </c>
      <c r="AN272" s="17">
        <f t="shared" si="127"/>
        <v>1</v>
      </c>
      <c r="AO272" s="17"/>
      <c r="AP272" s="1">
        <f t="shared" si="133"/>
        <v>45534</v>
      </c>
      <c r="AQ272" s="119">
        <v>1142.8420000000001</v>
      </c>
      <c r="AR272" s="119">
        <v>225.5548656</v>
      </c>
      <c r="AS272" s="44"/>
      <c r="AT272" s="119">
        <v>83.944707849462361</v>
      </c>
      <c r="AU272" s="44">
        <f t="shared" si="123"/>
        <v>1452.3415734494624</v>
      </c>
      <c r="AV272" s="17">
        <f t="shared" si="128"/>
        <v>0</v>
      </c>
      <c r="AW272" s="17"/>
      <c r="AX272" s="38">
        <f t="shared" si="134"/>
        <v>45900</v>
      </c>
      <c r="AY272" s="119"/>
      <c r="AZ272" s="119"/>
      <c r="BA272" s="44"/>
      <c r="BB272" s="119"/>
      <c r="BC272" s="44">
        <f t="shared" si="124"/>
        <v>0</v>
      </c>
      <c r="BD272" s="17">
        <f t="shared" si="129"/>
        <v>0</v>
      </c>
    </row>
    <row r="273" spans="1:56" x14ac:dyDescent="0.3">
      <c r="A273" s="17"/>
      <c r="B273" s="1">
        <v>43709</v>
      </c>
      <c r="C273" s="4">
        <v>1177</v>
      </c>
      <c r="D273" s="4">
        <v>211</v>
      </c>
      <c r="E273" s="4"/>
      <c r="F273" s="4">
        <v>73</v>
      </c>
      <c r="G273" s="7">
        <f t="shared" ref="G273:G285" si="138">SUM(C273:F273)</f>
        <v>1461</v>
      </c>
      <c r="H273" s="17">
        <f t="shared" si="136"/>
        <v>0</v>
      </c>
      <c r="J273" s="1">
        <v>44074</v>
      </c>
      <c r="K273" s="101">
        <v>1141.25</v>
      </c>
      <c r="L273" s="101">
        <v>213.07599999999999</v>
      </c>
      <c r="M273" s="101"/>
      <c r="N273" s="101">
        <v>76.245000000000005</v>
      </c>
      <c r="O273" s="7">
        <f t="shared" si="119"/>
        <v>1430.5709999999999</v>
      </c>
      <c r="P273" s="17">
        <f t="shared" si="137"/>
        <v>0</v>
      </c>
      <c r="R273" s="1">
        <f t="shared" si="130"/>
        <v>44440</v>
      </c>
      <c r="S273" s="43">
        <v>1175.6876006451612</v>
      </c>
      <c r="T273" s="49">
        <v>241.14215354838709</v>
      </c>
      <c r="U273" s="4"/>
      <c r="V273" s="49">
        <v>77.435569032258059</v>
      </c>
      <c r="W273" s="7">
        <f t="shared" si="120"/>
        <v>1494.2653232258062</v>
      </c>
      <c r="X273" s="17">
        <f t="shared" si="125"/>
        <v>1</v>
      </c>
      <c r="Y273" s="17"/>
      <c r="Z273" s="1">
        <f t="shared" si="131"/>
        <v>44805</v>
      </c>
      <c r="AA273" s="115">
        <v>1299.6480870967741</v>
      </c>
      <c r="AB273" s="115">
        <v>251.31511268817204</v>
      </c>
      <c r="AC273" s="101"/>
      <c r="AD273" s="115">
        <v>89.090961827956988</v>
      </c>
      <c r="AE273" s="101">
        <f t="shared" si="121"/>
        <v>1640.0541616129033</v>
      </c>
      <c r="AF273" s="17">
        <f t="shared" si="126"/>
        <v>1</v>
      </c>
      <c r="AH273" s="1">
        <f t="shared" si="132"/>
        <v>45170</v>
      </c>
      <c r="AI273" s="119">
        <v>1290.0432165591399</v>
      </c>
      <c r="AJ273" s="119">
        <v>279.69826043010755</v>
      </c>
      <c r="AK273" s="44"/>
      <c r="AL273" s="119">
        <v>89.041014193548392</v>
      </c>
      <c r="AM273" s="44">
        <f t="shared" si="122"/>
        <v>1658.7824911827959</v>
      </c>
      <c r="AN273" s="17">
        <f t="shared" si="127"/>
        <v>1</v>
      </c>
      <c r="AO273" s="17"/>
      <c r="AP273" s="38">
        <f t="shared" si="133"/>
        <v>45535</v>
      </c>
      <c r="AQ273" s="119">
        <v>1161.828</v>
      </c>
      <c r="AR273" s="119">
        <v>221.67720750000001</v>
      </c>
      <c r="AS273" s="44"/>
      <c r="AT273" s="119">
        <v>75.752551290322586</v>
      </c>
      <c r="AU273" s="44">
        <f t="shared" si="123"/>
        <v>1459.2577587903224</v>
      </c>
      <c r="AV273" s="17">
        <f t="shared" si="128"/>
        <v>0</v>
      </c>
      <c r="AW273" s="17"/>
      <c r="AX273" s="1">
        <f t="shared" si="134"/>
        <v>45901</v>
      </c>
      <c r="AY273" s="119"/>
      <c r="AZ273" s="119"/>
      <c r="BA273" s="44"/>
      <c r="BB273" s="119"/>
      <c r="BC273" s="44">
        <f t="shared" si="124"/>
        <v>0</v>
      </c>
      <c r="BD273" s="17">
        <f t="shared" si="129"/>
        <v>0</v>
      </c>
    </row>
    <row r="274" spans="1:56" s="28" customFormat="1" x14ac:dyDescent="0.3">
      <c r="A274" s="39"/>
      <c r="B274" s="38">
        <v>43710</v>
      </c>
      <c r="C274" s="41">
        <v>1215</v>
      </c>
      <c r="D274" s="41">
        <v>212</v>
      </c>
      <c r="E274" s="41"/>
      <c r="F274" s="41">
        <v>76</v>
      </c>
      <c r="G274" s="40">
        <f t="shared" si="138"/>
        <v>1503</v>
      </c>
      <c r="H274" s="39">
        <f t="shared" si="136"/>
        <v>0</v>
      </c>
      <c r="J274" s="38">
        <v>44075</v>
      </c>
      <c r="K274" s="105">
        <v>1148.82</v>
      </c>
      <c r="L274" s="105">
        <v>221.89</v>
      </c>
      <c r="M274" s="105"/>
      <c r="N274" s="105">
        <v>74.567999999999998</v>
      </c>
      <c r="O274" s="7">
        <f t="shared" si="119"/>
        <v>1445.278</v>
      </c>
      <c r="P274" s="39">
        <f t="shared" si="137"/>
        <v>0</v>
      </c>
      <c r="R274" s="1">
        <f t="shared" si="130"/>
        <v>44441</v>
      </c>
      <c r="S274" s="63">
        <v>1115.9598526881721</v>
      </c>
      <c r="T274" s="85">
        <v>235.43429548387095</v>
      </c>
      <c r="U274" s="55"/>
      <c r="V274" s="85">
        <v>80.523761720430102</v>
      </c>
      <c r="W274" s="7">
        <f t="shared" si="120"/>
        <v>1431.9179098924731</v>
      </c>
      <c r="X274" s="17">
        <f t="shared" si="125"/>
        <v>0</v>
      </c>
      <c r="Y274" s="17"/>
      <c r="Z274" s="1">
        <f t="shared" si="131"/>
        <v>44806</v>
      </c>
      <c r="AA274" s="116">
        <v>1312.053887311828</v>
      </c>
      <c r="AB274" s="116">
        <v>252.16637075268818</v>
      </c>
      <c r="AC274" s="101"/>
      <c r="AD274" s="116">
        <v>90.466499892473124</v>
      </c>
      <c r="AE274" s="101">
        <f t="shared" si="121"/>
        <v>1654.6867579569894</v>
      </c>
      <c r="AF274" s="17">
        <f t="shared" si="126"/>
        <v>1</v>
      </c>
      <c r="AH274" s="1">
        <f t="shared" si="132"/>
        <v>45171</v>
      </c>
      <c r="AI274" s="120">
        <v>1272.4922709677419</v>
      </c>
      <c r="AJ274" s="120">
        <v>269.427988172043</v>
      </c>
      <c r="AK274" s="44"/>
      <c r="AL274" s="120">
        <v>88.267891612903227</v>
      </c>
      <c r="AM274" s="44">
        <f t="shared" si="122"/>
        <v>1630.188150752688</v>
      </c>
      <c r="AN274" s="17">
        <f t="shared" si="127"/>
        <v>1</v>
      </c>
      <c r="AO274" s="17"/>
      <c r="AP274" s="1">
        <f t="shared" si="133"/>
        <v>45536</v>
      </c>
      <c r="AQ274" s="120">
        <v>1065.193</v>
      </c>
      <c r="AR274" s="120">
        <v>220.91439199999999</v>
      </c>
      <c r="AS274" s="44"/>
      <c r="AT274" s="120">
        <v>70.537195806451606</v>
      </c>
      <c r="AU274" s="44">
        <f t="shared" si="123"/>
        <v>1356.6445878064515</v>
      </c>
      <c r="AV274" s="17">
        <f t="shared" si="128"/>
        <v>0</v>
      </c>
      <c r="AW274" s="17"/>
      <c r="AX274" s="1">
        <f t="shared" si="134"/>
        <v>45902</v>
      </c>
      <c r="AY274" s="120"/>
      <c r="AZ274" s="120"/>
      <c r="BA274" s="44"/>
      <c r="BB274" s="120"/>
      <c r="BC274" s="44">
        <f t="shared" si="124"/>
        <v>0</v>
      </c>
      <c r="BD274" s="17">
        <f t="shared" si="129"/>
        <v>0</v>
      </c>
    </row>
    <row r="275" spans="1:56" x14ac:dyDescent="0.3">
      <c r="A275" s="17"/>
      <c r="B275" s="1">
        <v>43711</v>
      </c>
      <c r="C275" s="4">
        <v>1229</v>
      </c>
      <c r="D275" s="4">
        <v>214</v>
      </c>
      <c r="E275" s="4"/>
      <c r="F275" s="4">
        <v>79</v>
      </c>
      <c r="G275" s="7">
        <f t="shared" si="138"/>
        <v>1522</v>
      </c>
      <c r="H275" s="17">
        <f t="shared" si="136"/>
        <v>0</v>
      </c>
      <c r="J275" s="1">
        <v>44076</v>
      </c>
      <c r="K275" s="101">
        <v>1106.45</v>
      </c>
      <c r="L275" s="101">
        <v>224.053</v>
      </c>
      <c r="M275" s="101"/>
      <c r="N275" s="101">
        <v>73.343999999999994</v>
      </c>
      <c r="O275" s="7">
        <f t="shared" si="119"/>
        <v>1403.8470000000002</v>
      </c>
      <c r="P275" s="17">
        <f t="shared" si="137"/>
        <v>0</v>
      </c>
      <c r="R275" s="1">
        <f t="shared" si="130"/>
        <v>44442</v>
      </c>
      <c r="S275" s="43">
        <v>1124.0130437634409</v>
      </c>
      <c r="T275" s="49">
        <v>209.34211655913978</v>
      </c>
      <c r="U275" s="4"/>
      <c r="V275" s="49">
        <v>89.419568172043014</v>
      </c>
      <c r="W275" s="7">
        <f t="shared" si="120"/>
        <v>1422.7747284946238</v>
      </c>
      <c r="X275" s="17">
        <f t="shared" si="125"/>
        <v>0</v>
      </c>
      <c r="Y275" s="17"/>
      <c r="Z275" s="1">
        <f t="shared" si="131"/>
        <v>44807</v>
      </c>
      <c r="AA275" s="115">
        <v>1184.2100434408603</v>
      </c>
      <c r="AB275" s="115">
        <v>247.56029075268816</v>
      </c>
      <c r="AC275" s="101"/>
      <c r="AD275" s="115">
        <v>87.025491935483871</v>
      </c>
      <c r="AE275" s="101">
        <f t="shared" si="121"/>
        <v>1518.7958261290323</v>
      </c>
      <c r="AF275" s="17">
        <f t="shared" si="126"/>
        <v>1</v>
      </c>
      <c r="AH275" s="1">
        <f t="shared" si="132"/>
        <v>45172</v>
      </c>
      <c r="AI275" s="119">
        <v>1290.7621561290323</v>
      </c>
      <c r="AJ275" s="119">
        <v>269.7100258064516</v>
      </c>
      <c r="AK275" s="44"/>
      <c r="AL275" s="119">
        <v>87.344469677419355</v>
      </c>
      <c r="AM275" s="44">
        <f t="shared" si="122"/>
        <v>1647.8166516129031</v>
      </c>
      <c r="AN275" s="17">
        <f t="shared" si="127"/>
        <v>1</v>
      </c>
      <c r="AO275" s="17"/>
      <c r="AP275" s="1">
        <f t="shared" si="133"/>
        <v>45537</v>
      </c>
      <c r="AQ275" s="119">
        <v>1176.71</v>
      </c>
      <c r="AR275" s="119">
        <v>233.03731999999999</v>
      </c>
      <c r="AS275" s="44"/>
      <c r="AT275" s="119">
        <v>72.772502795698927</v>
      </c>
      <c r="AU275" s="44">
        <f t="shared" si="123"/>
        <v>1482.5198227956989</v>
      </c>
      <c r="AV275" s="17">
        <f t="shared" si="128"/>
        <v>1</v>
      </c>
      <c r="AW275" s="17"/>
      <c r="AX275" s="1">
        <f t="shared" si="134"/>
        <v>45903</v>
      </c>
      <c r="AY275" s="119"/>
      <c r="AZ275" s="119"/>
      <c r="BA275" s="44"/>
      <c r="BB275" s="119"/>
      <c r="BC275" s="44">
        <f t="shared" si="124"/>
        <v>0</v>
      </c>
      <c r="BD275" s="17">
        <f t="shared" si="129"/>
        <v>0</v>
      </c>
    </row>
    <row r="276" spans="1:56" x14ac:dyDescent="0.3">
      <c r="A276" s="17"/>
      <c r="B276" s="1">
        <v>43712</v>
      </c>
      <c r="C276" s="4">
        <v>1214</v>
      </c>
      <c r="D276" s="4">
        <v>210</v>
      </c>
      <c r="E276" s="4"/>
      <c r="F276" s="4">
        <v>78</v>
      </c>
      <c r="G276" s="7">
        <f t="shared" si="138"/>
        <v>1502</v>
      </c>
      <c r="H276" s="17">
        <f t="shared" si="136"/>
        <v>0</v>
      </c>
      <c r="J276" s="1">
        <v>44077</v>
      </c>
      <c r="K276" s="101">
        <v>1039.9000000000001</v>
      </c>
      <c r="L276" s="101">
        <v>217.661</v>
      </c>
      <c r="M276" s="101"/>
      <c r="N276" s="101">
        <v>71.375</v>
      </c>
      <c r="O276" s="7">
        <f t="shared" si="119"/>
        <v>1328.9360000000001</v>
      </c>
      <c r="P276" s="17">
        <f t="shared" si="137"/>
        <v>0</v>
      </c>
      <c r="R276" s="1">
        <f t="shared" si="130"/>
        <v>44443</v>
      </c>
      <c r="S276" s="43">
        <v>982.81794978494622</v>
      </c>
      <c r="T276" s="49">
        <v>204.5849023655914</v>
      </c>
      <c r="U276" s="4"/>
      <c r="V276" s="49">
        <v>86.942760000000007</v>
      </c>
      <c r="W276" s="7">
        <f t="shared" si="120"/>
        <v>1274.3456121505376</v>
      </c>
      <c r="X276" s="17">
        <f t="shared" si="125"/>
        <v>0</v>
      </c>
      <c r="Y276" s="17"/>
      <c r="Z276" s="1">
        <f t="shared" si="131"/>
        <v>44808</v>
      </c>
      <c r="AA276" s="116">
        <v>1246.7979860215053</v>
      </c>
      <c r="AB276" s="116">
        <v>253.00008774193549</v>
      </c>
      <c r="AC276" s="101"/>
      <c r="AD276" s="116">
        <v>82.097561935483867</v>
      </c>
      <c r="AE276" s="101">
        <f t="shared" si="121"/>
        <v>1581.8956356989245</v>
      </c>
      <c r="AF276" s="17">
        <f t="shared" si="126"/>
        <v>1</v>
      </c>
      <c r="AH276" s="1">
        <f t="shared" si="132"/>
        <v>45173</v>
      </c>
      <c r="AI276" s="120">
        <v>1352.8371010752687</v>
      </c>
      <c r="AJ276" s="120">
        <v>271.50788752688175</v>
      </c>
      <c r="AK276" s="44"/>
      <c r="AL276" s="120">
        <v>79.719210322580651</v>
      </c>
      <c r="AM276" s="44">
        <f t="shared" si="122"/>
        <v>1704.064198924731</v>
      </c>
      <c r="AN276" s="17">
        <f t="shared" si="127"/>
        <v>1</v>
      </c>
      <c r="AO276" s="17"/>
      <c r="AP276" s="1">
        <f t="shared" si="133"/>
        <v>45538</v>
      </c>
      <c r="AQ276" s="120">
        <v>1222.923</v>
      </c>
      <c r="AR276" s="120">
        <v>244.54508960000001</v>
      </c>
      <c r="AS276" s="44"/>
      <c r="AT276" s="120">
        <v>78.872238817204305</v>
      </c>
      <c r="AU276" s="44">
        <f t="shared" si="123"/>
        <v>1546.3403284172043</v>
      </c>
      <c r="AV276" s="17">
        <f t="shared" si="128"/>
        <v>1</v>
      </c>
      <c r="AW276" s="17"/>
      <c r="AX276" s="1">
        <f t="shared" si="134"/>
        <v>45904</v>
      </c>
      <c r="AY276" s="120"/>
      <c r="AZ276" s="120"/>
      <c r="BA276" s="44"/>
      <c r="BB276" s="120"/>
      <c r="BC276" s="44">
        <f t="shared" si="124"/>
        <v>0</v>
      </c>
      <c r="BD276" s="17">
        <f t="shared" si="129"/>
        <v>0</v>
      </c>
    </row>
    <row r="277" spans="1:56" x14ac:dyDescent="0.3">
      <c r="A277" s="17"/>
      <c r="B277" s="1">
        <v>43713</v>
      </c>
      <c r="C277" s="4">
        <v>1188</v>
      </c>
      <c r="D277" s="4">
        <v>207</v>
      </c>
      <c r="E277" s="4"/>
      <c r="F277" s="4">
        <v>78</v>
      </c>
      <c r="G277" s="7">
        <f t="shared" si="138"/>
        <v>1473</v>
      </c>
      <c r="H277" s="17">
        <f t="shared" si="136"/>
        <v>0</v>
      </c>
      <c r="J277" s="1">
        <v>44078</v>
      </c>
      <c r="K277" s="101">
        <v>1083.1400000000001</v>
      </c>
      <c r="L277" s="101">
        <v>210.268</v>
      </c>
      <c r="M277" s="101"/>
      <c r="N277" s="101">
        <v>70.643000000000001</v>
      </c>
      <c r="O277" s="7">
        <f t="shared" si="119"/>
        <v>1364.0510000000002</v>
      </c>
      <c r="P277" s="17">
        <f t="shared" si="137"/>
        <v>0</v>
      </c>
      <c r="R277" s="1">
        <f t="shared" si="130"/>
        <v>44444</v>
      </c>
      <c r="S277" s="43">
        <v>901.1177751612903</v>
      </c>
      <c r="T277" s="49">
        <v>184.13909505376344</v>
      </c>
      <c r="U277" s="4"/>
      <c r="V277" s="49">
        <v>76.582649892473114</v>
      </c>
      <c r="W277" s="7">
        <f t="shared" si="120"/>
        <v>1161.8395201075268</v>
      </c>
      <c r="X277" s="17">
        <f t="shared" si="125"/>
        <v>0</v>
      </c>
      <c r="Y277" s="17"/>
      <c r="Z277" s="1">
        <f t="shared" si="131"/>
        <v>44809</v>
      </c>
      <c r="AA277" s="115">
        <v>1308.6836154838709</v>
      </c>
      <c r="AB277" s="115">
        <v>256.81578752688171</v>
      </c>
      <c r="AC277" s="101"/>
      <c r="AD277" s="115">
        <v>85.527755913978496</v>
      </c>
      <c r="AE277" s="101">
        <f t="shared" si="121"/>
        <v>1651.0271589247311</v>
      </c>
      <c r="AF277" s="17">
        <f t="shared" si="126"/>
        <v>1</v>
      </c>
      <c r="AH277" s="1">
        <f t="shared" si="132"/>
        <v>45174</v>
      </c>
      <c r="AI277" s="119">
        <v>1345.3872051612902</v>
      </c>
      <c r="AJ277" s="119">
        <v>271.75300387096775</v>
      </c>
      <c r="AK277" s="44"/>
      <c r="AL277" s="119">
        <v>79.987370322580645</v>
      </c>
      <c r="AM277" s="44">
        <f t="shared" si="122"/>
        <v>1697.1275793548386</v>
      </c>
      <c r="AN277" s="17">
        <f t="shared" si="127"/>
        <v>1</v>
      </c>
      <c r="AO277" s="17"/>
      <c r="AP277" s="1">
        <f t="shared" si="133"/>
        <v>45539</v>
      </c>
      <c r="AQ277" s="119">
        <v>1193.566</v>
      </c>
      <c r="AR277" s="119">
        <v>247.7635947</v>
      </c>
      <c r="AS277" s="44"/>
      <c r="AT277" s="119">
        <v>86.252540537634403</v>
      </c>
      <c r="AU277" s="44">
        <f t="shared" si="123"/>
        <v>1527.5821352376345</v>
      </c>
      <c r="AV277" s="17">
        <f t="shared" si="128"/>
        <v>1</v>
      </c>
      <c r="AW277" s="17"/>
      <c r="AX277" s="1">
        <f t="shared" si="134"/>
        <v>45905</v>
      </c>
      <c r="AY277" s="119"/>
      <c r="AZ277" s="119"/>
      <c r="BA277" s="44"/>
      <c r="BB277" s="119"/>
      <c r="BC277" s="44">
        <f t="shared" si="124"/>
        <v>0</v>
      </c>
      <c r="BD277" s="17">
        <f t="shared" si="129"/>
        <v>0</v>
      </c>
    </row>
    <row r="278" spans="1:56" x14ac:dyDescent="0.3">
      <c r="A278" s="17"/>
      <c r="B278" s="1">
        <v>43714</v>
      </c>
      <c r="C278" s="4">
        <v>1231</v>
      </c>
      <c r="D278" s="4">
        <v>228</v>
      </c>
      <c r="E278" s="4"/>
      <c r="F278" s="4">
        <v>78</v>
      </c>
      <c r="G278" s="7">
        <f t="shared" si="138"/>
        <v>1537</v>
      </c>
      <c r="H278" s="17">
        <f t="shared" si="136"/>
        <v>0</v>
      </c>
      <c r="J278" s="1">
        <v>44079</v>
      </c>
      <c r="K278" s="101">
        <v>1062.73</v>
      </c>
      <c r="L278" s="101">
        <v>197.46600000000001</v>
      </c>
      <c r="M278" s="101"/>
      <c r="N278" s="101">
        <v>71.358000000000004</v>
      </c>
      <c r="O278" s="7">
        <f t="shared" si="119"/>
        <v>1331.5539999999999</v>
      </c>
      <c r="P278" s="17">
        <f t="shared" si="137"/>
        <v>0</v>
      </c>
      <c r="R278" s="1">
        <f t="shared" si="130"/>
        <v>44445</v>
      </c>
      <c r="S278" s="43">
        <v>1017.4877769892473</v>
      </c>
      <c r="T278" s="49">
        <v>210.18607913978494</v>
      </c>
      <c r="U278" s="4"/>
      <c r="V278" s="49">
        <v>80.405150967741932</v>
      </c>
      <c r="W278" s="7">
        <f t="shared" si="120"/>
        <v>1308.0790070967741</v>
      </c>
      <c r="X278" s="17">
        <f t="shared" si="125"/>
        <v>0</v>
      </c>
      <c r="Y278" s="17"/>
      <c r="Z278" s="1">
        <f t="shared" si="131"/>
        <v>44810</v>
      </c>
      <c r="AA278" s="116">
        <v>1395.357989032258</v>
      </c>
      <c r="AB278" s="116">
        <v>271.72673333333336</v>
      </c>
      <c r="AC278" s="101"/>
      <c r="AD278" s="116">
        <v>95.477697526881727</v>
      </c>
      <c r="AE278" s="101">
        <f t="shared" si="121"/>
        <v>1762.5624198924731</v>
      </c>
      <c r="AF278" s="17">
        <f t="shared" si="126"/>
        <v>1</v>
      </c>
      <c r="AH278" s="1">
        <f t="shared" si="132"/>
        <v>45175</v>
      </c>
      <c r="AI278" s="120">
        <v>1327.7049838709677</v>
      </c>
      <c r="AJ278" s="120">
        <v>269.52541935483873</v>
      </c>
      <c r="AK278" s="44"/>
      <c r="AL278" s="120">
        <v>87.571540645161292</v>
      </c>
      <c r="AM278" s="44">
        <f t="shared" si="122"/>
        <v>1684.8019438709678</v>
      </c>
      <c r="AN278" s="17">
        <f t="shared" si="127"/>
        <v>1</v>
      </c>
      <c r="AO278" s="17"/>
      <c r="AP278" s="1">
        <f t="shared" si="133"/>
        <v>45540</v>
      </c>
      <c r="AQ278" s="120">
        <v>1173.8520000000001</v>
      </c>
      <c r="AR278" s="120">
        <v>226.3527</v>
      </c>
      <c r="AS278" s="44"/>
      <c r="AT278" s="120">
        <v>84.336563118279571</v>
      </c>
      <c r="AU278" s="44">
        <f t="shared" si="123"/>
        <v>1484.5412631182796</v>
      </c>
      <c r="AV278" s="17">
        <f t="shared" si="128"/>
        <v>1</v>
      </c>
      <c r="AW278" s="17"/>
      <c r="AX278" s="1">
        <f t="shared" si="134"/>
        <v>45906</v>
      </c>
      <c r="AY278" s="120"/>
      <c r="AZ278" s="120"/>
      <c r="BA278" s="44"/>
      <c r="BB278" s="120"/>
      <c r="BC278" s="44">
        <f t="shared" si="124"/>
        <v>0</v>
      </c>
      <c r="BD278" s="17">
        <f t="shared" si="129"/>
        <v>0</v>
      </c>
    </row>
    <row r="279" spans="1:56" x14ac:dyDescent="0.3">
      <c r="A279" s="17"/>
      <c r="B279" s="1">
        <v>43715</v>
      </c>
      <c r="C279" s="4">
        <v>1148</v>
      </c>
      <c r="D279" s="4">
        <v>224</v>
      </c>
      <c r="E279" s="4"/>
      <c r="F279" s="4">
        <v>75</v>
      </c>
      <c r="G279" s="7">
        <f t="shared" si="138"/>
        <v>1447</v>
      </c>
      <c r="H279" s="17">
        <f t="shared" si="136"/>
        <v>0</v>
      </c>
      <c r="J279" s="1">
        <v>44080</v>
      </c>
      <c r="K279" s="101">
        <v>1041.96</v>
      </c>
      <c r="L279" s="101">
        <v>180.745</v>
      </c>
      <c r="M279" s="101"/>
      <c r="N279" s="101">
        <v>67.710999999999999</v>
      </c>
      <c r="O279" s="7">
        <f t="shared" si="119"/>
        <v>1290.4159999999999</v>
      </c>
      <c r="P279" s="17">
        <f t="shared" si="137"/>
        <v>0</v>
      </c>
      <c r="R279" s="1">
        <f t="shared" si="130"/>
        <v>44446</v>
      </c>
      <c r="S279" s="43">
        <v>1005.3384508602151</v>
      </c>
      <c r="T279" s="49">
        <v>204.14447139784946</v>
      </c>
      <c r="U279" s="4"/>
      <c r="V279" s="49">
        <v>78.812532043010748</v>
      </c>
      <c r="W279" s="7">
        <f t="shared" si="120"/>
        <v>1288.2954543010753</v>
      </c>
      <c r="X279" s="17">
        <f t="shared" si="125"/>
        <v>0</v>
      </c>
      <c r="Y279" s="17"/>
      <c r="Z279" s="1">
        <f t="shared" si="131"/>
        <v>44811</v>
      </c>
      <c r="AA279" s="115">
        <v>1355.5401597849461</v>
      </c>
      <c r="AB279" s="115">
        <v>276.49274666666668</v>
      </c>
      <c r="AC279" s="101"/>
      <c r="AD279" s="115">
        <v>95.008370860215052</v>
      </c>
      <c r="AE279" s="101">
        <f t="shared" si="121"/>
        <v>1727.0412773118278</v>
      </c>
      <c r="AF279" s="17">
        <f t="shared" si="126"/>
        <v>1</v>
      </c>
      <c r="AH279" s="1">
        <f t="shared" si="132"/>
        <v>45176</v>
      </c>
      <c r="AI279" s="119">
        <v>1322.5236961290323</v>
      </c>
      <c r="AJ279" s="119">
        <v>256.38246559139787</v>
      </c>
      <c r="AK279" s="44"/>
      <c r="AL279" s="119">
        <v>89.640049032258062</v>
      </c>
      <c r="AM279" s="44">
        <f t="shared" si="122"/>
        <v>1668.5462107526882</v>
      </c>
      <c r="AN279" s="17">
        <f t="shared" si="127"/>
        <v>1</v>
      </c>
      <c r="AO279" s="17"/>
      <c r="AP279" s="1">
        <f t="shared" si="133"/>
        <v>45541</v>
      </c>
      <c r="AQ279" s="119">
        <v>1231.933</v>
      </c>
      <c r="AR279" s="119">
        <v>246.851755</v>
      </c>
      <c r="AS279" s="44"/>
      <c r="AT279" s="119">
        <v>80.185278709677419</v>
      </c>
      <c r="AU279" s="44">
        <f t="shared" si="123"/>
        <v>1558.9700337096774</v>
      </c>
      <c r="AV279" s="17">
        <f t="shared" si="128"/>
        <v>1</v>
      </c>
      <c r="AW279" s="17"/>
      <c r="AX279" s="1">
        <f t="shared" si="134"/>
        <v>45907</v>
      </c>
      <c r="AY279" s="119"/>
      <c r="AZ279" s="119"/>
      <c r="BA279" s="44"/>
      <c r="BB279" s="119"/>
      <c r="BC279" s="44">
        <f t="shared" si="124"/>
        <v>0</v>
      </c>
      <c r="BD279" s="17">
        <f t="shared" si="129"/>
        <v>0</v>
      </c>
    </row>
    <row r="280" spans="1:56" x14ac:dyDescent="0.3">
      <c r="A280" s="17"/>
      <c r="B280" s="1">
        <v>43716</v>
      </c>
      <c r="C280" s="4">
        <v>1124</v>
      </c>
      <c r="D280" s="4">
        <v>199</v>
      </c>
      <c r="E280" s="4"/>
      <c r="F280" s="4">
        <v>64</v>
      </c>
      <c r="G280" s="7">
        <f t="shared" si="138"/>
        <v>1387</v>
      </c>
      <c r="H280" s="17">
        <f t="shared" si="136"/>
        <v>0</v>
      </c>
      <c r="J280" s="1">
        <v>44081</v>
      </c>
      <c r="K280" s="101">
        <v>1057.9100000000001</v>
      </c>
      <c r="L280" s="101">
        <v>205.767</v>
      </c>
      <c r="M280" s="101"/>
      <c r="N280" s="101">
        <v>68.088999999999999</v>
      </c>
      <c r="O280" s="7">
        <f t="shared" si="119"/>
        <v>1331.7660000000001</v>
      </c>
      <c r="P280" s="17">
        <f t="shared" si="137"/>
        <v>0</v>
      </c>
      <c r="R280" s="1">
        <f t="shared" si="130"/>
        <v>44447</v>
      </c>
      <c r="S280" s="43">
        <v>972.94230827956994</v>
      </c>
      <c r="T280" s="49">
        <v>195.03376129032259</v>
      </c>
      <c r="U280" s="4"/>
      <c r="V280" s="49">
        <v>73.59689376344086</v>
      </c>
      <c r="W280" s="7">
        <f t="shared" si="120"/>
        <v>1241.5729633333335</v>
      </c>
      <c r="X280" s="17">
        <f t="shared" si="125"/>
        <v>0</v>
      </c>
      <c r="Y280" s="17"/>
      <c r="Z280" s="1">
        <f t="shared" si="131"/>
        <v>44812</v>
      </c>
      <c r="AA280" s="116">
        <v>1343.2611083870968</v>
      </c>
      <c r="AB280" s="116">
        <v>266.60680301075269</v>
      </c>
      <c r="AC280" s="101"/>
      <c r="AD280" s="116">
        <v>93.84370537634409</v>
      </c>
      <c r="AE280" s="101">
        <f t="shared" si="121"/>
        <v>1703.7116167741935</v>
      </c>
      <c r="AF280" s="17">
        <f t="shared" si="126"/>
        <v>1</v>
      </c>
      <c r="AH280" s="1">
        <f t="shared" si="132"/>
        <v>45177</v>
      </c>
      <c r="AI280" s="120">
        <v>1199.3911929032258</v>
      </c>
      <c r="AJ280" s="120">
        <v>248.22901397849463</v>
      </c>
      <c r="AK280" s="44"/>
      <c r="AL280" s="120">
        <v>81.708784516129029</v>
      </c>
      <c r="AM280" s="44">
        <f t="shared" si="122"/>
        <v>1529.3289913978494</v>
      </c>
      <c r="AN280" s="17">
        <f t="shared" si="127"/>
        <v>1</v>
      </c>
      <c r="AO280" s="17"/>
      <c r="AP280" s="1">
        <f t="shared" si="133"/>
        <v>45542</v>
      </c>
      <c r="AQ280" s="120">
        <v>1151.95</v>
      </c>
      <c r="AR280" s="120">
        <v>231.9365004</v>
      </c>
      <c r="AS280" s="44"/>
      <c r="AT280" s="120">
        <v>77.604662795698928</v>
      </c>
      <c r="AU280" s="44">
        <f t="shared" si="123"/>
        <v>1461.4911631956988</v>
      </c>
      <c r="AV280" s="17">
        <f t="shared" si="128"/>
        <v>0</v>
      </c>
      <c r="AW280" s="17"/>
      <c r="AX280" s="1">
        <f t="shared" si="134"/>
        <v>45908</v>
      </c>
      <c r="AY280" s="120"/>
      <c r="AZ280" s="120"/>
      <c r="BA280" s="44"/>
      <c r="BB280" s="120"/>
      <c r="BC280" s="44">
        <f t="shared" si="124"/>
        <v>0</v>
      </c>
      <c r="BD280" s="17">
        <f t="shared" si="129"/>
        <v>0</v>
      </c>
    </row>
    <row r="281" spans="1:56" x14ac:dyDescent="0.3">
      <c r="A281" s="17"/>
      <c r="B281" s="1">
        <v>43717</v>
      </c>
      <c r="C281" s="4">
        <v>1109</v>
      </c>
      <c r="D281" s="4">
        <v>202</v>
      </c>
      <c r="E281" s="4"/>
      <c r="F281" s="4">
        <v>70</v>
      </c>
      <c r="G281" s="7">
        <f t="shared" si="138"/>
        <v>1381</v>
      </c>
      <c r="H281" s="17">
        <f t="shared" si="136"/>
        <v>0</v>
      </c>
      <c r="J281" s="1">
        <v>44082</v>
      </c>
      <c r="K281" s="101">
        <v>1049.93</v>
      </c>
      <c r="L281" s="101">
        <v>214.643</v>
      </c>
      <c r="M281" s="101"/>
      <c r="N281" s="101">
        <v>69.236999999999995</v>
      </c>
      <c r="O281" s="7">
        <f t="shared" si="119"/>
        <v>1333.8100000000002</v>
      </c>
      <c r="P281" s="17">
        <f t="shared" si="137"/>
        <v>0</v>
      </c>
      <c r="R281" s="1">
        <f t="shared" si="130"/>
        <v>44448</v>
      </c>
      <c r="S281" s="43">
        <v>1047.8471844086021</v>
      </c>
      <c r="T281" s="49">
        <v>207.61018580645163</v>
      </c>
      <c r="U281" s="4"/>
      <c r="V281" s="49">
        <v>86.328140645161284</v>
      </c>
      <c r="W281" s="7">
        <f t="shared" si="120"/>
        <v>1341.785510860215</v>
      </c>
      <c r="X281" s="17">
        <f t="shared" si="125"/>
        <v>0</v>
      </c>
      <c r="Y281" s="17"/>
      <c r="Z281" s="1">
        <f t="shared" si="131"/>
        <v>44813</v>
      </c>
      <c r="AA281" s="115">
        <v>1183.1918972043011</v>
      </c>
      <c r="AB281" s="115">
        <v>249.71681118279571</v>
      </c>
      <c r="AC281" s="101"/>
      <c r="AD281" s="115">
        <v>89.392671827956988</v>
      </c>
      <c r="AE281" s="101">
        <f t="shared" si="121"/>
        <v>1522.3013802150538</v>
      </c>
      <c r="AF281" s="17">
        <f t="shared" si="126"/>
        <v>1</v>
      </c>
      <c r="AH281" s="1">
        <f t="shared" si="132"/>
        <v>45178</v>
      </c>
      <c r="AI281" s="119">
        <v>1209.6799258064516</v>
      </c>
      <c r="AJ281" s="119">
        <v>235.16605634408603</v>
      </c>
      <c r="AK281" s="44"/>
      <c r="AL281" s="119">
        <v>74.545236129032261</v>
      </c>
      <c r="AM281" s="44">
        <f t="shared" si="122"/>
        <v>1519.3912182795698</v>
      </c>
      <c r="AN281" s="17">
        <f t="shared" si="127"/>
        <v>1</v>
      </c>
      <c r="AO281" s="17"/>
      <c r="AP281" s="1">
        <f t="shared" si="133"/>
        <v>45543</v>
      </c>
      <c r="AQ281" s="119">
        <v>1209.924</v>
      </c>
      <c r="AR281" s="119">
        <v>244.85244839999999</v>
      </c>
      <c r="AS281" s="44"/>
      <c r="AT281" s="119">
        <v>73.232553870967749</v>
      </c>
      <c r="AU281" s="44">
        <f t="shared" si="123"/>
        <v>1528.0090022709676</v>
      </c>
      <c r="AV281" s="17">
        <f t="shared" si="128"/>
        <v>1</v>
      </c>
      <c r="AW281" s="17"/>
      <c r="AX281" s="1">
        <f t="shared" si="134"/>
        <v>45909</v>
      </c>
      <c r="AY281" s="119"/>
      <c r="AZ281" s="119"/>
      <c r="BA281" s="44"/>
      <c r="BB281" s="119"/>
      <c r="BC281" s="44">
        <f t="shared" si="124"/>
        <v>0</v>
      </c>
      <c r="BD281" s="17">
        <f t="shared" si="129"/>
        <v>0</v>
      </c>
    </row>
    <row r="282" spans="1:56" x14ac:dyDescent="0.3">
      <c r="A282" s="17"/>
      <c r="B282" s="1">
        <v>43718</v>
      </c>
      <c r="C282" s="4">
        <v>1065</v>
      </c>
      <c r="D282" s="4">
        <v>205</v>
      </c>
      <c r="E282" s="4"/>
      <c r="F282" s="4">
        <v>74</v>
      </c>
      <c r="G282" s="7">
        <f t="shared" si="138"/>
        <v>1344</v>
      </c>
      <c r="H282" s="17">
        <f t="shared" si="136"/>
        <v>0</v>
      </c>
      <c r="J282" s="1">
        <v>44083</v>
      </c>
      <c r="K282" s="101">
        <v>1051.94</v>
      </c>
      <c r="L282" s="101">
        <v>198.196</v>
      </c>
      <c r="M282" s="101"/>
      <c r="N282" s="101">
        <v>68.936000000000007</v>
      </c>
      <c r="O282" s="7">
        <f t="shared" si="119"/>
        <v>1319.0719999999999</v>
      </c>
      <c r="P282" s="17">
        <f t="shared" si="137"/>
        <v>0</v>
      </c>
      <c r="R282" s="1">
        <f t="shared" si="130"/>
        <v>44449</v>
      </c>
      <c r="S282" s="43">
        <v>1052.616049892473</v>
      </c>
      <c r="T282" s="49">
        <v>216.75712215053764</v>
      </c>
      <c r="U282" s="4"/>
      <c r="V282" s="49">
        <v>87.543361720430113</v>
      </c>
      <c r="W282" s="7">
        <f t="shared" si="120"/>
        <v>1356.9165337634408</v>
      </c>
      <c r="X282" s="17">
        <f t="shared" si="125"/>
        <v>0</v>
      </c>
      <c r="Y282" s="17"/>
      <c r="Z282" s="1">
        <f t="shared" si="131"/>
        <v>44814</v>
      </c>
      <c r="AA282" s="116">
        <v>1118.2227391397848</v>
      </c>
      <c r="AB282" s="116">
        <v>232.33566924731184</v>
      </c>
      <c r="AC282" s="101"/>
      <c r="AD282" s="116">
        <v>78.510565268817203</v>
      </c>
      <c r="AE282" s="101">
        <f t="shared" si="121"/>
        <v>1429.0689736559139</v>
      </c>
      <c r="AF282" s="17">
        <f t="shared" si="126"/>
        <v>0</v>
      </c>
      <c r="AH282" s="1">
        <f t="shared" si="132"/>
        <v>45179</v>
      </c>
      <c r="AI282" s="120">
        <v>1263.2681019354839</v>
      </c>
      <c r="AJ282" s="120">
        <v>228.01665870967742</v>
      </c>
      <c r="AK282" s="44"/>
      <c r="AL282" s="120">
        <v>69.400456774193543</v>
      </c>
      <c r="AM282" s="44">
        <f t="shared" si="122"/>
        <v>1560.6852174193548</v>
      </c>
      <c r="AN282" s="17">
        <f t="shared" si="127"/>
        <v>1</v>
      </c>
      <c r="AO282" s="17"/>
      <c r="AP282" s="1">
        <f t="shared" si="133"/>
        <v>45544</v>
      </c>
      <c r="AQ282" s="120">
        <v>1354.174</v>
      </c>
      <c r="AR282" s="120">
        <v>261.29948999999999</v>
      </c>
      <c r="AS282" s="44"/>
      <c r="AT282" s="120">
        <v>79.435124838709683</v>
      </c>
      <c r="AU282" s="44">
        <f t="shared" si="123"/>
        <v>1694.9086148387096</v>
      </c>
      <c r="AV282" s="17">
        <f t="shared" si="128"/>
        <v>1</v>
      </c>
      <c r="AW282" s="17"/>
      <c r="AX282" s="1">
        <f t="shared" si="134"/>
        <v>45910</v>
      </c>
      <c r="AY282" s="120"/>
      <c r="AZ282" s="120"/>
      <c r="BA282" s="44"/>
      <c r="BB282" s="120"/>
      <c r="BC282" s="44">
        <f t="shared" si="124"/>
        <v>0</v>
      </c>
      <c r="BD282" s="17">
        <f t="shared" si="129"/>
        <v>0</v>
      </c>
    </row>
    <row r="283" spans="1:56" x14ac:dyDescent="0.3">
      <c r="A283" s="17"/>
      <c r="B283" s="1">
        <v>43719</v>
      </c>
      <c r="C283" s="4">
        <v>1128</v>
      </c>
      <c r="D283" s="4">
        <v>205</v>
      </c>
      <c r="E283" s="4"/>
      <c r="F283" s="4">
        <v>74</v>
      </c>
      <c r="G283" s="7">
        <f t="shared" si="138"/>
        <v>1407</v>
      </c>
      <c r="H283" s="17">
        <f t="shared" si="136"/>
        <v>0</v>
      </c>
      <c r="J283" s="1">
        <v>44084</v>
      </c>
      <c r="K283" s="101">
        <v>1028.8399999999999</v>
      </c>
      <c r="L283" s="101">
        <v>200.46799999999999</v>
      </c>
      <c r="M283" s="101"/>
      <c r="N283" s="101">
        <v>70.287999999999997</v>
      </c>
      <c r="O283" s="7">
        <f t="shared" si="119"/>
        <v>1299.596</v>
      </c>
      <c r="P283" s="17">
        <f t="shared" si="137"/>
        <v>0</v>
      </c>
      <c r="R283" s="1">
        <f t="shared" si="130"/>
        <v>44450</v>
      </c>
      <c r="S283" s="43">
        <v>1060.5682798924731</v>
      </c>
      <c r="T283" s="49">
        <v>206.22335698924732</v>
      </c>
      <c r="U283" s="4"/>
      <c r="V283" s="49">
        <v>87.654424516129026</v>
      </c>
      <c r="W283" s="7">
        <f t="shared" si="120"/>
        <v>1354.4460613978495</v>
      </c>
      <c r="X283" s="17">
        <f t="shared" si="125"/>
        <v>0</v>
      </c>
      <c r="Y283" s="17"/>
      <c r="Z283" s="1">
        <f t="shared" si="131"/>
        <v>44815</v>
      </c>
      <c r="AA283" s="115">
        <v>1102.405110107527</v>
      </c>
      <c r="AB283" s="115">
        <v>221.02786666666665</v>
      </c>
      <c r="AC283" s="101"/>
      <c r="AD283" s="115">
        <v>75.604849247311833</v>
      </c>
      <c r="AE283" s="101">
        <f t="shared" si="121"/>
        <v>1399.0378260215055</v>
      </c>
      <c r="AF283" s="17">
        <f t="shared" si="126"/>
        <v>0</v>
      </c>
      <c r="AH283" s="1">
        <f t="shared" si="132"/>
        <v>45180</v>
      </c>
      <c r="AI283" s="119">
        <v>1288.3612466666666</v>
      </c>
      <c r="AJ283" s="119">
        <v>254.66767677419355</v>
      </c>
      <c r="AK283" s="44"/>
      <c r="AL283" s="119">
        <v>70.477421935483875</v>
      </c>
      <c r="AM283" s="44">
        <f t="shared" si="122"/>
        <v>1613.5063453763439</v>
      </c>
      <c r="AN283" s="17">
        <f t="shared" si="127"/>
        <v>1</v>
      </c>
      <c r="AO283" s="17"/>
      <c r="AP283" s="1">
        <f t="shared" si="133"/>
        <v>45545</v>
      </c>
      <c r="AQ283" s="119">
        <v>1325.518</v>
      </c>
      <c r="AR283" s="119">
        <v>279.93876840000001</v>
      </c>
      <c r="AS283" s="44"/>
      <c r="AT283" s="119">
        <v>77.421724838709679</v>
      </c>
      <c r="AU283" s="44">
        <f t="shared" si="123"/>
        <v>1682.8784932387098</v>
      </c>
      <c r="AV283" s="17">
        <f t="shared" si="128"/>
        <v>1</v>
      </c>
      <c r="AW283" s="17"/>
      <c r="AX283" s="1">
        <f t="shared" si="134"/>
        <v>45911</v>
      </c>
      <c r="AY283" s="119"/>
      <c r="AZ283" s="119"/>
      <c r="BA283" s="44"/>
      <c r="BB283" s="119"/>
      <c r="BC283" s="44">
        <f t="shared" si="124"/>
        <v>0</v>
      </c>
      <c r="BD283" s="17">
        <f t="shared" si="129"/>
        <v>0</v>
      </c>
    </row>
    <row r="284" spans="1:56" x14ac:dyDescent="0.3">
      <c r="A284" s="17"/>
      <c r="B284" s="1">
        <v>43720</v>
      </c>
      <c r="C284" s="4">
        <v>1185</v>
      </c>
      <c r="D284" s="4">
        <v>214</v>
      </c>
      <c r="E284" s="4"/>
      <c r="F284" s="4">
        <v>82</v>
      </c>
      <c r="G284" s="7">
        <f t="shared" si="138"/>
        <v>1481</v>
      </c>
      <c r="H284" s="17">
        <f t="shared" si="136"/>
        <v>0</v>
      </c>
      <c r="J284" s="1">
        <v>44085</v>
      </c>
      <c r="K284" s="101">
        <v>1033</v>
      </c>
      <c r="L284" s="101">
        <v>200.08099999999999</v>
      </c>
      <c r="M284" s="101"/>
      <c r="N284" s="101">
        <v>68.840999999999994</v>
      </c>
      <c r="O284" s="7">
        <f t="shared" si="119"/>
        <v>1301.9219999999998</v>
      </c>
      <c r="P284" s="17">
        <f t="shared" si="137"/>
        <v>0</v>
      </c>
      <c r="R284" s="1">
        <f t="shared" si="130"/>
        <v>44451</v>
      </c>
      <c r="S284" s="43">
        <v>1022.2092525806452</v>
      </c>
      <c r="T284" s="49">
        <v>212.27008344086022</v>
      </c>
      <c r="U284" s="4"/>
      <c r="V284" s="49">
        <v>85.922707526881723</v>
      </c>
      <c r="W284" s="7">
        <f t="shared" si="120"/>
        <v>1320.4020435483872</v>
      </c>
      <c r="X284" s="17">
        <f t="shared" si="125"/>
        <v>0</v>
      </c>
      <c r="Y284" s="17"/>
      <c r="Z284" s="1">
        <f t="shared" si="131"/>
        <v>44816</v>
      </c>
      <c r="AA284" s="116">
        <v>1162.0902969892472</v>
      </c>
      <c r="AB284" s="116">
        <v>234.26002838709678</v>
      </c>
      <c r="AC284" s="101"/>
      <c r="AD284" s="116">
        <v>77.885517311827954</v>
      </c>
      <c r="AE284" s="101">
        <f t="shared" si="121"/>
        <v>1474.2358426881719</v>
      </c>
      <c r="AF284" s="17">
        <f t="shared" si="126"/>
        <v>0</v>
      </c>
      <c r="AH284" s="1">
        <f t="shared" si="132"/>
        <v>45181</v>
      </c>
      <c r="AI284" s="120">
        <v>1185.6236539784945</v>
      </c>
      <c r="AJ284" s="120">
        <v>260.12997655913978</v>
      </c>
      <c r="AK284" s="44"/>
      <c r="AL284" s="120">
        <v>71.624670967741935</v>
      </c>
      <c r="AM284" s="44">
        <f t="shared" si="122"/>
        <v>1517.3783015053762</v>
      </c>
      <c r="AN284" s="17">
        <f t="shared" si="127"/>
        <v>1</v>
      </c>
      <c r="AO284" s="17"/>
      <c r="AP284" s="1">
        <f t="shared" si="133"/>
        <v>45546</v>
      </c>
      <c r="AQ284" s="120">
        <v>1173.473</v>
      </c>
      <c r="AR284" s="120">
        <v>254.9739324</v>
      </c>
      <c r="AS284" s="44"/>
      <c r="AT284" s="120">
        <v>78.023579892473123</v>
      </c>
      <c r="AU284" s="44">
        <f t="shared" si="123"/>
        <v>1506.4705122924731</v>
      </c>
      <c r="AV284" s="17">
        <f t="shared" si="128"/>
        <v>1</v>
      </c>
      <c r="AW284" s="17"/>
      <c r="AX284" s="1">
        <f t="shared" si="134"/>
        <v>45912</v>
      </c>
      <c r="AY284" s="120"/>
      <c r="AZ284" s="120"/>
      <c r="BA284" s="44"/>
      <c r="BB284" s="120"/>
      <c r="BC284" s="44">
        <f t="shared" si="124"/>
        <v>0</v>
      </c>
      <c r="BD284" s="17">
        <f t="shared" si="129"/>
        <v>0</v>
      </c>
    </row>
    <row r="285" spans="1:56" x14ac:dyDescent="0.3">
      <c r="A285" s="17"/>
      <c r="B285" s="1">
        <v>43721</v>
      </c>
      <c r="C285" s="4">
        <v>1131</v>
      </c>
      <c r="D285" s="4">
        <v>206</v>
      </c>
      <c r="E285" s="4"/>
      <c r="F285" s="4">
        <v>76</v>
      </c>
      <c r="G285" s="7">
        <f t="shared" si="138"/>
        <v>1413</v>
      </c>
      <c r="H285" s="17">
        <f t="shared" si="136"/>
        <v>0</v>
      </c>
      <c r="J285" s="1">
        <v>44086</v>
      </c>
      <c r="K285" s="101">
        <v>1021.89</v>
      </c>
      <c r="L285" s="101">
        <v>193.96600000000001</v>
      </c>
      <c r="M285" s="101"/>
      <c r="N285" s="101">
        <v>67.771000000000001</v>
      </c>
      <c r="O285" s="7">
        <f t="shared" si="119"/>
        <v>1283.627</v>
      </c>
      <c r="P285" s="17">
        <f t="shared" si="137"/>
        <v>0</v>
      </c>
      <c r="R285" s="1">
        <f t="shared" si="130"/>
        <v>44452</v>
      </c>
      <c r="S285" s="43">
        <v>1095.3854278494623</v>
      </c>
      <c r="T285" s="49">
        <v>219.81536989247311</v>
      </c>
      <c r="U285" s="4"/>
      <c r="V285" s="49">
        <v>88.338053763440854</v>
      </c>
      <c r="W285" s="7">
        <f t="shared" si="120"/>
        <v>1403.5388515053764</v>
      </c>
      <c r="X285" s="17">
        <f t="shared" si="125"/>
        <v>0</v>
      </c>
      <c r="Y285" s="17"/>
      <c r="Z285" s="1">
        <f t="shared" si="131"/>
        <v>44817</v>
      </c>
      <c r="AA285" s="115">
        <v>1300.027294623656</v>
      </c>
      <c r="AB285" s="115">
        <v>256.61251741935484</v>
      </c>
      <c r="AC285" s="101"/>
      <c r="AD285" s="115">
        <v>88.674623655913976</v>
      </c>
      <c r="AE285" s="101">
        <f t="shared" si="121"/>
        <v>1645.3144356989249</v>
      </c>
      <c r="AF285" s="17">
        <f t="shared" si="126"/>
        <v>1</v>
      </c>
      <c r="AH285" s="1">
        <f t="shared" si="132"/>
        <v>45182</v>
      </c>
      <c r="AI285" s="119">
        <v>1193.4653258064516</v>
      </c>
      <c r="AJ285" s="119">
        <v>269.75515182795698</v>
      </c>
      <c r="AK285" s="44"/>
      <c r="AL285" s="119">
        <v>77.516621935483869</v>
      </c>
      <c r="AM285" s="44">
        <f t="shared" si="122"/>
        <v>1540.7370995698925</v>
      </c>
      <c r="AN285" s="17">
        <f t="shared" si="127"/>
        <v>1</v>
      </c>
      <c r="AO285" s="17"/>
      <c r="AP285" s="1">
        <f t="shared" si="133"/>
        <v>45547</v>
      </c>
      <c r="AQ285" s="119">
        <v>1317.95</v>
      </c>
      <c r="AR285" s="119">
        <v>262.27441270000003</v>
      </c>
      <c r="AS285" s="44"/>
      <c r="AT285" s="119">
        <v>80.213423010752692</v>
      </c>
      <c r="AU285" s="44">
        <f t="shared" si="123"/>
        <v>1660.4378357107528</v>
      </c>
      <c r="AV285" s="17">
        <f t="shared" si="128"/>
        <v>1</v>
      </c>
      <c r="AW285" s="17"/>
      <c r="AX285" s="1">
        <f t="shared" si="134"/>
        <v>45913</v>
      </c>
      <c r="AY285" s="119"/>
      <c r="AZ285" s="119"/>
      <c r="BA285" s="44"/>
      <c r="BB285" s="119"/>
      <c r="BC285" s="44">
        <f t="shared" si="124"/>
        <v>0</v>
      </c>
      <c r="BD285" s="17">
        <f t="shared" si="129"/>
        <v>0</v>
      </c>
    </row>
    <row r="286" spans="1:56" x14ac:dyDescent="0.3">
      <c r="A286" s="17"/>
      <c r="B286" s="1">
        <v>43722</v>
      </c>
      <c r="C286" s="4">
        <v>1120</v>
      </c>
      <c r="D286" s="4">
        <v>192</v>
      </c>
      <c r="E286" s="4"/>
      <c r="F286" s="4">
        <v>75</v>
      </c>
      <c r="G286" s="7">
        <f t="shared" ref="G286:G349" si="139">SUM(C286:F286)</f>
        <v>1387</v>
      </c>
      <c r="H286" s="17">
        <f t="shared" si="136"/>
        <v>0</v>
      </c>
      <c r="J286" s="1">
        <v>44087</v>
      </c>
      <c r="K286" s="101">
        <v>979.19</v>
      </c>
      <c r="L286" s="101">
        <v>176.2</v>
      </c>
      <c r="M286" s="101"/>
      <c r="N286" s="101">
        <v>62.898000000000003</v>
      </c>
      <c r="O286" s="7">
        <f t="shared" ref="O286:O349" si="140">SUM(K286:N286)</f>
        <v>1218.288</v>
      </c>
      <c r="P286" s="17">
        <f t="shared" si="137"/>
        <v>0</v>
      </c>
      <c r="R286" s="1">
        <f t="shared" si="130"/>
        <v>44453</v>
      </c>
      <c r="S286" s="43">
        <v>1157.2302677419354</v>
      </c>
      <c r="T286" s="49">
        <v>234.96868043010753</v>
      </c>
      <c r="U286" s="4"/>
      <c r="V286" s="49">
        <v>90.205633978494618</v>
      </c>
      <c r="W286" s="7">
        <f t="shared" ref="W286:W349" si="141">SUM(S286:V286)</f>
        <v>1482.4045821505376</v>
      </c>
      <c r="X286" s="17">
        <f t="shared" si="125"/>
        <v>1</v>
      </c>
      <c r="Y286" s="17"/>
      <c r="Z286" s="1">
        <f t="shared" si="131"/>
        <v>44818</v>
      </c>
      <c r="AA286" s="116">
        <v>1203.8020860215054</v>
      </c>
      <c r="AB286" s="116">
        <v>242.11017548387096</v>
      </c>
      <c r="AC286" s="101"/>
      <c r="AD286" s="116">
        <v>86.663223655913981</v>
      </c>
      <c r="AE286" s="101">
        <f t="shared" ref="AE286:AE349" si="142">SUM(AA286:AD286)</f>
        <v>1532.5754851612903</v>
      </c>
      <c r="AF286" s="17">
        <f t="shared" si="126"/>
        <v>1</v>
      </c>
      <c r="AH286" s="1">
        <f t="shared" si="132"/>
        <v>45183</v>
      </c>
      <c r="AI286" s="120">
        <v>1207.5569516129033</v>
      </c>
      <c r="AJ286" s="120">
        <v>262.48781118279572</v>
      </c>
      <c r="AK286" s="44"/>
      <c r="AL286" s="120">
        <v>79.882485161290319</v>
      </c>
      <c r="AM286" s="44">
        <f t="shared" ref="AM286:AM349" si="143">SUM(AI286:AL286)</f>
        <v>1549.9272479569893</v>
      </c>
      <c r="AN286" s="17">
        <f t="shared" si="127"/>
        <v>1</v>
      </c>
      <c r="AO286" s="17"/>
      <c r="AP286" s="1">
        <f t="shared" si="133"/>
        <v>45548</v>
      </c>
      <c r="AQ286" s="120">
        <v>1377.721</v>
      </c>
      <c r="AR286" s="120">
        <v>275.22632499999997</v>
      </c>
      <c r="AS286" s="44"/>
      <c r="AT286" s="120">
        <v>86.499344408602155</v>
      </c>
      <c r="AU286" s="44">
        <f t="shared" ref="AU286:AU349" si="144">SUM(AQ286:AT286)</f>
        <v>1739.4466694086022</v>
      </c>
      <c r="AV286" s="17">
        <f t="shared" si="128"/>
        <v>1</v>
      </c>
      <c r="AW286" s="17"/>
      <c r="AX286" s="1">
        <f t="shared" si="134"/>
        <v>45914</v>
      </c>
      <c r="AY286" s="120"/>
      <c r="AZ286" s="120"/>
      <c r="BA286" s="44"/>
      <c r="BB286" s="120"/>
      <c r="BC286" s="44">
        <f t="shared" ref="BC286:BC349" si="145">SUM(AY286:BB286)</f>
        <v>0</v>
      </c>
      <c r="BD286" s="17">
        <f t="shared" si="129"/>
        <v>0</v>
      </c>
    </row>
    <row r="287" spans="1:56" x14ac:dyDescent="0.3">
      <c r="A287" s="17"/>
      <c r="B287" s="1">
        <v>43723</v>
      </c>
      <c r="C287" s="4">
        <v>1086</v>
      </c>
      <c r="D287" s="4">
        <v>204</v>
      </c>
      <c r="E287" s="4"/>
      <c r="F287" s="4">
        <v>69</v>
      </c>
      <c r="G287" s="7">
        <f t="shared" si="139"/>
        <v>1359</v>
      </c>
      <c r="H287" s="17">
        <f t="shared" si="136"/>
        <v>0</v>
      </c>
      <c r="J287" s="1">
        <v>44088</v>
      </c>
      <c r="K287" s="101">
        <v>1069.57</v>
      </c>
      <c r="L287" s="101">
        <v>185.499</v>
      </c>
      <c r="M287" s="101"/>
      <c r="N287" s="101">
        <v>66.759</v>
      </c>
      <c r="O287" s="7">
        <f t="shared" si="140"/>
        <v>1321.828</v>
      </c>
      <c r="P287" s="17">
        <f t="shared" si="137"/>
        <v>0</v>
      </c>
      <c r="R287" s="1">
        <f t="shared" si="130"/>
        <v>44454</v>
      </c>
      <c r="S287" s="43">
        <v>1266.2939844086022</v>
      </c>
      <c r="T287" s="49">
        <v>249.73917677419354</v>
      </c>
      <c r="U287" s="4"/>
      <c r="V287" s="49">
        <v>93.381167311827951</v>
      </c>
      <c r="W287" s="7">
        <f t="shared" si="141"/>
        <v>1609.4143284946238</v>
      </c>
      <c r="X287" s="17">
        <f t="shared" ref="X287:X350" si="146">IF(W287&gt;1476,1,0)</f>
        <v>1</v>
      </c>
      <c r="Y287" s="17"/>
      <c r="Z287" s="1">
        <f t="shared" si="131"/>
        <v>44819</v>
      </c>
      <c r="AA287" s="115">
        <v>1212.0812772043012</v>
      </c>
      <c r="AB287" s="115">
        <v>250.82396258064517</v>
      </c>
      <c r="AC287" s="101"/>
      <c r="AD287" s="115">
        <v>89.395916021505371</v>
      </c>
      <c r="AE287" s="101">
        <f t="shared" si="142"/>
        <v>1552.3011558064518</v>
      </c>
      <c r="AF287" s="17">
        <f t="shared" ref="AF287:AF350" si="147">IF(AE287&gt;1476,1,0)</f>
        <v>1</v>
      </c>
      <c r="AH287" s="1">
        <f t="shared" si="132"/>
        <v>45184</v>
      </c>
      <c r="AI287" s="119">
        <v>1200.3193531182797</v>
      </c>
      <c r="AJ287" s="119">
        <v>261.55965096774196</v>
      </c>
      <c r="AK287" s="44"/>
      <c r="AL287" s="119">
        <v>80.610193548387102</v>
      </c>
      <c r="AM287" s="44">
        <f t="shared" si="143"/>
        <v>1542.4891976344088</v>
      </c>
      <c r="AN287" s="17">
        <f t="shared" ref="AN287:AN350" si="148">IF(AM287&gt;1476,1,0)</f>
        <v>1</v>
      </c>
      <c r="AO287" s="17"/>
      <c r="AP287" s="1">
        <f t="shared" si="133"/>
        <v>45549</v>
      </c>
      <c r="AQ287" s="119">
        <v>1259.0039999999999</v>
      </c>
      <c r="AR287" s="119">
        <v>246.67832619999999</v>
      </c>
      <c r="AS287" s="44"/>
      <c r="AT287" s="119">
        <v>81.177906559139785</v>
      </c>
      <c r="AU287" s="44">
        <f t="shared" si="144"/>
        <v>1586.8602327591395</v>
      </c>
      <c r="AV287" s="17">
        <f t="shared" ref="AV287:AV350" si="149">IF(AU287&gt;1476,1,0)</f>
        <v>1</v>
      </c>
      <c r="AW287" s="17"/>
      <c r="AX287" s="1">
        <f t="shared" si="134"/>
        <v>45915</v>
      </c>
      <c r="AY287" s="119"/>
      <c r="AZ287" s="119"/>
      <c r="BA287" s="44"/>
      <c r="BB287" s="119"/>
      <c r="BC287" s="44">
        <f t="shared" si="145"/>
        <v>0</v>
      </c>
      <c r="BD287" s="17">
        <f t="shared" ref="BD287:BD350" si="150">IF(BC287&gt;1476,1,0)</f>
        <v>0</v>
      </c>
    </row>
    <row r="288" spans="1:56" x14ac:dyDescent="0.3">
      <c r="A288" s="17"/>
      <c r="B288" s="1">
        <v>43724</v>
      </c>
      <c r="C288" s="4">
        <v>1060</v>
      </c>
      <c r="D288" s="4">
        <v>204</v>
      </c>
      <c r="E288" s="4"/>
      <c r="F288" s="4">
        <v>71</v>
      </c>
      <c r="G288" s="7">
        <f t="shared" si="139"/>
        <v>1335</v>
      </c>
      <c r="H288" s="17">
        <f t="shared" si="136"/>
        <v>0</v>
      </c>
      <c r="J288" s="1">
        <v>44089</v>
      </c>
      <c r="K288" s="101">
        <v>1136.58</v>
      </c>
      <c r="L288" s="101">
        <v>202.62</v>
      </c>
      <c r="M288" s="101"/>
      <c r="N288" s="101">
        <v>72.188000000000002</v>
      </c>
      <c r="O288" s="7">
        <f t="shared" si="140"/>
        <v>1411.3879999999999</v>
      </c>
      <c r="P288" s="17">
        <f t="shared" si="137"/>
        <v>0</v>
      </c>
      <c r="R288" s="92">
        <f t="shared" ref="R288:R351" si="151">R287+1</f>
        <v>44455</v>
      </c>
      <c r="S288" s="93">
        <v>1320.7727866666667</v>
      </c>
      <c r="T288" s="94">
        <v>233.33016989247312</v>
      </c>
      <c r="U288" s="95"/>
      <c r="V288" s="94">
        <v>98.315374623655913</v>
      </c>
      <c r="W288" s="7">
        <f t="shared" si="141"/>
        <v>1652.4183311827958</v>
      </c>
      <c r="X288" s="17">
        <f t="shared" si="146"/>
        <v>1</v>
      </c>
      <c r="Y288" s="17"/>
      <c r="Z288" s="1">
        <f t="shared" ref="Z288:Z351" si="152">Z287+1</f>
        <v>44820</v>
      </c>
      <c r="AA288" s="116">
        <v>1217.7652344086021</v>
      </c>
      <c r="AB288" s="116">
        <v>249.6218830107527</v>
      </c>
      <c r="AC288" s="101"/>
      <c r="AD288" s="116">
        <v>85.431511505376349</v>
      </c>
      <c r="AE288" s="101">
        <f t="shared" si="142"/>
        <v>1552.8186289247312</v>
      </c>
      <c r="AF288" s="17">
        <f t="shared" si="147"/>
        <v>1</v>
      </c>
      <c r="AH288" s="1">
        <f t="shared" ref="AH288:AH351" si="153">AH287+1</f>
        <v>45185</v>
      </c>
      <c r="AI288" s="120">
        <v>1240.3994649462365</v>
      </c>
      <c r="AJ288" s="120">
        <v>272.24426215053762</v>
      </c>
      <c r="AK288" s="44"/>
      <c r="AL288" s="120">
        <v>75.909824516129035</v>
      </c>
      <c r="AM288" s="44">
        <f t="shared" si="143"/>
        <v>1588.5535516129032</v>
      </c>
      <c r="AN288" s="17">
        <f t="shared" si="148"/>
        <v>1</v>
      </c>
      <c r="AO288" s="17"/>
      <c r="AP288" s="1">
        <f t="shared" ref="AP288:AP351" si="154">AP287+1</f>
        <v>45550</v>
      </c>
      <c r="AQ288" s="120">
        <v>1151.3030000000001</v>
      </c>
      <c r="AR288" s="120">
        <v>258.47138489999998</v>
      </c>
      <c r="AS288" s="44"/>
      <c r="AT288" s="120">
        <v>71.06327774193548</v>
      </c>
      <c r="AU288" s="44">
        <f t="shared" si="144"/>
        <v>1480.8376626419356</v>
      </c>
      <c r="AV288" s="17">
        <f t="shared" si="149"/>
        <v>1</v>
      </c>
      <c r="AW288" s="17"/>
      <c r="AX288" s="1">
        <f t="shared" ref="AX288:AX351" si="155">AX287+1</f>
        <v>45916</v>
      </c>
      <c r="AY288" s="120"/>
      <c r="AZ288" s="120"/>
      <c r="BA288" s="44"/>
      <c r="BB288" s="120"/>
      <c r="BC288" s="44">
        <f t="shared" si="145"/>
        <v>0</v>
      </c>
      <c r="BD288" s="17">
        <f t="shared" si="150"/>
        <v>0</v>
      </c>
    </row>
    <row r="289" spans="1:56" x14ac:dyDescent="0.3">
      <c r="A289" s="17"/>
      <c r="B289" s="1">
        <v>43725</v>
      </c>
      <c r="C289" s="4">
        <v>994</v>
      </c>
      <c r="D289" s="4">
        <v>196</v>
      </c>
      <c r="E289" s="4"/>
      <c r="F289" s="4">
        <v>69</v>
      </c>
      <c r="G289" s="7">
        <f t="shared" si="139"/>
        <v>1259</v>
      </c>
      <c r="H289" s="17">
        <f t="shared" si="136"/>
        <v>0</v>
      </c>
      <c r="J289" s="1">
        <v>44090</v>
      </c>
      <c r="K289" s="101">
        <v>1210.48</v>
      </c>
      <c r="L289" s="101">
        <v>200.905</v>
      </c>
      <c r="M289" s="101"/>
      <c r="N289" s="101">
        <v>73.739000000000004</v>
      </c>
      <c r="O289" s="7">
        <f t="shared" si="140"/>
        <v>1485.124</v>
      </c>
      <c r="P289" s="17">
        <f t="shared" si="137"/>
        <v>0</v>
      </c>
      <c r="R289" s="1">
        <f t="shared" si="151"/>
        <v>44456</v>
      </c>
      <c r="S289" s="43">
        <v>1138.9480713978494</v>
      </c>
      <c r="T289" s="49">
        <v>211.63624559139785</v>
      </c>
      <c r="U289" s="4"/>
      <c r="V289" s="49">
        <v>65.272575483870966</v>
      </c>
      <c r="W289" s="7">
        <f t="shared" si="141"/>
        <v>1415.8568924731183</v>
      </c>
      <c r="X289" s="17">
        <f t="shared" si="146"/>
        <v>0</v>
      </c>
      <c r="Y289" s="17"/>
      <c r="Z289" s="1">
        <f t="shared" si="152"/>
        <v>44821</v>
      </c>
      <c r="AA289" s="115">
        <v>1092.1758572043011</v>
      </c>
      <c r="AB289" s="115">
        <v>224.17700559139786</v>
      </c>
      <c r="AC289" s="101"/>
      <c r="AD289" s="115">
        <v>75.425337204301073</v>
      </c>
      <c r="AE289" s="101">
        <f t="shared" si="142"/>
        <v>1391.7782</v>
      </c>
      <c r="AF289" s="17">
        <f t="shared" si="147"/>
        <v>0</v>
      </c>
      <c r="AH289" s="1">
        <f t="shared" si="153"/>
        <v>45186</v>
      </c>
      <c r="AI289" s="119">
        <v>1224.5766408602151</v>
      </c>
      <c r="AJ289" s="119">
        <v>268.78289118279571</v>
      </c>
      <c r="AK289" s="44"/>
      <c r="AL289" s="119">
        <v>76.721873548387094</v>
      </c>
      <c r="AM289" s="44">
        <f t="shared" si="143"/>
        <v>1570.0814055913979</v>
      </c>
      <c r="AN289" s="17">
        <f t="shared" si="148"/>
        <v>1</v>
      </c>
      <c r="AO289" s="17"/>
      <c r="AP289" s="1">
        <f t="shared" si="154"/>
        <v>45551</v>
      </c>
      <c r="AQ289" s="119">
        <v>1171.123</v>
      </c>
      <c r="AR289" s="119">
        <v>228.489744</v>
      </c>
      <c r="AS289" s="44"/>
      <c r="AT289" s="119">
        <v>68.730548172043015</v>
      </c>
      <c r="AU289" s="44">
        <f t="shared" si="144"/>
        <v>1468.343292172043</v>
      </c>
      <c r="AV289" s="17">
        <f t="shared" si="149"/>
        <v>0</v>
      </c>
      <c r="AW289" s="17"/>
      <c r="AX289" s="1">
        <f t="shared" si="155"/>
        <v>45917</v>
      </c>
      <c r="AY289" s="119"/>
      <c r="AZ289" s="119"/>
      <c r="BA289" s="44"/>
      <c r="BB289" s="119"/>
      <c r="BC289" s="44">
        <f t="shared" si="145"/>
        <v>0</v>
      </c>
      <c r="BD289" s="17">
        <f t="shared" si="150"/>
        <v>0</v>
      </c>
    </row>
    <row r="290" spans="1:56" x14ac:dyDescent="0.3">
      <c r="A290" s="17"/>
      <c r="B290" s="1">
        <v>43726</v>
      </c>
      <c r="C290" s="4">
        <v>960</v>
      </c>
      <c r="D290" s="4">
        <v>187</v>
      </c>
      <c r="E290" s="4"/>
      <c r="F290" s="4">
        <v>55</v>
      </c>
      <c r="G290" s="7">
        <f t="shared" si="139"/>
        <v>1202</v>
      </c>
      <c r="H290" s="17">
        <f t="shared" si="136"/>
        <v>0</v>
      </c>
      <c r="J290" s="1">
        <v>44091</v>
      </c>
      <c r="K290" s="101">
        <v>1134.18</v>
      </c>
      <c r="L290" s="101">
        <v>205.98599999999999</v>
      </c>
      <c r="M290" s="101"/>
      <c r="N290" s="101">
        <v>72.947999999999993</v>
      </c>
      <c r="O290" s="7">
        <f t="shared" si="140"/>
        <v>1413.1140000000003</v>
      </c>
      <c r="P290" s="17">
        <f t="shared" si="137"/>
        <v>0</v>
      </c>
      <c r="R290" s="1">
        <f t="shared" si="151"/>
        <v>44457</v>
      </c>
      <c r="S290" s="43">
        <v>969.76100419354839</v>
      </c>
      <c r="T290" s="49">
        <v>199.83377849462366</v>
      </c>
      <c r="U290" s="4"/>
      <c r="V290" s="49">
        <v>54.724844731182799</v>
      </c>
      <c r="W290" s="7">
        <f t="shared" si="141"/>
        <v>1224.3196274193549</v>
      </c>
      <c r="X290" s="17">
        <f t="shared" si="146"/>
        <v>0</v>
      </c>
      <c r="Y290" s="17"/>
      <c r="Z290" s="1">
        <f t="shared" si="152"/>
        <v>44822</v>
      </c>
      <c r="AA290" s="116">
        <v>1004.1508815053763</v>
      </c>
      <c r="AB290" s="116">
        <v>218.97968817204301</v>
      </c>
      <c r="AC290" s="101"/>
      <c r="AD290" s="116">
        <v>59.873754731182792</v>
      </c>
      <c r="AE290" s="101">
        <f t="shared" si="142"/>
        <v>1283.0043244086021</v>
      </c>
      <c r="AF290" s="17">
        <f t="shared" si="147"/>
        <v>0</v>
      </c>
      <c r="AH290" s="1">
        <f t="shared" si="153"/>
        <v>45187</v>
      </c>
      <c r="AI290" s="120">
        <v>1210.9824268817204</v>
      </c>
      <c r="AJ290" s="120">
        <v>253.41337849462366</v>
      </c>
      <c r="AK290" s="44"/>
      <c r="AL290" s="120">
        <v>67.666067096774199</v>
      </c>
      <c r="AM290" s="44">
        <f t="shared" si="143"/>
        <v>1532.0618724731182</v>
      </c>
      <c r="AN290" s="17">
        <f t="shared" si="148"/>
        <v>1</v>
      </c>
      <c r="AO290" s="17"/>
      <c r="AP290" s="1">
        <f t="shared" si="154"/>
        <v>45552</v>
      </c>
      <c r="AQ290" s="120">
        <v>1272.1120000000001</v>
      </c>
      <c r="AR290" s="120">
        <v>255.12972869999999</v>
      </c>
      <c r="AS290" s="44"/>
      <c r="AT290" s="120">
        <v>69.776217204301076</v>
      </c>
      <c r="AU290" s="44">
        <f t="shared" si="144"/>
        <v>1597.0179459043011</v>
      </c>
      <c r="AV290" s="17">
        <f t="shared" si="149"/>
        <v>1</v>
      </c>
      <c r="AW290" s="17"/>
      <c r="AX290" s="1">
        <f t="shared" si="155"/>
        <v>45918</v>
      </c>
      <c r="AY290" s="120"/>
      <c r="AZ290" s="120"/>
      <c r="BA290" s="44"/>
      <c r="BB290" s="120"/>
      <c r="BC290" s="44">
        <f t="shared" si="145"/>
        <v>0</v>
      </c>
      <c r="BD290" s="17">
        <f t="shared" si="150"/>
        <v>0</v>
      </c>
    </row>
    <row r="291" spans="1:56" x14ac:dyDescent="0.3">
      <c r="A291" s="17"/>
      <c r="B291" s="1">
        <v>43727</v>
      </c>
      <c r="C291" s="4">
        <v>998</v>
      </c>
      <c r="D291" s="4">
        <v>201</v>
      </c>
      <c r="E291" s="4"/>
      <c r="F291" s="4">
        <v>54</v>
      </c>
      <c r="G291" s="7">
        <f t="shared" si="139"/>
        <v>1253</v>
      </c>
      <c r="H291" s="17">
        <f t="shared" si="136"/>
        <v>0</v>
      </c>
      <c r="J291" s="1">
        <v>44092</v>
      </c>
      <c r="K291" s="101">
        <v>1112.04</v>
      </c>
      <c r="L291" s="101">
        <v>234.363</v>
      </c>
      <c r="M291" s="101"/>
      <c r="N291" s="101">
        <v>68.447000000000003</v>
      </c>
      <c r="O291" s="7">
        <f t="shared" si="140"/>
        <v>1414.85</v>
      </c>
      <c r="P291" s="17">
        <f t="shared" si="137"/>
        <v>0</v>
      </c>
      <c r="R291" s="1">
        <f t="shared" si="151"/>
        <v>44458</v>
      </c>
      <c r="S291" s="43">
        <v>1003.1358510752688</v>
      </c>
      <c r="T291" s="49">
        <v>204.5242877419355</v>
      </c>
      <c r="U291" s="4"/>
      <c r="V291" s="49">
        <v>58.212000860215056</v>
      </c>
      <c r="W291" s="7">
        <f t="shared" si="141"/>
        <v>1265.8721396774195</v>
      </c>
      <c r="X291" s="17">
        <f t="shared" si="146"/>
        <v>0</v>
      </c>
      <c r="Y291" s="17"/>
      <c r="Z291" s="1">
        <f t="shared" si="152"/>
        <v>44823</v>
      </c>
      <c r="AA291" s="115">
        <v>1052.8858017204302</v>
      </c>
      <c r="AB291" s="115">
        <v>221.26105978494624</v>
      </c>
      <c r="AC291" s="101"/>
      <c r="AD291" s="115">
        <v>59.634765806451611</v>
      </c>
      <c r="AE291" s="101">
        <f t="shared" si="142"/>
        <v>1333.7816273118281</v>
      </c>
      <c r="AF291" s="17">
        <f t="shared" si="147"/>
        <v>0</v>
      </c>
      <c r="AH291" s="1">
        <f t="shared" si="153"/>
        <v>45188</v>
      </c>
      <c r="AI291" s="119">
        <v>1163.5221593548388</v>
      </c>
      <c r="AJ291" s="119">
        <v>250.32634838709677</v>
      </c>
      <c r="AK291" s="44"/>
      <c r="AL291" s="119">
        <v>65.932758709677415</v>
      </c>
      <c r="AM291" s="44">
        <f t="shared" si="143"/>
        <v>1479.781266451613</v>
      </c>
      <c r="AN291" s="17">
        <f t="shared" si="148"/>
        <v>1</v>
      </c>
      <c r="AO291" s="17"/>
      <c r="AP291" s="1">
        <f t="shared" si="154"/>
        <v>45553</v>
      </c>
      <c r="AQ291" s="119">
        <v>1190.644</v>
      </c>
      <c r="AR291" s="119">
        <v>244.0335297</v>
      </c>
      <c r="AS291" s="44"/>
      <c r="AT291" s="119">
        <v>66.543952473118281</v>
      </c>
      <c r="AU291" s="44">
        <f t="shared" si="144"/>
        <v>1501.2214821731181</v>
      </c>
      <c r="AV291" s="17">
        <f t="shared" si="149"/>
        <v>1</v>
      </c>
      <c r="AW291" s="17"/>
      <c r="AX291" s="1">
        <f t="shared" si="155"/>
        <v>45919</v>
      </c>
      <c r="AY291" s="119"/>
      <c r="AZ291" s="119"/>
      <c r="BA291" s="44"/>
      <c r="BB291" s="119"/>
      <c r="BC291" s="44">
        <f t="shared" si="145"/>
        <v>0</v>
      </c>
      <c r="BD291" s="17">
        <f t="shared" si="150"/>
        <v>0</v>
      </c>
    </row>
    <row r="292" spans="1:56" x14ac:dyDescent="0.3">
      <c r="A292" s="17"/>
      <c r="B292" s="1">
        <v>43728</v>
      </c>
      <c r="C292" s="4">
        <v>1111</v>
      </c>
      <c r="D292" s="4">
        <v>207</v>
      </c>
      <c r="E292" s="4"/>
      <c r="F292" s="4">
        <v>57</v>
      </c>
      <c r="G292" s="7">
        <f t="shared" si="139"/>
        <v>1375</v>
      </c>
      <c r="H292" s="17">
        <f t="shared" si="136"/>
        <v>0</v>
      </c>
      <c r="J292" s="1">
        <v>44093</v>
      </c>
      <c r="K292" s="101">
        <v>999.09</v>
      </c>
      <c r="L292" s="101">
        <v>203.67599999999999</v>
      </c>
      <c r="M292" s="101"/>
      <c r="N292" s="101">
        <v>60.837000000000003</v>
      </c>
      <c r="O292" s="7">
        <f t="shared" si="140"/>
        <v>1263.6030000000001</v>
      </c>
      <c r="P292" s="17">
        <f t="shared" si="137"/>
        <v>0</v>
      </c>
      <c r="R292" s="1">
        <f t="shared" si="151"/>
        <v>44459</v>
      </c>
      <c r="S292" s="43">
        <v>1047.3475301075268</v>
      </c>
      <c r="T292" s="49">
        <v>195.07599526881719</v>
      </c>
      <c r="U292" s="4"/>
      <c r="V292" s="49">
        <v>75.383603010752694</v>
      </c>
      <c r="W292" s="7">
        <f t="shared" si="141"/>
        <v>1317.8071283870968</v>
      </c>
      <c r="X292" s="17">
        <f t="shared" si="146"/>
        <v>0</v>
      </c>
      <c r="Y292" s="17"/>
      <c r="Z292" s="1">
        <f t="shared" si="152"/>
        <v>44824</v>
      </c>
      <c r="AA292" s="116">
        <v>1124.8178333333333</v>
      </c>
      <c r="AB292" s="116">
        <v>222.68601419354837</v>
      </c>
      <c r="AC292" s="101"/>
      <c r="AD292" s="116">
        <v>75.740023978494619</v>
      </c>
      <c r="AE292" s="101">
        <f t="shared" si="142"/>
        <v>1423.2438715053763</v>
      </c>
      <c r="AF292" s="17">
        <f t="shared" si="147"/>
        <v>0</v>
      </c>
      <c r="AH292" s="1">
        <f t="shared" si="153"/>
        <v>45189</v>
      </c>
      <c r="AI292" s="120">
        <v>1253.3301212903225</v>
      </c>
      <c r="AJ292" s="120">
        <v>259.82640150537634</v>
      </c>
      <c r="AK292" s="44"/>
      <c r="AL292" s="120">
        <v>74.219767741935485</v>
      </c>
      <c r="AM292" s="44">
        <f t="shared" si="143"/>
        <v>1587.3762905376345</v>
      </c>
      <c r="AN292" s="17">
        <f t="shared" si="148"/>
        <v>1</v>
      </c>
      <c r="AO292" s="17"/>
      <c r="AP292" s="1">
        <f t="shared" si="154"/>
        <v>45554</v>
      </c>
      <c r="AQ292" s="120">
        <v>1116.0219999999999</v>
      </c>
      <c r="AR292" s="120">
        <v>242.99657909999999</v>
      </c>
      <c r="AS292" s="44"/>
      <c r="AT292" s="120">
        <v>61.525607096774195</v>
      </c>
      <c r="AU292" s="44">
        <f t="shared" si="144"/>
        <v>1420.544186196774</v>
      </c>
      <c r="AV292" s="17">
        <f t="shared" si="149"/>
        <v>0</v>
      </c>
      <c r="AW292" s="17"/>
      <c r="AX292" s="1">
        <f t="shared" si="155"/>
        <v>45920</v>
      </c>
      <c r="AY292" s="120"/>
      <c r="AZ292" s="120"/>
      <c r="BA292" s="44"/>
      <c r="BB292" s="120"/>
      <c r="BC292" s="44">
        <f t="shared" si="145"/>
        <v>0</v>
      </c>
      <c r="BD292" s="17">
        <f t="shared" si="150"/>
        <v>0</v>
      </c>
    </row>
    <row r="293" spans="1:56" x14ac:dyDescent="0.3">
      <c r="A293" s="17"/>
      <c r="B293" s="1">
        <v>43729</v>
      </c>
      <c r="C293" s="4">
        <v>1104</v>
      </c>
      <c r="D293" s="4">
        <v>226</v>
      </c>
      <c r="E293" s="4"/>
      <c r="F293" s="4">
        <v>66</v>
      </c>
      <c r="G293" s="7">
        <f t="shared" si="139"/>
        <v>1396</v>
      </c>
      <c r="H293" s="17">
        <f t="shared" si="136"/>
        <v>0</v>
      </c>
      <c r="J293" s="1">
        <v>44094</v>
      </c>
      <c r="K293" s="101">
        <v>923.32</v>
      </c>
      <c r="L293" s="101">
        <v>169.386</v>
      </c>
      <c r="M293" s="101"/>
      <c r="N293" s="101">
        <v>54.86</v>
      </c>
      <c r="O293" s="7">
        <f t="shared" si="140"/>
        <v>1147.566</v>
      </c>
      <c r="P293" s="17">
        <f t="shared" si="137"/>
        <v>0</v>
      </c>
      <c r="R293" s="1">
        <f t="shared" si="151"/>
        <v>44460</v>
      </c>
      <c r="S293" s="43">
        <v>857.90643494623657</v>
      </c>
      <c r="T293" s="49">
        <v>175.62786838709678</v>
      </c>
      <c r="U293" s="4"/>
      <c r="V293" s="49">
        <v>80.247722150537641</v>
      </c>
      <c r="W293" s="7">
        <f t="shared" si="141"/>
        <v>1113.7820254838709</v>
      </c>
      <c r="X293" s="17">
        <f t="shared" si="146"/>
        <v>0</v>
      </c>
      <c r="Y293" s="17"/>
      <c r="Z293" s="1">
        <f t="shared" si="152"/>
        <v>44825</v>
      </c>
      <c r="AA293" s="115">
        <v>1138.9908445161291</v>
      </c>
      <c r="AB293" s="115">
        <v>223.29066537634409</v>
      </c>
      <c r="AC293" s="101"/>
      <c r="AD293" s="115">
        <v>87.646214301075275</v>
      </c>
      <c r="AE293" s="101">
        <f t="shared" si="142"/>
        <v>1449.9277241935486</v>
      </c>
      <c r="AF293" s="17">
        <f t="shared" si="147"/>
        <v>0</v>
      </c>
      <c r="AH293" s="1">
        <f t="shared" si="153"/>
        <v>45190</v>
      </c>
      <c r="AI293" s="119">
        <v>1252.1322305376343</v>
      </c>
      <c r="AJ293" s="119">
        <v>259.43872795698923</v>
      </c>
      <c r="AK293" s="44"/>
      <c r="AL293" s="119">
        <v>80.012240000000006</v>
      </c>
      <c r="AM293" s="44">
        <f t="shared" si="143"/>
        <v>1591.5831984946235</v>
      </c>
      <c r="AN293" s="17">
        <f t="shared" si="148"/>
        <v>1</v>
      </c>
      <c r="AO293" s="17"/>
      <c r="AP293" s="1">
        <f t="shared" si="154"/>
        <v>45555</v>
      </c>
      <c r="AQ293" s="119">
        <v>1225.347</v>
      </c>
      <c r="AR293" s="119">
        <v>251.07984999999999</v>
      </c>
      <c r="AS293" s="44"/>
      <c r="AT293" s="119">
        <v>65.514520537634411</v>
      </c>
      <c r="AU293" s="44">
        <f t="shared" si="144"/>
        <v>1541.9413705376344</v>
      </c>
      <c r="AV293" s="17">
        <f t="shared" si="149"/>
        <v>1</v>
      </c>
      <c r="AW293" s="17"/>
      <c r="AX293" s="1">
        <f t="shared" si="155"/>
        <v>45921</v>
      </c>
      <c r="AY293" s="119"/>
      <c r="AZ293" s="119"/>
      <c r="BA293" s="44"/>
      <c r="BB293" s="119"/>
      <c r="BC293" s="44">
        <f t="shared" si="145"/>
        <v>0</v>
      </c>
      <c r="BD293" s="17">
        <f t="shared" si="150"/>
        <v>0</v>
      </c>
    </row>
    <row r="294" spans="1:56" x14ac:dyDescent="0.3">
      <c r="A294" s="17"/>
      <c r="B294" s="1">
        <v>43730</v>
      </c>
      <c r="C294" s="4">
        <v>1024</v>
      </c>
      <c r="D294" s="4">
        <v>204</v>
      </c>
      <c r="E294" s="4"/>
      <c r="F294" s="4">
        <v>62</v>
      </c>
      <c r="G294" s="7">
        <f t="shared" si="139"/>
        <v>1290</v>
      </c>
      <c r="H294" s="17">
        <f t="shared" si="136"/>
        <v>0</v>
      </c>
      <c r="J294" s="1">
        <v>44095</v>
      </c>
      <c r="K294" s="101">
        <v>1001.96</v>
      </c>
      <c r="L294" s="101">
        <v>186.20099999999999</v>
      </c>
      <c r="M294" s="101"/>
      <c r="N294" s="101">
        <v>60.052999999999997</v>
      </c>
      <c r="O294" s="7">
        <f t="shared" si="140"/>
        <v>1248.2139999999999</v>
      </c>
      <c r="P294" s="17">
        <f t="shared" si="137"/>
        <v>0</v>
      </c>
      <c r="R294" s="1">
        <f t="shared" si="151"/>
        <v>44461</v>
      </c>
      <c r="S294" s="43">
        <v>967.20091978494622</v>
      </c>
      <c r="T294" s="49">
        <v>196.98816946236559</v>
      </c>
      <c r="U294" s="4"/>
      <c r="V294" s="49">
        <v>78.050188387096767</v>
      </c>
      <c r="W294" s="7">
        <f t="shared" si="141"/>
        <v>1242.2392776344086</v>
      </c>
      <c r="X294" s="17">
        <f t="shared" si="146"/>
        <v>0</v>
      </c>
      <c r="Y294" s="17"/>
      <c r="Z294" s="1">
        <f t="shared" si="152"/>
        <v>44826</v>
      </c>
      <c r="AA294" s="116">
        <v>1104.1401144086021</v>
      </c>
      <c r="AB294" s="116">
        <v>207.98040215053763</v>
      </c>
      <c r="AC294" s="101"/>
      <c r="AD294" s="116">
        <v>84.403102150537634</v>
      </c>
      <c r="AE294" s="101">
        <f t="shared" si="142"/>
        <v>1396.5236187096775</v>
      </c>
      <c r="AF294" s="17">
        <f t="shared" si="147"/>
        <v>0</v>
      </c>
      <c r="AH294" s="1">
        <f t="shared" si="153"/>
        <v>45191</v>
      </c>
      <c r="AI294" s="120">
        <v>1138.1838982795698</v>
      </c>
      <c r="AJ294" s="120">
        <v>247.99312795698924</v>
      </c>
      <c r="AK294" s="44"/>
      <c r="AL294" s="120">
        <v>81.478469677419355</v>
      </c>
      <c r="AM294" s="44">
        <f t="shared" si="143"/>
        <v>1467.6554959139783</v>
      </c>
      <c r="AN294" s="17">
        <f t="shared" si="148"/>
        <v>0</v>
      </c>
      <c r="AO294" s="17"/>
      <c r="AP294" s="1">
        <f t="shared" si="154"/>
        <v>45556</v>
      </c>
      <c r="AQ294" s="120">
        <v>1302.885</v>
      </c>
      <c r="AR294" s="120">
        <v>270.7569775</v>
      </c>
      <c r="AS294" s="44"/>
      <c r="AT294" s="120">
        <v>66.475756666666669</v>
      </c>
      <c r="AU294" s="44">
        <f t="shared" si="144"/>
        <v>1640.1177341666667</v>
      </c>
      <c r="AV294" s="17">
        <f t="shared" si="149"/>
        <v>1</v>
      </c>
      <c r="AW294" s="17"/>
      <c r="AX294" s="1">
        <f t="shared" si="155"/>
        <v>45922</v>
      </c>
      <c r="AY294" s="120"/>
      <c r="AZ294" s="120"/>
      <c r="BA294" s="44"/>
      <c r="BB294" s="120"/>
      <c r="BC294" s="44">
        <f t="shared" si="145"/>
        <v>0</v>
      </c>
      <c r="BD294" s="17">
        <f t="shared" si="150"/>
        <v>0</v>
      </c>
    </row>
    <row r="295" spans="1:56" x14ac:dyDescent="0.3">
      <c r="A295" s="17"/>
      <c r="B295" s="1">
        <v>43731</v>
      </c>
      <c r="C295" s="4">
        <v>987</v>
      </c>
      <c r="D295" s="4">
        <v>175</v>
      </c>
      <c r="E295" s="4"/>
      <c r="F295" s="4">
        <v>66</v>
      </c>
      <c r="G295" s="7">
        <f t="shared" si="139"/>
        <v>1228</v>
      </c>
      <c r="H295" s="17">
        <f t="shared" si="136"/>
        <v>0</v>
      </c>
      <c r="J295" s="1">
        <v>44096</v>
      </c>
      <c r="K295" s="101">
        <v>980.48</v>
      </c>
      <c r="L295" s="101">
        <v>187.85599999999999</v>
      </c>
      <c r="M295" s="101"/>
      <c r="N295" s="101">
        <v>64.396000000000001</v>
      </c>
      <c r="O295" s="7">
        <f t="shared" si="140"/>
        <v>1232.732</v>
      </c>
      <c r="P295" s="17">
        <f t="shared" si="137"/>
        <v>0</v>
      </c>
      <c r="R295" s="1">
        <f t="shared" si="151"/>
        <v>44462</v>
      </c>
      <c r="S295" s="43">
        <v>1035.0869407526882</v>
      </c>
      <c r="T295" s="49">
        <v>207.55509118279571</v>
      </c>
      <c r="U295" s="4"/>
      <c r="V295" s="49">
        <v>83.922498924731187</v>
      </c>
      <c r="W295" s="7">
        <f t="shared" si="141"/>
        <v>1326.564530860215</v>
      </c>
      <c r="X295" s="17">
        <f t="shared" si="146"/>
        <v>0</v>
      </c>
      <c r="Y295" s="17"/>
      <c r="Z295" s="1">
        <f t="shared" si="152"/>
        <v>44827</v>
      </c>
      <c r="AA295" s="115">
        <v>1130.7791834408602</v>
      </c>
      <c r="AB295" s="115">
        <v>218.66910795698925</v>
      </c>
      <c r="AC295" s="101"/>
      <c r="AD295" s="115">
        <v>83.583402580645156</v>
      </c>
      <c r="AE295" s="101">
        <f t="shared" si="142"/>
        <v>1433.0316939784948</v>
      </c>
      <c r="AF295" s="17">
        <f t="shared" si="147"/>
        <v>0</v>
      </c>
      <c r="AH295" s="1">
        <f t="shared" si="153"/>
        <v>45192</v>
      </c>
      <c r="AI295" s="119">
        <v>1094.7829215053764</v>
      </c>
      <c r="AJ295" s="119">
        <v>259.15669032258063</v>
      </c>
      <c r="AK295" s="44"/>
      <c r="AL295" s="119">
        <v>79.446725161290317</v>
      </c>
      <c r="AM295" s="44">
        <f t="shared" si="143"/>
        <v>1433.3863369892472</v>
      </c>
      <c r="AN295" s="17">
        <f t="shared" si="148"/>
        <v>0</v>
      </c>
      <c r="AO295" s="17"/>
      <c r="AP295" s="1">
        <f t="shared" si="154"/>
        <v>45557</v>
      </c>
      <c r="AQ295" s="119">
        <v>1212.5609999999999</v>
      </c>
      <c r="AR295" s="119">
        <v>264.88645919999999</v>
      </c>
      <c r="AS295" s="44"/>
      <c r="AT295" s="119">
        <v>72.418534086021509</v>
      </c>
      <c r="AU295" s="44">
        <f t="shared" si="144"/>
        <v>1549.8659932860214</v>
      </c>
      <c r="AV295" s="17">
        <f t="shared" si="149"/>
        <v>1</v>
      </c>
      <c r="AW295" s="17"/>
      <c r="AX295" s="1">
        <f t="shared" si="155"/>
        <v>45923</v>
      </c>
      <c r="AY295" s="119"/>
      <c r="AZ295" s="119"/>
      <c r="BA295" s="44"/>
      <c r="BB295" s="119"/>
      <c r="BC295" s="44">
        <f t="shared" si="145"/>
        <v>0</v>
      </c>
      <c r="BD295" s="17">
        <f t="shared" si="150"/>
        <v>0</v>
      </c>
    </row>
    <row r="296" spans="1:56" x14ac:dyDescent="0.3">
      <c r="A296" s="17"/>
      <c r="B296" s="1">
        <v>43732</v>
      </c>
      <c r="C296" s="4">
        <v>932</v>
      </c>
      <c r="D296" s="4">
        <v>145</v>
      </c>
      <c r="E296" s="4"/>
      <c r="F296" s="4">
        <v>67</v>
      </c>
      <c r="G296" s="7">
        <f t="shared" si="139"/>
        <v>1144</v>
      </c>
      <c r="H296" s="17">
        <f t="shared" si="136"/>
        <v>0</v>
      </c>
      <c r="J296" s="1">
        <v>44097</v>
      </c>
      <c r="K296" s="101">
        <v>967.02</v>
      </c>
      <c r="L296" s="101">
        <v>180.02500000000001</v>
      </c>
      <c r="M296" s="101"/>
      <c r="N296" s="101">
        <v>66.384</v>
      </c>
      <c r="O296" s="7">
        <f t="shared" si="140"/>
        <v>1213.4290000000001</v>
      </c>
      <c r="P296" s="17">
        <f t="shared" si="137"/>
        <v>0</v>
      </c>
      <c r="R296" s="1">
        <f t="shared" si="151"/>
        <v>44463</v>
      </c>
      <c r="S296" s="43">
        <v>937.26390053763441</v>
      </c>
      <c r="T296" s="49">
        <v>195.46444258064517</v>
      </c>
      <c r="U296" s="4"/>
      <c r="V296" s="49">
        <v>82.914307526881714</v>
      </c>
      <c r="W296" s="7">
        <f t="shared" si="141"/>
        <v>1215.6426506451612</v>
      </c>
      <c r="X296" s="17">
        <f t="shared" si="146"/>
        <v>0</v>
      </c>
      <c r="Y296" s="17"/>
      <c r="Z296" s="1">
        <f t="shared" si="152"/>
        <v>44828</v>
      </c>
      <c r="AA296" s="116">
        <v>1146.4181174193548</v>
      </c>
      <c r="AB296" s="116">
        <v>237.88484</v>
      </c>
      <c r="AC296" s="101"/>
      <c r="AD296" s="116">
        <v>84.167357419354843</v>
      </c>
      <c r="AE296" s="101">
        <f t="shared" si="142"/>
        <v>1468.4703148387096</v>
      </c>
      <c r="AF296" s="17">
        <f t="shared" si="147"/>
        <v>0</v>
      </c>
      <c r="AH296" s="1">
        <f t="shared" si="153"/>
        <v>45193</v>
      </c>
      <c r="AI296" s="120">
        <v>1053.0618634408602</v>
      </c>
      <c r="AJ296" s="120">
        <v>228.57560602150537</v>
      </c>
      <c r="AK296" s="44"/>
      <c r="AL296" s="120">
        <v>69.822159999999997</v>
      </c>
      <c r="AM296" s="44">
        <f t="shared" si="143"/>
        <v>1351.4596294623655</v>
      </c>
      <c r="AN296" s="17">
        <f t="shared" si="148"/>
        <v>0</v>
      </c>
      <c r="AO296" s="17"/>
      <c r="AP296" s="1">
        <f t="shared" si="154"/>
        <v>45558</v>
      </c>
      <c r="AQ296" s="120">
        <v>1347.5329999999999</v>
      </c>
      <c r="AR296" s="120">
        <v>281.00164560000002</v>
      </c>
      <c r="AS296" s="44"/>
      <c r="AT296" s="120">
        <v>85.743778172043008</v>
      </c>
      <c r="AU296" s="44">
        <f t="shared" si="144"/>
        <v>1714.278423772043</v>
      </c>
      <c r="AV296" s="17">
        <f t="shared" si="149"/>
        <v>1</v>
      </c>
      <c r="AW296" s="17"/>
      <c r="AX296" s="1">
        <f t="shared" si="155"/>
        <v>45924</v>
      </c>
      <c r="AY296" s="120"/>
      <c r="AZ296" s="120"/>
      <c r="BA296" s="44"/>
      <c r="BB296" s="120"/>
      <c r="BC296" s="44">
        <f t="shared" si="145"/>
        <v>0</v>
      </c>
      <c r="BD296" s="17">
        <f t="shared" si="150"/>
        <v>0</v>
      </c>
    </row>
    <row r="297" spans="1:56" x14ac:dyDescent="0.3">
      <c r="A297" s="17"/>
      <c r="B297" s="1">
        <v>43733</v>
      </c>
      <c r="C297" s="4">
        <v>1044</v>
      </c>
      <c r="D297" s="4">
        <v>177</v>
      </c>
      <c r="E297" s="4"/>
      <c r="F297" s="4">
        <v>68</v>
      </c>
      <c r="G297" s="7">
        <f t="shared" si="139"/>
        <v>1289</v>
      </c>
      <c r="H297" s="17">
        <f t="shared" si="136"/>
        <v>0</v>
      </c>
      <c r="J297" s="1">
        <v>44098</v>
      </c>
      <c r="K297" s="101">
        <v>1032.08</v>
      </c>
      <c r="L297" s="101">
        <v>179.97800000000001</v>
      </c>
      <c r="M297" s="101"/>
      <c r="N297" s="101">
        <v>65.876000000000005</v>
      </c>
      <c r="O297" s="7">
        <f t="shared" si="140"/>
        <v>1277.934</v>
      </c>
      <c r="P297" s="17">
        <f t="shared" si="137"/>
        <v>0</v>
      </c>
      <c r="R297" s="1">
        <f t="shared" si="151"/>
        <v>44464</v>
      </c>
      <c r="S297" s="43">
        <v>980.04770150537638</v>
      </c>
      <c r="T297" s="49">
        <v>218.48233333333334</v>
      </c>
      <c r="U297" s="4"/>
      <c r="V297" s="49">
        <v>83.905246451612896</v>
      </c>
      <c r="W297" s="7">
        <f t="shared" si="141"/>
        <v>1282.4352812903226</v>
      </c>
      <c r="X297" s="17">
        <f t="shared" si="146"/>
        <v>0</v>
      </c>
      <c r="Y297" s="17"/>
      <c r="Z297" s="1">
        <f t="shared" si="152"/>
        <v>44829</v>
      </c>
      <c r="AA297" s="115">
        <v>1089.4060838709677</v>
      </c>
      <c r="AB297" s="115">
        <v>209.66640903225806</v>
      </c>
      <c r="AC297" s="101"/>
      <c r="AD297" s="115">
        <v>78.800379892473117</v>
      </c>
      <c r="AE297" s="101">
        <f t="shared" si="142"/>
        <v>1377.8728727956989</v>
      </c>
      <c r="AF297" s="17">
        <f t="shared" si="147"/>
        <v>0</v>
      </c>
      <c r="AH297" s="1">
        <f t="shared" si="153"/>
        <v>45194</v>
      </c>
      <c r="AI297" s="119">
        <v>1089.5001002150539</v>
      </c>
      <c r="AJ297" s="119">
        <v>241.94111311827956</v>
      </c>
      <c r="AK297" s="44"/>
      <c r="AL297" s="119">
        <v>75.110750967741936</v>
      </c>
      <c r="AM297" s="44">
        <f t="shared" si="143"/>
        <v>1406.5519643010755</v>
      </c>
      <c r="AN297" s="17">
        <f t="shared" si="148"/>
        <v>0</v>
      </c>
      <c r="AO297" s="17"/>
      <c r="AP297" s="1">
        <f t="shared" si="154"/>
        <v>45559</v>
      </c>
      <c r="AQ297" s="119">
        <v>1439.8489999999999</v>
      </c>
      <c r="AR297" s="119">
        <v>305.97336769999998</v>
      </c>
      <c r="AS297" s="44"/>
      <c r="AT297" s="119">
        <v>90.385422903225802</v>
      </c>
      <c r="AU297" s="44">
        <f t="shared" si="144"/>
        <v>1836.2077906032257</v>
      </c>
      <c r="AV297" s="17">
        <f t="shared" si="149"/>
        <v>1</v>
      </c>
      <c r="AW297" s="17"/>
      <c r="AX297" s="1">
        <f t="shared" si="155"/>
        <v>45925</v>
      </c>
      <c r="AY297" s="119"/>
      <c r="AZ297" s="119"/>
      <c r="BA297" s="44"/>
      <c r="BB297" s="119"/>
      <c r="BC297" s="44">
        <f t="shared" si="145"/>
        <v>0</v>
      </c>
      <c r="BD297" s="17">
        <f t="shared" si="150"/>
        <v>0</v>
      </c>
    </row>
    <row r="298" spans="1:56" x14ac:dyDescent="0.3">
      <c r="A298" s="17"/>
      <c r="B298" s="1">
        <v>43734</v>
      </c>
      <c r="C298" s="4">
        <v>975</v>
      </c>
      <c r="D298" s="4">
        <v>164</v>
      </c>
      <c r="E298" s="4"/>
      <c r="F298" s="4">
        <v>69</v>
      </c>
      <c r="G298" s="7">
        <f t="shared" si="139"/>
        <v>1208</v>
      </c>
      <c r="H298" s="17">
        <f t="shared" si="136"/>
        <v>0</v>
      </c>
      <c r="J298" s="1">
        <v>44099</v>
      </c>
      <c r="K298" s="101">
        <v>988.38</v>
      </c>
      <c r="L298" s="101">
        <v>164.05799999999999</v>
      </c>
      <c r="M298" s="101"/>
      <c r="N298" s="101">
        <v>62.948</v>
      </c>
      <c r="O298" s="7">
        <f t="shared" si="140"/>
        <v>1215.3860000000002</v>
      </c>
      <c r="P298" s="17">
        <f t="shared" si="137"/>
        <v>0</v>
      </c>
      <c r="R298" s="1">
        <f t="shared" si="151"/>
        <v>44465</v>
      </c>
      <c r="S298" s="43">
        <v>986.31346946236556</v>
      </c>
      <c r="T298" s="49">
        <v>209.43745075268816</v>
      </c>
      <c r="U298" s="4"/>
      <c r="V298" s="49">
        <v>81.727121720430105</v>
      </c>
      <c r="W298" s="7">
        <f t="shared" si="141"/>
        <v>1277.4780419354838</v>
      </c>
      <c r="X298" s="17">
        <f t="shared" si="146"/>
        <v>0</v>
      </c>
      <c r="Y298" s="17"/>
      <c r="Z298" s="1">
        <f t="shared" si="152"/>
        <v>44830</v>
      </c>
      <c r="AA298" s="116">
        <v>1148.9572494623656</v>
      </c>
      <c r="AB298" s="116">
        <v>233.58005376344087</v>
      </c>
      <c r="AC298" s="101"/>
      <c r="AD298" s="116">
        <v>79.26213677419355</v>
      </c>
      <c r="AE298" s="101">
        <f t="shared" si="142"/>
        <v>1461.79944</v>
      </c>
      <c r="AF298" s="17">
        <f t="shared" si="147"/>
        <v>0</v>
      </c>
      <c r="AH298" s="1">
        <f t="shared" si="153"/>
        <v>45195</v>
      </c>
      <c r="AI298" s="120">
        <v>1079.0657333333334</v>
      </c>
      <c r="AJ298" s="120">
        <v>232.47490451612904</v>
      </c>
      <c r="AK298" s="44"/>
      <c r="AL298" s="120">
        <v>80.122531612903231</v>
      </c>
      <c r="AM298" s="44">
        <f t="shared" si="143"/>
        <v>1391.6631694623657</v>
      </c>
      <c r="AN298" s="17">
        <f t="shared" si="148"/>
        <v>0</v>
      </c>
      <c r="AO298" s="17"/>
      <c r="AP298" s="1">
        <f t="shared" si="154"/>
        <v>45560</v>
      </c>
      <c r="AQ298" s="120">
        <v>1406.66</v>
      </c>
      <c r="AR298" s="120">
        <v>302.25758200000001</v>
      </c>
      <c r="AS298" s="44"/>
      <c r="AT298" s="120">
        <v>82.769142043010746</v>
      </c>
      <c r="AU298" s="44">
        <f t="shared" si="144"/>
        <v>1791.6867240430108</v>
      </c>
      <c r="AV298" s="17">
        <f t="shared" si="149"/>
        <v>1</v>
      </c>
      <c r="AW298" s="17"/>
      <c r="AX298" s="1">
        <f t="shared" si="155"/>
        <v>45926</v>
      </c>
      <c r="AY298" s="120"/>
      <c r="AZ298" s="120"/>
      <c r="BA298" s="44"/>
      <c r="BB298" s="120"/>
      <c r="BC298" s="44">
        <f t="shared" si="145"/>
        <v>0</v>
      </c>
      <c r="BD298" s="17">
        <f t="shared" si="150"/>
        <v>0</v>
      </c>
    </row>
    <row r="299" spans="1:56" x14ac:dyDescent="0.3">
      <c r="A299" s="17"/>
      <c r="B299" s="1">
        <v>43735</v>
      </c>
      <c r="C299" s="4">
        <v>844</v>
      </c>
      <c r="D299" s="4">
        <v>155</v>
      </c>
      <c r="E299" s="4"/>
      <c r="F299" s="4">
        <v>63</v>
      </c>
      <c r="G299" s="7">
        <f t="shared" si="139"/>
        <v>1062</v>
      </c>
      <c r="H299" s="17">
        <f t="shared" si="136"/>
        <v>0</v>
      </c>
      <c r="J299" s="1">
        <v>44100</v>
      </c>
      <c r="K299" s="101">
        <v>1015.44</v>
      </c>
      <c r="L299" s="101">
        <v>185.35499999999999</v>
      </c>
      <c r="M299" s="101"/>
      <c r="N299" s="101">
        <v>60.384999999999998</v>
      </c>
      <c r="O299" s="7">
        <f t="shared" si="140"/>
        <v>1261.18</v>
      </c>
      <c r="P299" s="17">
        <f t="shared" si="137"/>
        <v>0</v>
      </c>
      <c r="R299" s="1">
        <f t="shared" si="151"/>
        <v>44466</v>
      </c>
      <c r="S299" s="43">
        <v>1035.51448</v>
      </c>
      <c r="T299" s="49">
        <v>209.56371053763442</v>
      </c>
      <c r="U299" s="4"/>
      <c r="V299" s="49">
        <v>85.812723010752691</v>
      </c>
      <c r="W299" s="7">
        <f t="shared" si="141"/>
        <v>1330.8909135483873</v>
      </c>
      <c r="X299" s="17">
        <f t="shared" si="146"/>
        <v>0</v>
      </c>
      <c r="Y299" s="17"/>
      <c r="Z299" s="1">
        <f t="shared" si="152"/>
        <v>44831</v>
      </c>
      <c r="AA299" s="115">
        <v>1055.7334944086022</v>
      </c>
      <c r="AB299" s="115">
        <v>216.98103741935483</v>
      </c>
      <c r="AC299" s="101"/>
      <c r="AD299" s="115">
        <v>80.06128978494624</v>
      </c>
      <c r="AE299" s="101">
        <f t="shared" si="142"/>
        <v>1352.7758216129032</v>
      </c>
      <c r="AF299" s="17">
        <f t="shared" si="147"/>
        <v>0</v>
      </c>
      <c r="AH299" s="1">
        <f t="shared" si="153"/>
        <v>45196</v>
      </c>
      <c r="AI299" s="119">
        <v>1217.4867275268816</v>
      </c>
      <c r="AJ299" s="119">
        <v>253.32312645161289</v>
      </c>
      <c r="AK299" s="44"/>
      <c r="AL299" s="119">
        <v>77.836683870967747</v>
      </c>
      <c r="AM299" s="44">
        <f t="shared" si="143"/>
        <v>1548.6465378494624</v>
      </c>
      <c r="AN299" s="17">
        <f t="shared" si="148"/>
        <v>1</v>
      </c>
      <c r="AO299" s="17"/>
      <c r="AP299" s="1">
        <f t="shared" si="154"/>
        <v>45561</v>
      </c>
      <c r="AQ299" s="119">
        <v>1271.6310000000001</v>
      </c>
      <c r="AR299" s="119">
        <v>261.02280960000002</v>
      </c>
      <c r="AS299" s="44"/>
      <c r="AT299" s="119">
        <v>76.032911827956994</v>
      </c>
      <c r="AU299" s="44">
        <f t="shared" si="144"/>
        <v>1608.6867214279571</v>
      </c>
      <c r="AV299" s="17">
        <f t="shared" si="149"/>
        <v>1</v>
      </c>
      <c r="AW299" s="17"/>
      <c r="AX299" s="1">
        <f t="shared" si="155"/>
        <v>45927</v>
      </c>
      <c r="AY299" s="119"/>
      <c r="AZ299" s="119"/>
      <c r="BA299" s="44"/>
      <c r="BB299" s="119"/>
      <c r="BC299" s="44">
        <f t="shared" si="145"/>
        <v>0</v>
      </c>
      <c r="BD299" s="17">
        <f t="shared" si="150"/>
        <v>0</v>
      </c>
    </row>
    <row r="300" spans="1:56" x14ac:dyDescent="0.3">
      <c r="A300" s="17"/>
      <c r="B300" s="1">
        <v>43736</v>
      </c>
      <c r="C300" s="4">
        <v>925</v>
      </c>
      <c r="D300" s="4">
        <v>169</v>
      </c>
      <c r="E300" s="4"/>
      <c r="F300" s="4">
        <v>62</v>
      </c>
      <c r="G300" s="7">
        <f t="shared" si="139"/>
        <v>1156</v>
      </c>
      <c r="H300" s="17">
        <f t="shared" si="136"/>
        <v>0</v>
      </c>
      <c r="J300" s="1">
        <v>44101</v>
      </c>
      <c r="K300" s="101">
        <v>971.35</v>
      </c>
      <c r="L300" s="101">
        <v>171.94900000000001</v>
      </c>
      <c r="M300" s="101"/>
      <c r="N300" s="101">
        <v>62.142000000000003</v>
      </c>
      <c r="O300" s="7">
        <f t="shared" si="140"/>
        <v>1205.441</v>
      </c>
      <c r="P300" s="17">
        <f t="shared" si="137"/>
        <v>0</v>
      </c>
      <c r="R300" s="1">
        <f t="shared" si="151"/>
        <v>44467</v>
      </c>
      <c r="S300" s="43">
        <v>1083.3010052688171</v>
      </c>
      <c r="T300" s="49">
        <v>218.72630021505375</v>
      </c>
      <c r="U300" s="4"/>
      <c r="V300" s="49">
        <v>89.100397419354834</v>
      </c>
      <c r="W300" s="7">
        <f t="shared" si="141"/>
        <v>1391.1277029032256</v>
      </c>
      <c r="X300" s="17">
        <f t="shared" si="146"/>
        <v>0</v>
      </c>
      <c r="Y300" s="17"/>
      <c r="Z300" s="1">
        <f t="shared" si="152"/>
        <v>44832</v>
      </c>
      <c r="AA300" s="116">
        <v>1001.5421415053763</v>
      </c>
      <c r="AB300" s="116">
        <v>194.14462107526882</v>
      </c>
      <c r="AC300" s="101"/>
      <c r="AD300" s="116">
        <v>75.559430537634412</v>
      </c>
      <c r="AE300" s="101">
        <f t="shared" si="142"/>
        <v>1271.2461931182795</v>
      </c>
      <c r="AF300" s="17">
        <f t="shared" si="147"/>
        <v>0</v>
      </c>
      <c r="AH300" s="1">
        <f t="shared" si="153"/>
        <v>45197</v>
      </c>
      <c r="AI300" s="120">
        <v>1121.3775320430107</v>
      </c>
      <c r="AJ300" s="120">
        <v>231.89441978494622</v>
      </c>
      <c r="AK300" s="44"/>
      <c r="AL300" s="120">
        <v>77.499321290322584</v>
      </c>
      <c r="AM300" s="44">
        <f t="shared" si="143"/>
        <v>1430.7712731182794</v>
      </c>
      <c r="AN300" s="17">
        <f t="shared" si="148"/>
        <v>0</v>
      </c>
      <c r="AO300" s="17"/>
      <c r="AP300" s="1">
        <f t="shared" si="154"/>
        <v>45562</v>
      </c>
      <c r="AQ300" s="120">
        <v>1287.338</v>
      </c>
      <c r="AR300" s="120">
        <v>270.49274000000003</v>
      </c>
      <c r="AS300" s="44"/>
      <c r="AT300" s="120">
        <v>77.482343333333333</v>
      </c>
      <c r="AU300" s="44">
        <f t="shared" si="144"/>
        <v>1635.3130833333332</v>
      </c>
      <c r="AV300" s="17">
        <f t="shared" si="149"/>
        <v>1</v>
      </c>
      <c r="AW300" s="17"/>
      <c r="AX300" s="1">
        <f t="shared" si="155"/>
        <v>45928</v>
      </c>
      <c r="AY300" s="120"/>
      <c r="AZ300" s="120"/>
      <c r="BA300" s="44"/>
      <c r="BB300" s="120"/>
      <c r="BC300" s="44">
        <f t="shared" si="145"/>
        <v>0</v>
      </c>
      <c r="BD300" s="17">
        <f t="shared" si="150"/>
        <v>0</v>
      </c>
    </row>
    <row r="301" spans="1:56" x14ac:dyDescent="0.3">
      <c r="A301" s="17"/>
      <c r="B301" s="1">
        <v>43737</v>
      </c>
      <c r="C301" s="4">
        <v>979</v>
      </c>
      <c r="D301" s="4">
        <v>186</v>
      </c>
      <c r="E301" s="4"/>
      <c r="F301" s="4">
        <v>56</v>
      </c>
      <c r="G301" s="7">
        <f t="shared" si="139"/>
        <v>1221</v>
      </c>
      <c r="H301" s="17">
        <f t="shared" si="136"/>
        <v>0</v>
      </c>
      <c r="J301" s="1">
        <v>44102</v>
      </c>
      <c r="K301" s="101">
        <v>1053.4000000000001</v>
      </c>
      <c r="L301" s="101">
        <v>191.50299999999999</v>
      </c>
      <c r="M301" s="101"/>
      <c r="N301" s="101">
        <v>63.125999999999998</v>
      </c>
      <c r="O301" s="7">
        <f t="shared" si="140"/>
        <v>1308.029</v>
      </c>
      <c r="P301" s="17">
        <f t="shared" si="137"/>
        <v>0</v>
      </c>
      <c r="R301" s="1">
        <f t="shared" si="151"/>
        <v>44468</v>
      </c>
      <c r="S301" s="43">
        <v>1077.4329003225807</v>
      </c>
      <c r="T301" s="49">
        <v>201.90494752688173</v>
      </c>
      <c r="U301" s="4"/>
      <c r="V301" s="49">
        <v>88.769365591397843</v>
      </c>
      <c r="W301" s="7">
        <f t="shared" si="141"/>
        <v>1368.1072134408603</v>
      </c>
      <c r="X301" s="17">
        <f t="shared" si="146"/>
        <v>0</v>
      </c>
      <c r="Y301" s="17"/>
      <c r="Z301" s="1">
        <f t="shared" si="152"/>
        <v>44833</v>
      </c>
      <c r="AA301" s="115">
        <v>991.54456881720432</v>
      </c>
      <c r="AB301" s="115">
        <v>187.60489548387096</v>
      </c>
      <c r="AC301" s="101"/>
      <c r="AD301" s="115">
        <v>74.669440107526881</v>
      </c>
      <c r="AE301" s="101">
        <f t="shared" si="142"/>
        <v>1253.8189044086023</v>
      </c>
      <c r="AF301" s="17">
        <f t="shared" si="147"/>
        <v>0</v>
      </c>
      <c r="AH301" s="1">
        <f t="shared" si="153"/>
        <v>45198</v>
      </c>
      <c r="AI301" s="119">
        <v>1139.5212694623656</v>
      </c>
      <c r="AJ301" s="119">
        <v>225.70702688172042</v>
      </c>
      <c r="AK301" s="44"/>
      <c r="AL301" s="119">
        <v>76.17798451612903</v>
      </c>
      <c r="AM301" s="44">
        <f t="shared" si="143"/>
        <v>1441.406280860215</v>
      </c>
      <c r="AN301" s="17">
        <f t="shared" si="148"/>
        <v>0</v>
      </c>
      <c r="AO301" s="17"/>
      <c r="AP301" s="1">
        <f t="shared" si="154"/>
        <v>45563</v>
      </c>
      <c r="AQ301" s="119">
        <v>1327.578</v>
      </c>
      <c r="AR301" s="119">
        <v>283.47228030000002</v>
      </c>
      <c r="AS301" s="44"/>
      <c r="AT301" s="119">
        <v>80.114917956989245</v>
      </c>
      <c r="AU301" s="44">
        <f t="shared" si="144"/>
        <v>1691.1651982569892</v>
      </c>
      <c r="AV301" s="17">
        <f t="shared" si="149"/>
        <v>1</v>
      </c>
      <c r="AW301" s="17"/>
      <c r="AX301" s="1">
        <f t="shared" si="155"/>
        <v>45929</v>
      </c>
      <c r="AY301" s="119"/>
      <c r="AZ301" s="119"/>
      <c r="BA301" s="44"/>
      <c r="BB301" s="119"/>
      <c r="BC301" s="44">
        <f t="shared" si="145"/>
        <v>0</v>
      </c>
      <c r="BD301" s="17">
        <f t="shared" si="150"/>
        <v>0</v>
      </c>
    </row>
    <row r="302" spans="1:56" x14ac:dyDescent="0.3">
      <c r="A302" s="17"/>
      <c r="B302" s="1">
        <v>43738</v>
      </c>
      <c r="C302" s="4">
        <v>1160</v>
      </c>
      <c r="D302" s="4">
        <v>214</v>
      </c>
      <c r="E302" s="4"/>
      <c r="F302" s="4">
        <v>71</v>
      </c>
      <c r="G302" s="7">
        <f t="shared" si="139"/>
        <v>1445</v>
      </c>
      <c r="H302" s="17">
        <f t="shared" si="136"/>
        <v>0</v>
      </c>
      <c r="J302" s="1">
        <v>44103</v>
      </c>
      <c r="K302" s="101">
        <v>1193.6400000000001</v>
      </c>
      <c r="L302" s="101">
        <v>227.405</v>
      </c>
      <c r="M302" s="101"/>
      <c r="N302" s="101">
        <v>71.313000000000002</v>
      </c>
      <c r="O302" s="7">
        <f t="shared" si="140"/>
        <v>1492.3580000000002</v>
      </c>
      <c r="P302" s="17">
        <f t="shared" si="137"/>
        <v>0</v>
      </c>
      <c r="R302" s="38">
        <f t="shared" si="151"/>
        <v>44469</v>
      </c>
      <c r="S302" s="43">
        <v>1060.6537877419355</v>
      </c>
      <c r="T302" s="49">
        <v>206.97545591397849</v>
      </c>
      <c r="U302" s="4"/>
      <c r="V302" s="49">
        <v>84.074536344086027</v>
      </c>
      <c r="W302" s="7">
        <f t="shared" si="141"/>
        <v>1351.7037800000001</v>
      </c>
      <c r="X302" s="17">
        <f t="shared" si="146"/>
        <v>0</v>
      </c>
      <c r="Y302" s="17"/>
      <c r="Z302" s="38">
        <f t="shared" si="152"/>
        <v>44834</v>
      </c>
      <c r="AA302" s="116">
        <v>1131.2602055913978</v>
      </c>
      <c r="AB302" s="116">
        <v>217.86015483870969</v>
      </c>
      <c r="AC302" s="101"/>
      <c r="AD302" s="116">
        <v>81.296246129032255</v>
      </c>
      <c r="AE302" s="101">
        <f t="shared" si="142"/>
        <v>1430.4166065591396</v>
      </c>
      <c r="AF302" s="17">
        <f t="shared" si="147"/>
        <v>0</v>
      </c>
      <c r="AH302" s="38">
        <f t="shared" si="153"/>
        <v>45199</v>
      </c>
      <c r="AI302" s="120">
        <v>1092.2353524731184</v>
      </c>
      <c r="AJ302" s="120">
        <v>229.98887096774195</v>
      </c>
      <c r="AK302" s="44"/>
      <c r="AL302" s="120">
        <v>79.517009032258059</v>
      </c>
      <c r="AM302" s="44">
        <f t="shared" si="143"/>
        <v>1401.7412324731185</v>
      </c>
      <c r="AN302" s="17">
        <f t="shared" si="148"/>
        <v>0</v>
      </c>
      <c r="AO302" s="17"/>
      <c r="AP302" s="1">
        <f t="shared" si="154"/>
        <v>45564</v>
      </c>
      <c r="AQ302" s="120">
        <v>1292.7470000000001</v>
      </c>
      <c r="AR302" s="120">
        <v>272.9798892</v>
      </c>
      <c r="AS302" s="44"/>
      <c r="AT302" s="120">
        <v>78.014920107526876</v>
      </c>
      <c r="AU302" s="44">
        <f t="shared" si="144"/>
        <v>1643.7418093075271</v>
      </c>
      <c r="AV302" s="17">
        <f t="shared" si="149"/>
        <v>1</v>
      </c>
      <c r="AW302" s="17"/>
      <c r="AX302" s="38">
        <f t="shared" si="155"/>
        <v>45930</v>
      </c>
      <c r="AY302" s="120"/>
      <c r="AZ302" s="120"/>
      <c r="BA302" s="44"/>
      <c r="BB302" s="120"/>
      <c r="BC302" s="44">
        <f t="shared" si="145"/>
        <v>0</v>
      </c>
      <c r="BD302" s="17">
        <f t="shared" si="150"/>
        <v>0</v>
      </c>
    </row>
    <row r="303" spans="1:56" x14ac:dyDescent="0.3">
      <c r="A303" s="17"/>
      <c r="B303" s="1">
        <v>43739</v>
      </c>
      <c r="C303" s="7">
        <v>1122</v>
      </c>
      <c r="D303" s="4">
        <v>216</v>
      </c>
      <c r="E303" s="4"/>
      <c r="F303" s="4">
        <v>73</v>
      </c>
      <c r="G303" s="7">
        <f t="shared" si="139"/>
        <v>1411</v>
      </c>
      <c r="H303" s="17">
        <f t="shared" si="136"/>
        <v>0</v>
      </c>
      <c r="J303" s="1">
        <v>44104</v>
      </c>
      <c r="K303" s="101">
        <v>1225.55</v>
      </c>
      <c r="L303" s="101">
        <v>226.98500000000001</v>
      </c>
      <c r="M303" s="101"/>
      <c r="N303" s="101">
        <v>74.822000000000003</v>
      </c>
      <c r="O303" s="7">
        <f t="shared" si="140"/>
        <v>1527.357</v>
      </c>
      <c r="P303" s="17">
        <f t="shared" si="137"/>
        <v>0</v>
      </c>
      <c r="R303" s="1">
        <f t="shared" si="151"/>
        <v>44470</v>
      </c>
      <c r="S303" s="43">
        <v>1090.3782193548386</v>
      </c>
      <c r="T303" s="44">
        <v>213.33913236559141</v>
      </c>
      <c r="U303" s="4"/>
      <c r="V303" s="44">
        <v>85.725612903225809</v>
      </c>
      <c r="W303" s="7">
        <f t="shared" si="141"/>
        <v>1389.4429646236558</v>
      </c>
      <c r="X303" s="17">
        <f t="shared" si="146"/>
        <v>0</v>
      </c>
      <c r="Y303" s="17"/>
      <c r="Z303" s="1">
        <f t="shared" si="152"/>
        <v>44835</v>
      </c>
      <c r="AA303" s="115">
        <v>1012.5595019354839</v>
      </c>
      <c r="AB303" s="115">
        <v>208.56182365591397</v>
      </c>
      <c r="AC303" s="101"/>
      <c r="AD303" s="115">
        <v>79.022960860215051</v>
      </c>
      <c r="AE303" s="101">
        <f t="shared" si="142"/>
        <v>1300.144286451613</v>
      </c>
      <c r="AF303" s="17">
        <f t="shared" si="147"/>
        <v>0</v>
      </c>
      <c r="AH303" s="1">
        <f t="shared" si="153"/>
        <v>45200</v>
      </c>
      <c r="AI303" s="119">
        <v>1174.8440000000001</v>
      </c>
      <c r="AJ303" s="119">
        <v>250.8531346236559</v>
      </c>
      <c r="AK303" s="44"/>
      <c r="AL303" s="119">
        <v>76.089870430107524</v>
      </c>
      <c r="AM303" s="44">
        <f t="shared" si="143"/>
        <v>1501.7870050537636</v>
      </c>
      <c r="AN303" s="17">
        <f t="shared" si="148"/>
        <v>1</v>
      </c>
      <c r="AO303" s="17"/>
      <c r="AP303" s="38">
        <f t="shared" si="154"/>
        <v>45565</v>
      </c>
      <c r="AQ303" s="119">
        <v>1363.6579999999999</v>
      </c>
      <c r="AR303" s="119">
        <v>283.54165640000002</v>
      </c>
      <c r="AS303" s="44"/>
      <c r="AT303" s="119">
        <v>84.716511182795699</v>
      </c>
      <c r="AU303" s="44">
        <f t="shared" si="144"/>
        <v>1731.9161675827957</v>
      </c>
      <c r="AV303" s="17">
        <f t="shared" si="149"/>
        <v>1</v>
      </c>
      <c r="AW303" s="17"/>
      <c r="AX303" s="1">
        <f t="shared" si="155"/>
        <v>45931</v>
      </c>
      <c r="AY303" s="119"/>
      <c r="AZ303" s="119"/>
      <c r="BA303" s="44"/>
      <c r="BB303" s="119"/>
      <c r="BC303" s="44">
        <f t="shared" si="145"/>
        <v>0</v>
      </c>
      <c r="BD303" s="17">
        <f t="shared" si="150"/>
        <v>0</v>
      </c>
    </row>
    <row r="304" spans="1:56" x14ac:dyDescent="0.3">
      <c r="A304" s="17"/>
      <c r="B304" s="1">
        <v>43740</v>
      </c>
      <c r="C304" s="7">
        <v>1022</v>
      </c>
      <c r="D304" s="4">
        <v>197</v>
      </c>
      <c r="E304" s="4"/>
      <c r="F304" s="4">
        <v>68</v>
      </c>
      <c r="G304" s="7">
        <f t="shared" si="139"/>
        <v>1287</v>
      </c>
      <c r="H304" s="17">
        <f t="shared" si="136"/>
        <v>0</v>
      </c>
      <c r="J304" s="1">
        <v>44105</v>
      </c>
      <c r="K304" s="101">
        <v>1245.23</v>
      </c>
      <c r="L304" s="101">
        <v>244.62100000000001</v>
      </c>
      <c r="M304" s="101"/>
      <c r="N304" s="101">
        <v>76.518000000000001</v>
      </c>
      <c r="O304" s="7">
        <f t="shared" si="140"/>
        <v>1566.3690000000001</v>
      </c>
      <c r="P304" s="17">
        <f t="shared" ref="P304:P367" si="156">IF(O304&gt;1476,1,0)</f>
        <v>1</v>
      </c>
      <c r="R304" s="1">
        <f t="shared" si="151"/>
        <v>44471</v>
      </c>
      <c r="S304" s="43">
        <v>1108.3437951612902</v>
      </c>
      <c r="T304" s="44">
        <v>224.70211580645162</v>
      </c>
      <c r="V304" s="44">
        <v>85.615303225806457</v>
      </c>
      <c r="W304" s="7">
        <f t="shared" si="141"/>
        <v>1418.6612141935482</v>
      </c>
      <c r="X304" s="17">
        <f t="shared" si="146"/>
        <v>0</v>
      </c>
      <c r="Y304" s="17"/>
      <c r="Z304" s="1">
        <f t="shared" si="152"/>
        <v>44836</v>
      </c>
      <c r="AA304" s="116">
        <v>974.6932883870968</v>
      </c>
      <c r="AB304" s="116">
        <v>192.65630967741936</v>
      </c>
      <c r="AC304" s="101"/>
      <c r="AD304" s="116">
        <v>66.909367741935483</v>
      </c>
      <c r="AE304" s="101">
        <f t="shared" si="142"/>
        <v>1234.2589658064517</v>
      </c>
      <c r="AF304" s="17">
        <f t="shared" si="147"/>
        <v>0</v>
      </c>
      <c r="AH304" s="1">
        <f t="shared" si="153"/>
        <v>45201</v>
      </c>
      <c r="AI304" s="120">
        <v>1254.3820000000001</v>
      </c>
      <c r="AJ304" s="120">
        <v>226.08968548387097</v>
      </c>
      <c r="AK304" s="44"/>
      <c r="AL304" s="120">
        <v>79.601960752688171</v>
      </c>
      <c r="AM304" s="44">
        <f t="shared" si="143"/>
        <v>1560.0736462365592</v>
      </c>
      <c r="AN304" s="17">
        <f t="shared" si="148"/>
        <v>1</v>
      </c>
      <c r="AO304" s="17"/>
      <c r="AP304" s="1">
        <f t="shared" si="154"/>
        <v>45566</v>
      </c>
      <c r="AQ304" s="120">
        <v>1297.7670000000001</v>
      </c>
      <c r="AR304" s="120">
        <v>274.56548800000002</v>
      </c>
      <c r="AS304" s="44"/>
      <c r="AT304" s="120">
        <v>85.751535483870967</v>
      </c>
      <c r="AU304" s="44">
        <f t="shared" si="144"/>
        <v>1658.0840234838711</v>
      </c>
      <c r="AV304" s="17">
        <f t="shared" si="149"/>
        <v>1</v>
      </c>
      <c r="AW304" s="17"/>
      <c r="AX304" s="1">
        <f t="shared" si="155"/>
        <v>45932</v>
      </c>
      <c r="AY304" s="120"/>
      <c r="AZ304" s="120"/>
      <c r="BA304" s="44"/>
      <c r="BB304" s="120"/>
      <c r="BC304" s="44">
        <f t="shared" si="145"/>
        <v>0</v>
      </c>
      <c r="BD304" s="17">
        <f t="shared" si="150"/>
        <v>0</v>
      </c>
    </row>
    <row r="305" spans="1:56" x14ac:dyDescent="0.3">
      <c r="A305" s="17"/>
      <c r="B305" s="1">
        <v>43741</v>
      </c>
      <c r="C305" s="7">
        <v>1078</v>
      </c>
      <c r="D305" s="4">
        <v>194</v>
      </c>
      <c r="E305" s="4"/>
      <c r="F305" s="4">
        <v>68</v>
      </c>
      <c r="G305" s="7">
        <f t="shared" si="139"/>
        <v>1340</v>
      </c>
      <c r="H305" s="17">
        <f t="shared" si="136"/>
        <v>0</v>
      </c>
      <c r="J305" s="1">
        <v>44106</v>
      </c>
      <c r="K305" s="101">
        <v>1163.9000000000001</v>
      </c>
      <c r="L305" s="101">
        <v>206.82900000000001</v>
      </c>
      <c r="M305" s="101"/>
      <c r="N305" s="101">
        <v>73.227999999999994</v>
      </c>
      <c r="O305" s="7">
        <f t="shared" si="140"/>
        <v>1443.9570000000001</v>
      </c>
      <c r="P305" s="17">
        <f t="shared" si="156"/>
        <v>0</v>
      </c>
      <c r="R305" s="1">
        <f t="shared" si="151"/>
        <v>44472</v>
      </c>
      <c r="S305" s="43">
        <v>1008.0583112903225</v>
      </c>
      <c r="T305" s="44">
        <v>210.03633752688171</v>
      </c>
      <c r="V305" s="44">
        <v>80.345070967741933</v>
      </c>
      <c r="W305" s="7">
        <f t="shared" si="141"/>
        <v>1298.4397197849462</v>
      </c>
      <c r="X305" s="17">
        <f t="shared" si="146"/>
        <v>0</v>
      </c>
      <c r="Y305" s="17"/>
      <c r="Z305" s="1">
        <f t="shared" si="152"/>
        <v>44837</v>
      </c>
      <c r="AA305" s="115">
        <v>1101.0210596774193</v>
      </c>
      <c r="AB305" s="115">
        <v>207.95173505376343</v>
      </c>
      <c r="AC305" s="101"/>
      <c r="AD305" s="115">
        <v>72.215151827956987</v>
      </c>
      <c r="AE305" s="101">
        <f t="shared" si="142"/>
        <v>1381.1879465591398</v>
      </c>
      <c r="AF305" s="17">
        <f t="shared" si="147"/>
        <v>0</v>
      </c>
      <c r="AH305" s="1">
        <f t="shared" si="153"/>
        <v>45202</v>
      </c>
      <c r="AI305" s="119">
        <v>1041.21</v>
      </c>
      <c r="AJ305" s="119">
        <v>225.20861010752688</v>
      </c>
      <c r="AK305" s="44"/>
      <c r="AL305" s="119">
        <v>72.127929032258066</v>
      </c>
      <c r="AM305" s="44">
        <f t="shared" si="143"/>
        <v>1338.5465391397852</v>
      </c>
      <c r="AN305" s="17">
        <f t="shared" si="148"/>
        <v>0</v>
      </c>
      <c r="AO305" s="17"/>
      <c r="AP305" s="1">
        <f t="shared" si="154"/>
        <v>45567</v>
      </c>
      <c r="AQ305" s="119">
        <v>1241.135</v>
      </c>
      <c r="AR305" s="119">
        <v>261.56071020000002</v>
      </c>
      <c r="AS305" s="44"/>
      <c r="AT305" s="119">
        <v>83.591380645161294</v>
      </c>
      <c r="AU305" s="44">
        <f t="shared" si="144"/>
        <v>1586.2870908451614</v>
      </c>
      <c r="AV305" s="17">
        <f t="shared" si="149"/>
        <v>1</v>
      </c>
      <c r="AW305" s="17"/>
      <c r="AX305" s="1">
        <f t="shared" si="155"/>
        <v>45933</v>
      </c>
      <c r="AY305" s="119"/>
      <c r="AZ305" s="119"/>
      <c r="BA305" s="44"/>
      <c r="BB305" s="119"/>
      <c r="BC305" s="44">
        <f t="shared" si="145"/>
        <v>0</v>
      </c>
      <c r="BD305" s="17">
        <f t="shared" si="150"/>
        <v>0</v>
      </c>
    </row>
    <row r="306" spans="1:56" x14ac:dyDescent="0.3">
      <c r="A306" s="17"/>
      <c r="B306" s="1">
        <v>43742</v>
      </c>
      <c r="C306" s="7">
        <v>1003</v>
      </c>
      <c r="D306" s="4">
        <v>197</v>
      </c>
      <c r="E306" s="4"/>
      <c r="F306" s="4">
        <v>68</v>
      </c>
      <c r="G306" s="7">
        <f t="shared" si="139"/>
        <v>1268</v>
      </c>
      <c r="H306" s="17">
        <f t="shared" si="136"/>
        <v>0</v>
      </c>
      <c r="J306" s="1">
        <v>44107</v>
      </c>
      <c r="K306" s="101">
        <v>999.88</v>
      </c>
      <c r="L306" s="101">
        <v>194.13200000000001</v>
      </c>
      <c r="M306" s="101"/>
      <c r="N306" s="101">
        <v>66.680000000000007</v>
      </c>
      <c r="O306" s="7">
        <f t="shared" si="140"/>
        <v>1260.692</v>
      </c>
      <c r="P306" s="17">
        <f t="shared" si="156"/>
        <v>0</v>
      </c>
      <c r="R306" s="1">
        <f t="shared" si="151"/>
        <v>44473</v>
      </c>
      <c r="S306" s="43">
        <v>1104.7924483870968</v>
      </c>
      <c r="T306" s="44">
        <v>216.49427935483871</v>
      </c>
      <c r="V306" s="44">
        <v>85.07874838709678</v>
      </c>
      <c r="W306" s="7">
        <f t="shared" si="141"/>
        <v>1406.3654761290322</v>
      </c>
      <c r="X306" s="17">
        <f t="shared" si="146"/>
        <v>0</v>
      </c>
      <c r="Y306" s="17"/>
      <c r="Z306" s="1">
        <f t="shared" si="152"/>
        <v>44838</v>
      </c>
      <c r="AA306" s="116">
        <v>979.66385741935483</v>
      </c>
      <c r="AB306" s="116">
        <v>202.24385720430107</v>
      </c>
      <c r="AC306" s="101"/>
      <c r="AD306" s="116">
        <v>72.757309247311824</v>
      </c>
      <c r="AE306" s="101">
        <f t="shared" si="142"/>
        <v>1254.6650238709678</v>
      </c>
      <c r="AF306" s="17">
        <f t="shared" si="147"/>
        <v>0</v>
      </c>
      <c r="AH306" s="1">
        <f t="shared" si="153"/>
        <v>45203</v>
      </c>
      <c r="AI306" s="120">
        <v>1099.2149999999999</v>
      </c>
      <c r="AJ306" s="120">
        <v>207.2332364516129</v>
      </c>
      <c r="AK306" s="44"/>
      <c r="AL306" s="120">
        <v>76.664379032258068</v>
      </c>
      <c r="AM306" s="44">
        <f t="shared" si="143"/>
        <v>1383.1126154838707</v>
      </c>
      <c r="AN306" s="17">
        <f t="shared" si="148"/>
        <v>0</v>
      </c>
      <c r="AO306" s="17"/>
      <c r="AP306" s="1">
        <f t="shared" si="154"/>
        <v>45568</v>
      </c>
      <c r="AQ306" s="120">
        <v>1251.2360000000001</v>
      </c>
      <c r="AR306" s="120">
        <v>254.43651120000001</v>
      </c>
      <c r="AS306" s="44"/>
      <c r="AT306" s="120">
        <v>83.653161290322586</v>
      </c>
      <c r="AU306" s="44">
        <f t="shared" si="144"/>
        <v>1589.3256724903226</v>
      </c>
      <c r="AV306" s="17">
        <f t="shared" si="149"/>
        <v>1</v>
      </c>
      <c r="AW306" s="17"/>
      <c r="AX306" s="1">
        <f t="shared" si="155"/>
        <v>45934</v>
      </c>
      <c r="AY306" s="120"/>
      <c r="AZ306" s="120"/>
      <c r="BA306" s="44"/>
      <c r="BB306" s="120"/>
      <c r="BC306" s="44">
        <f t="shared" si="145"/>
        <v>0</v>
      </c>
      <c r="BD306" s="17">
        <f t="shared" si="150"/>
        <v>0</v>
      </c>
    </row>
    <row r="307" spans="1:56" x14ac:dyDescent="0.3">
      <c r="A307" s="17"/>
      <c r="B307" s="1">
        <v>43743</v>
      </c>
      <c r="C307" s="7">
        <v>906</v>
      </c>
      <c r="D307" s="4">
        <v>182</v>
      </c>
      <c r="E307" s="4"/>
      <c r="F307" s="4">
        <v>65</v>
      </c>
      <c r="G307" s="7">
        <f t="shared" si="139"/>
        <v>1153</v>
      </c>
      <c r="H307" s="17">
        <f t="shared" si="136"/>
        <v>0</v>
      </c>
      <c r="J307" s="1">
        <v>44108</v>
      </c>
      <c r="K307" s="101">
        <v>876.99</v>
      </c>
      <c r="L307" s="101">
        <v>165.48</v>
      </c>
      <c r="M307" s="101"/>
      <c r="N307" s="101">
        <v>57.584000000000003</v>
      </c>
      <c r="O307" s="7">
        <f t="shared" si="140"/>
        <v>1100.0540000000001</v>
      </c>
      <c r="P307" s="17">
        <f t="shared" si="156"/>
        <v>0</v>
      </c>
      <c r="R307" s="1">
        <f t="shared" si="151"/>
        <v>44474</v>
      </c>
      <c r="S307" s="43">
        <v>1039.650306451613</v>
      </c>
      <c r="T307" s="44">
        <v>209.43709430107526</v>
      </c>
      <c r="V307" s="44">
        <v>85.062683870967746</v>
      </c>
      <c r="W307" s="7">
        <f t="shared" si="141"/>
        <v>1334.1500846236559</v>
      </c>
      <c r="X307" s="17">
        <f t="shared" si="146"/>
        <v>0</v>
      </c>
      <c r="Y307" s="17"/>
      <c r="Z307" s="1">
        <f t="shared" si="152"/>
        <v>44839</v>
      </c>
      <c r="AA307" s="115">
        <v>1030.2263654838709</v>
      </c>
      <c r="AB307" s="115">
        <v>211.26349763440859</v>
      </c>
      <c r="AC307" s="101"/>
      <c r="AD307" s="115">
        <v>77.193044301075275</v>
      </c>
      <c r="AE307" s="101">
        <f t="shared" si="142"/>
        <v>1318.6829074193549</v>
      </c>
      <c r="AF307" s="17">
        <f t="shared" si="147"/>
        <v>0</v>
      </c>
      <c r="AH307" s="1">
        <f t="shared" si="153"/>
        <v>45204</v>
      </c>
      <c r="AI307" s="119">
        <v>1057.4169999999999</v>
      </c>
      <c r="AJ307" s="119">
        <v>217.35893623655915</v>
      </c>
      <c r="AK307" s="44"/>
      <c r="AL307" s="119">
        <v>80.83661225806452</v>
      </c>
      <c r="AM307" s="44">
        <f t="shared" si="143"/>
        <v>1355.6125484946238</v>
      </c>
      <c r="AN307" s="17">
        <f t="shared" si="148"/>
        <v>0</v>
      </c>
      <c r="AO307" s="17"/>
      <c r="AP307" s="1">
        <f t="shared" si="154"/>
        <v>45569</v>
      </c>
      <c r="AQ307" s="119">
        <v>1213.2670000000001</v>
      </c>
      <c r="AR307" s="119">
        <v>258.36982490000003</v>
      </c>
      <c r="AS307" s="44"/>
      <c r="AT307" s="119">
        <v>83.924129032258065</v>
      </c>
      <c r="AU307" s="44">
        <f t="shared" si="144"/>
        <v>1555.5609539322581</v>
      </c>
      <c r="AV307" s="17">
        <f t="shared" si="149"/>
        <v>1</v>
      </c>
      <c r="AW307" s="17"/>
      <c r="AX307" s="1">
        <f t="shared" si="155"/>
        <v>45935</v>
      </c>
      <c r="AY307" s="119"/>
      <c r="AZ307" s="119"/>
      <c r="BA307" s="44"/>
      <c r="BB307" s="119"/>
      <c r="BC307" s="44">
        <f t="shared" si="145"/>
        <v>0</v>
      </c>
      <c r="BD307" s="17">
        <f t="shared" si="150"/>
        <v>0</v>
      </c>
    </row>
    <row r="308" spans="1:56" x14ac:dyDescent="0.3">
      <c r="A308" s="17"/>
      <c r="B308" s="1">
        <v>43744</v>
      </c>
      <c r="C308" s="7">
        <v>1193</v>
      </c>
      <c r="D308" s="4">
        <v>171</v>
      </c>
      <c r="E308" s="4"/>
      <c r="F308" s="4">
        <v>54</v>
      </c>
      <c r="G308" s="7">
        <f t="shared" si="139"/>
        <v>1418</v>
      </c>
      <c r="H308" s="17">
        <f t="shared" si="136"/>
        <v>0</v>
      </c>
      <c r="J308" s="1">
        <v>44109</v>
      </c>
      <c r="K308" s="101">
        <v>999.23</v>
      </c>
      <c r="L308" s="101">
        <v>188.815</v>
      </c>
      <c r="M308" s="101"/>
      <c r="N308" s="101">
        <v>61.737000000000002</v>
      </c>
      <c r="O308" s="7">
        <f t="shared" si="140"/>
        <v>1249.7820000000002</v>
      </c>
      <c r="P308" s="17">
        <f t="shared" si="156"/>
        <v>0</v>
      </c>
      <c r="R308" s="1">
        <f t="shared" si="151"/>
        <v>44475</v>
      </c>
      <c r="S308" s="43">
        <v>1008.7675467741935</v>
      </c>
      <c r="T308" s="44">
        <v>225.91137311827956</v>
      </c>
      <c r="V308" s="44">
        <v>84.401896774193546</v>
      </c>
      <c r="W308" s="7">
        <f t="shared" si="141"/>
        <v>1319.0808166666666</v>
      </c>
      <c r="X308" s="17">
        <f t="shared" si="146"/>
        <v>0</v>
      </c>
      <c r="Y308" s="17"/>
      <c r="Z308" s="1">
        <f t="shared" si="152"/>
        <v>44840</v>
      </c>
      <c r="AA308" s="116">
        <v>1114.7270651612903</v>
      </c>
      <c r="AB308" s="116">
        <v>227.899471827957</v>
      </c>
      <c r="AC308" s="101"/>
      <c r="AD308" s="116">
        <v>80.576929032258064</v>
      </c>
      <c r="AE308" s="101">
        <f t="shared" si="142"/>
        <v>1423.2034660215054</v>
      </c>
      <c r="AF308" s="17">
        <f t="shared" si="147"/>
        <v>0</v>
      </c>
      <c r="AH308" s="1">
        <f t="shared" si="153"/>
        <v>45205</v>
      </c>
      <c r="AI308" s="120">
        <v>1160.1210000000001</v>
      </c>
      <c r="AJ308" s="120">
        <v>236.66053860215052</v>
      </c>
      <c r="AK308" s="44"/>
      <c r="AL308" s="120">
        <v>80.03663612903226</v>
      </c>
      <c r="AM308" s="44">
        <f t="shared" si="143"/>
        <v>1476.818174731183</v>
      </c>
      <c r="AN308" s="17">
        <f t="shared" si="148"/>
        <v>1</v>
      </c>
      <c r="AO308" s="17"/>
      <c r="AP308" s="1">
        <f t="shared" si="154"/>
        <v>45570</v>
      </c>
      <c r="AQ308" s="120">
        <v>1129.432</v>
      </c>
      <c r="AR308" s="120">
        <v>236.2021354</v>
      </c>
      <c r="AS308" s="44"/>
      <c r="AT308" s="120">
        <v>76.39989677419355</v>
      </c>
      <c r="AU308" s="44">
        <f t="shared" si="144"/>
        <v>1442.0340321741937</v>
      </c>
      <c r="AV308" s="17">
        <f t="shared" si="149"/>
        <v>0</v>
      </c>
      <c r="AW308" s="17"/>
      <c r="AX308" s="1">
        <f t="shared" si="155"/>
        <v>45936</v>
      </c>
      <c r="AY308" s="120"/>
      <c r="AZ308" s="120"/>
      <c r="BA308" s="44"/>
      <c r="BB308" s="120"/>
      <c r="BC308" s="44">
        <f t="shared" si="145"/>
        <v>0</v>
      </c>
      <c r="BD308" s="17">
        <f t="shared" si="150"/>
        <v>0</v>
      </c>
    </row>
    <row r="309" spans="1:56" x14ac:dyDescent="0.3">
      <c r="A309" s="17"/>
      <c r="B309" s="1">
        <v>43745</v>
      </c>
      <c r="C309" s="7">
        <v>906</v>
      </c>
      <c r="D309" s="4">
        <v>217</v>
      </c>
      <c r="E309" s="4"/>
      <c r="F309" s="4">
        <v>66</v>
      </c>
      <c r="G309" s="7">
        <f t="shared" si="139"/>
        <v>1189</v>
      </c>
      <c r="H309" s="17">
        <f t="shared" si="136"/>
        <v>0</v>
      </c>
      <c r="J309" s="1">
        <v>44110</v>
      </c>
      <c r="K309" s="101">
        <v>990.28</v>
      </c>
      <c r="L309" s="101">
        <v>193.363</v>
      </c>
      <c r="M309" s="101"/>
      <c r="N309" s="101">
        <v>65.623000000000005</v>
      </c>
      <c r="O309" s="7">
        <f t="shared" si="140"/>
        <v>1249.2660000000001</v>
      </c>
      <c r="P309" s="17">
        <f t="shared" si="156"/>
        <v>0</v>
      </c>
      <c r="R309" s="1">
        <f t="shared" si="151"/>
        <v>44476</v>
      </c>
      <c r="S309" s="43">
        <v>1038.2628516129032</v>
      </c>
      <c r="T309" s="44">
        <v>201.1350240860215</v>
      </c>
      <c r="V309" s="44">
        <v>84.980219354838709</v>
      </c>
      <c r="W309" s="7">
        <f t="shared" si="141"/>
        <v>1324.3780950537634</v>
      </c>
      <c r="X309" s="17">
        <f t="shared" si="146"/>
        <v>0</v>
      </c>
      <c r="Y309" s="17"/>
      <c r="Z309" s="1">
        <f t="shared" si="152"/>
        <v>44841</v>
      </c>
      <c r="AA309" s="115">
        <v>1090.4960541935484</v>
      </c>
      <c r="AB309" s="115">
        <v>231.35115354838709</v>
      </c>
      <c r="AC309" s="101"/>
      <c r="AD309" s="115">
        <v>79.27834838709677</v>
      </c>
      <c r="AE309" s="101">
        <f t="shared" si="142"/>
        <v>1401.1255561290322</v>
      </c>
      <c r="AF309" s="17">
        <f t="shared" si="147"/>
        <v>0</v>
      </c>
      <c r="AH309" s="1">
        <f t="shared" si="153"/>
        <v>45206</v>
      </c>
      <c r="AI309" s="119">
        <v>1302.4380000000001</v>
      </c>
      <c r="AJ309" s="119">
        <v>244.71637795698925</v>
      </c>
      <c r="AK309" s="44"/>
      <c r="AL309" s="119">
        <v>80.485403225806451</v>
      </c>
      <c r="AM309" s="44">
        <f t="shared" si="143"/>
        <v>1627.6397811827958</v>
      </c>
      <c r="AN309" s="17">
        <f t="shared" si="148"/>
        <v>1</v>
      </c>
      <c r="AO309" s="17"/>
      <c r="AP309" s="1">
        <f t="shared" si="154"/>
        <v>45571</v>
      </c>
      <c r="AQ309" s="119">
        <v>1022.4880000000001</v>
      </c>
      <c r="AR309" s="119">
        <v>212.61866670000001</v>
      </c>
      <c r="AS309" s="44"/>
      <c r="AT309" s="119">
        <v>70.955612903225813</v>
      </c>
      <c r="AU309" s="44">
        <f t="shared" si="144"/>
        <v>1306.0622796032258</v>
      </c>
      <c r="AV309" s="17">
        <f t="shared" si="149"/>
        <v>0</v>
      </c>
      <c r="AW309" s="17"/>
      <c r="AX309" s="1">
        <f t="shared" si="155"/>
        <v>45937</v>
      </c>
      <c r="AY309" s="119"/>
      <c r="AZ309" s="119"/>
      <c r="BA309" s="44"/>
      <c r="BB309" s="119"/>
      <c r="BC309" s="44">
        <f t="shared" si="145"/>
        <v>0</v>
      </c>
      <c r="BD309" s="17">
        <f t="shared" si="150"/>
        <v>0</v>
      </c>
    </row>
    <row r="310" spans="1:56" x14ac:dyDescent="0.3">
      <c r="A310" s="17"/>
      <c r="B310" s="1">
        <v>43746</v>
      </c>
      <c r="C310" s="7">
        <v>1158</v>
      </c>
      <c r="D310" s="4">
        <v>211</v>
      </c>
      <c r="E310" s="4"/>
      <c r="F310" s="4">
        <v>71</v>
      </c>
      <c r="G310" s="7">
        <f t="shared" si="139"/>
        <v>1440</v>
      </c>
      <c r="H310" s="17">
        <f t="shared" si="136"/>
        <v>0</v>
      </c>
      <c r="J310" s="1">
        <v>44111</v>
      </c>
      <c r="K310" s="101">
        <v>973.67</v>
      </c>
      <c r="L310" s="101">
        <v>184.61799999999999</v>
      </c>
      <c r="M310" s="101"/>
      <c r="N310" s="101">
        <v>64.962000000000003</v>
      </c>
      <c r="O310" s="7">
        <f t="shared" si="140"/>
        <v>1223.25</v>
      </c>
      <c r="P310" s="17">
        <f t="shared" si="156"/>
        <v>0</v>
      </c>
      <c r="R310" s="1">
        <f t="shared" si="151"/>
        <v>44477</v>
      </c>
      <c r="S310" s="43">
        <v>1034.1118596774193</v>
      </c>
      <c r="T310" s="44">
        <v>203.54361032258063</v>
      </c>
      <c r="V310" s="44">
        <v>81.935458064516126</v>
      </c>
      <c r="W310" s="7">
        <f t="shared" si="141"/>
        <v>1319.590928064516</v>
      </c>
      <c r="X310" s="17">
        <f t="shared" si="146"/>
        <v>0</v>
      </c>
      <c r="Y310" s="17"/>
      <c r="Z310" s="1">
        <f t="shared" si="152"/>
        <v>44842</v>
      </c>
      <c r="AA310" s="116">
        <v>983.77350419354843</v>
      </c>
      <c r="AB310" s="116">
        <v>230.53324387096774</v>
      </c>
      <c r="AC310" s="101"/>
      <c r="AD310" s="116">
        <v>76.593532903225807</v>
      </c>
      <c r="AE310" s="101">
        <f t="shared" si="142"/>
        <v>1290.900280967742</v>
      </c>
      <c r="AF310" s="17">
        <f t="shared" si="147"/>
        <v>0</v>
      </c>
      <c r="AH310" s="1">
        <f t="shared" si="153"/>
        <v>45207</v>
      </c>
      <c r="AI310" s="120">
        <v>1210.857</v>
      </c>
      <c r="AJ310" s="120">
        <v>276.62382010752685</v>
      </c>
      <c r="AK310" s="44"/>
      <c r="AL310" s="120">
        <v>73.392931935483873</v>
      </c>
      <c r="AM310" s="44">
        <f t="shared" si="143"/>
        <v>1560.8737520430107</v>
      </c>
      <c r="AN310" s="17">
        <f t="shared" si="148"/>
        <v>1</v>
      </c>
      <c r="AO310" s="17"/>
      <c r="AP310" s="1">
        <f t="shared" si="154"/>
        <v>45572</v>
      </c>
      <c r="AQ310" s="120">
        <v>1015.283</v>
      </c>
      <c r="AR310" s="120">
        <v>206.73715480000001</v>
      </c>
      <c r="AS310" s="44"/>
      <c r="AT310" s="120">
        <v>69.921599999999998</v>
      </c>
      <c r="AU310" s="44">
        <f t="shared" si="144"/>
        <v>1291.9417547999999</v>
      </c>
      <c r="AV310" s="17">
        <f t="shared" si="149"/>
        <v>0</v>
      </c>
      <c r="AW310" s="17"/>
      <c r="AX310" s="1">
        <f t="shared" si="155"/>
        <v>45938</v>
      </c>
      <c r="AY310" s="120"/>
      <c r="AZ310" s="120"/>
      <c r="BA310" s="44"/>
      <c r="BB310" s="120"/>
      <c r="BC310" s="44">
        <f t="shared" si="145"/>
        <v>0</v>
      </c>
      <c r="BD310" s="17">
        <f t="shared" si="150"/>
        <v>0</v>
      </c>
    </row>
    <row r="311" spans="1:56" x14ac:dyDescent="0.3">
      <c r="A311" s="17"/>
      <c r="B311" s="1">
        <v>43747</v>
      </c>
      <c r="C311" s="7">
        <v>1085</v>
      </c>
      <c r="D311" s="4">
        <v>194</v>
      </c>
      <c r="E311" s="4"/>
      <c r="F311" s="4">
        <v>67</v>
      </c>
      <c r="G311" s="7">
        <f t="shared" si="139"/>
        <v>1346</v>
      </c>
      <c r="H311" s="17">
        <f t="shared" si="136"/>
        <v>0</v>
      </c>
      <c r="J311" s="1">
        <v>44112</v>
      </c>
      <c r="K311" s="101">
        <v>894.8</v>
      </c>
      <c r="L311" s="101">
        <v>173.84299999999999</v>
      </c>
      <c r="M311" s="101"/>
      <c r="N311" s="101">
        <v>63.604999999999997</v>
      </c>
      <c r="O311" s="7">
        <f t="shared" si="140"/>
        <v>1132.248</v>
      </c>
      <c r="P311" s="17">
        <f t="shared" si="156"/>
        <v>0</v>
      </c>
      <c r="R311" s="1">
        <f t="shared" si="151"/>
        <v>44478</v>
      </c>
      <c r="S311" s="43">
        <v>936.59508225806451</v>
      </c>
      <c r="T311" s="44">
        <v>186.21251451612903</v>
      </c>
      <c r="V311" s="44">
        <v>83.110309677419352</v>
      </c>
      <c r="W311" s="7">
        <f t="shared" si="141"/>
        <v>1205.9179064516129</v>
      </c>
      <c r="X311" s="17">
        <f t="shared" si="146"/>
        <v>0</v>
      </c>
      <c r="Y311" s="17"/>
      <c r="Z311" s="1">
        <f t="shared" si="152"/>
        <v>44843</v>
      </c>
      <c r="AA311" s="115">
        <v>904.06277483870963</v>
      </c>
      <c r="AB311" s="115">
        <v>198.96398795698926</v>
      </c>
      <c r="AC311" s="101"/>
      <c r="AD311" s="115">
        <v>69.168898064516128</v>
      </c>
      <c r="AE311" s="101">
        <f t="shared" si="142"/>
        <v>1172.195660860215</v>
      </c>
      <c r="AF311" s="17">
        <f t="shared" si="147"/>
        <v>0</v>
      </c>
      <c r="AH311" s="1">
        <f t="shared" si="153"/>
        <v>45208</v>
      </c>
      <c r="AI311" s="119">
        <v>1176.0909999999999</v>
      </c>
      <c r="AJ311" s="119">
        <v>294.04429064516131</v>
      </c>
      <c r="AK311" s="44"/>
      <c r="AL311" s="119">
        <v>67.538364086021502</v>
      </c>
      <c r="AM311" s="44">
        <f t="shared" si="143"/>
        <v>1537.6736547311828</v>
      </c>
      <c r="AN311" s="17">
        <f t="shared" si="148"/>
        <v>1</v>
      </c>
      <c r="AO311" s="17"/>
      <c r="AP311" s="1">
        <f t="shared" si="154"/>
        <v>45573</v>
      </c>
      <c r="AQ311" s="119">
        <v>998.98099999999999</v>
      </c>
      <c r="AR311" s="119">
        <v>185.583663</v>
      </c>
      <c r="AS311" s="44"/>
      <c r="AT311" s="119">
        <v>64.375432258064521</v>
      </c>
      <c r="AU311" s="44">
        <f t="shared" si="144"/>
        <v>1248.9400952580647</v>
      </c>
      <c r="AV311" s="17">
        <f t="shared" si="149"/>
        <v>0</v>
      </c>
      <c r="AW311" s="17"/>
      <c r="AX311" s="1">
        <f t="shared" si="155"/>
        <v>45939</v>
      </c>
      <c r="AY311" s="119"/>
      <c r="AZ311" s="119"/>
      <c r="BA311" s="44"/>
      <c r="BB311" s="119"/>
      <c r="BC311" s="44">
        <f t="shared" si="145"/>
        <v>0</v>
      </c>
      <c r="BD311" s="17">
        <f t="shared" si="150"/>
        <v>0</v>
      </c>
    </row>
    <row r="312" spans="1:56" x14ac:dyDescent="0.3">
      <c r="A312" s="17"/>
      <c r="B312" s="1">
        <v>43748</v>
      </c>
      <c r="C312" s="7">
        <v>1259</v>
      </c>
      <c r="D312" s="4">
        <v>225</v>
      </c>
      <c r="E312" s="4"/>
      <c r="F312" s="4">
        <v>72</v>
      </c>
      <c r="G312" s="7">
        <f t="shared" si="139"/>
        <v>1556</v>
      </c>
      <c r="H312" s="17">
        <f t="shared" si="136"/>
        <v>0</v>
      </c>
      <c r="J312" s="1">
        <v>44113</v>
      </c>
      <c r="K312" s="101">
        <v>846.34</v>
      </c>
      <c r="L312" s="101">
        <v>165.691</v>
      </c>
      <c r="M312" s="101"/>
      <c r="N312" s="101">
        <v>62.103999999999999</v>
      </c>
      <c r="O312" s="7">
        <f t="shared" si="140"/>
        <v>1074.135</v>
      </c>
      <c r="P312" s="17">
        <f t="shared" si="156"/>
        <v>0</v>
      </c>
      <c r="R312" s="1">
        <f t="shared" si="151"/>
        <v>44479</v>
      </c>
      <c r="S312" s="43">
        <v>915.81530967741935</v>
      </c>
      <c r="T312" s="44">
        <v>184.75556129032259</v>
      </c>
      <c r="V312" s="44">
        <v>72.868645161290317</v>
      </c>
      <c r="W312" s="7">
        <f t="shared" si="141"/>
        <v>1173.4395161290322</v>
      </c>
      <c r="X312" s="17">
        <f t="shared" si="146"/>
        <v>0</v>
      </c>
      <c r="Y312" s="17"/>
      <c r="Z312" s="1">
        <f t="shared" si="152"/>
        <v>44844</v>
      </c>
      <c r="AA312" s="116">
        <v>923.384784516129</v>
      </c>
      <c r="AB312" s="116">
        <v>186.90316387096775</v>
      </c>
      <c r="AC312" s="101"/>
      <c r="AD312" s="116">
        <v>59.390585806451611</v>
      </c>
      <c r="AE312" s="101">
        <f t="shared" si="142"/>
        <v>1169.6785341935483</v>
      </c>
      <c r="AF312" s="17">
        <f t="shared" si="147"/>
        <v>0</v>
      </c>
      <c r="AH312" s="1">
        <f t="shared" si="153"/>
        <v>45209</v>
      </c>
      <c r="AI312" s="120">
        <v>1233.3050000000001</v>
      </c>
      <c r="AJ312" s="120">
        <v>271.18659010752685</v>
      </c>
      <c r="AK312" s="44"/>
      <c r="AL312" s="120">
        <v>79.149941720430107</v>
      </c>
      <c r="AM312" s="44">
        <f t="shared" si="143"/>
        <v>1583.6415318279571</v>
      </c>
      <c r="AN312" s="17">
        <f t="shared" si="148"/>
        <v>1</v>
      </c>
      <c r="AO312" s="17"/>
      <c r="AP312" s="1">
        <f t="shared" si="154"/>
        <v>45574</v>
      </c>
      <c r="AQ312" s="120">
        <v>1024.7829999999999</v>
      </c>
      <c r="AR312" s="120">
        <v>204.97144259999999</v>
      </c>
      <c r="AS312" s="44"/>
      <c r="AT312" s="120">
        <v>63.055277419354837</v>
      </c>
      <c r="AU312" s="44">
        <f t="shared" si="144"/>
        <v>1292.8097200193547</v>
      </c>
      <c r="AV312" s="17">
        <f t="shared" si="149"/>
        <v>0</v>
      </c>
      <c r="AW312" s="17"/>
      <c r="AX312" s="1">
        <f t="shared" si="155"/>
        <v>45940</v>
      </c>
      <c r="AY312" s="120"/>
      <c r="AZ312" s="120"/>
      <c r="BA312" s="44"/>
      <c r="BB312" s="120"/>
      <c r="BC312" s="44">
        <f t="shared" si="145"/>
        <v>0</v>
      </c>
      <c r="BD312" s="17">
        <f t="shared" si="150"/>
        <v>0</v>
      </c>
    </row>
    <row r="313" spans="1:56" x14ac:dyDescent="0.3">
      <c r="A313" s="17"/>
      <c r="B313" s="1">
        <v>43749</v>
      </c>
      <c r="C313" s="7">
        <v>1178</v>
      </c>
      <c r="D313" s="4">
        <v>217</v>
      </c>
      <c r="E313" s="4"/>
      <c r="F313" s="4">
        <v>70</v>
      </c>
      <c r="G313" s="7">
        <f t="shared" si="139"/>
        <v>1465</v>
      </c>
      <c r="H313" s="17">
        <f t="shared" si="136"/>
        <v>0</v>
      </c>
      <c r="J313" s="1">
        <v>44114</v>
      </c>
      <c r="K313" s="101">
        <v>877.44</v>
      </c>
      <c r="L313" s="101">
        <v>167.56100000000001</v>
      </c>
      <c r="M313" s="101"/>
      <c r="N313" s="101">
        <v>64.05</v>
      </c>
      <c r="O313" s="7">
        <f t="shared" si="140"/>
        <v>1109.0509999999999</v>
      </c>
      <c r="P313" s="17">
        <f t="shared" si="156"/>
        <v>0</v>
      </c>
      <c r="R313" s="1">
        <f t="shared" si="151"/>
        <v>44480</v>
      </c>
      <c r="S313" s="43">
        <v>840.28276451612908</v>
      </c>
      <c r="T313" s="44">
        <v>182.42623</v>
      </c>
      <c r="V313" s="44">
        <v>71.184012903225806</v>
      </c>
      <c r="W313" s="7">
        <f t="shared" si="141"/>
        <v>1093.8930074193549</v>
      </c>
      <c r="X313" s="17">
        <f t="shared" si="146"/>
        <v>0</v>
      </c>
      <c r="Y313" s="17"/>
      <c r="Z313" s="1">
        <f t="shared" si="152"/>
        <v>44845</v>
      </c>
      <c r="AA313" s="115">
        <v>1054.1105448387098</v>
      </c>
      <c r="AB313" s="115">
        <v>212.84890494623656</v>
      </c>
      <c r="AC313" s="101"/>
      <c r="AD313" s="115">
        <v>67.687433978494624</v>
      </c>
      <c r="AE313" s="101">
        <f t="shared" si="142"/>
        <v>1334.6468837634411</v>
      </c>
      <c r="AF313" s="17">
        <f t="shared" si="147"/>
        <v>0</v>
      </c>
      <c r="AH313" s="1">
        <f t="shared" si="153"/>
        <v>45210</v>
      </c>
      <c r="AI313" s="119">
        <v>1144.9190000000001</v>
      </c>
      <c r="AJ313" s="119">
        <v>281.12356129032258</v>
      </c>
      <c r="AK313" s="44"/>
      <c r="AL313" s="119">
        <v>74.444391075268811</v>
      </c>
      <c r="AM313" s="44">
        <f t="shared" si="143"/>
        <v>1500.4869523655916</v>
      </c>
      <c r="AN313" s="17">
        <f t="shared" si="148"/>
        <v>1</v>
      </c>
      <c r="AO313" s="17"/>
      <c r="AP313" s="1">
        <f t="shared" si="154"/>
        <v>45575</v>
      </c>
      <c r="AQ313" s="119">
        <v>1073.3710000000001</v>
      </c>
      <c r="AR313" s="119">
        <v>238.61309309999999</v>
      </c>
      <c r="AS313" s="44"/>
      <c r="AT313" s="119">
        <v>70.647793548387099</v>
      </c>
      <c r="AU313" s="44">
        <f t="shared" si="144"/>
        <v>1382.6318866483873</v>
      </c>
      <c r="AV313" s="17">
        <f t="shared" si="149"/>
        <v>0</v>
      </c>
      <c r="AW313" s="17"/>
      <c r="AX313" s="1">
        <f t="shared" si="155"/>
        <v>45941</v>
      </c>
      <c r="AY313" s="119"/>
      <c r="AZ313" s="119"/>
      <c r="BA313" s="44"/>
      <c r="BB313" s="119"/>
      <c r="BC313" s="44">
        <f t="shared" si="145"/>
        <v>0</v>
      </c>
      <c r="BD313" s="17">
        <f t="shared" si="150"/>
        <v>0</v>
      </c>
    </row>
    <row r="314" spans="1:56" x14ac:dyDescent="0.3">
      <c r="A314" s="17"/>
      <c r="B314" s="1">
        <v>43750</v>
      </c>
      <c r="C314" s="7">
        <v>1145</v>
      </c>
      <c r="D314" s="4">
        <v>219</v>
      </c>
      <c r="E314" s="4"/>
      <c r="F314" s="4">
        <v>64</v>
      </c>
      <c r="G314" s="7">
        <f t="shared" si="139"/>
        <v>1428</v>
      </c>
      <c r="H314" s="17">
        <f t="shared" si="136"/>
        <v>0</v>
      </c>
      <c r="J314" s="1">
        <v>44115</v>
      </c>
      <c r="K314" s="101">
        <v>827.47</v>
      </c>
      <c r="L314" s="101">
        <v>157.67500000000001</v>
      </c>
      <c r="M314" s="101"/>
      <c r="N314" s="101">
        <v>57.058</v>
      </c>
      <c r="O314" s="7">
        <f t="shared" si="140"/>
        <v>1042.203</v>
      </c>
      <c r="P314" s="17">
        <f t="shared" si="156"/>
        <v>0</v>
      </c>
      <c r="R314" s="1">
        <f t="shared" si="151"/>
        <v>44481</v>
      </c>
      <c r="S314" s="43">
        <v>938.46432096774197</v>
      </c>
      <c r="T314" s="44">
        <v>184.95159774193547</v>
      </c>
      <c r="V314" s="44">
        <v>77.531638709677424</v>
      </c>
      <c r="W314" s="7">
        <f t="shared" si="141"/>
        <v>1200.947557419355</v>
      </c>
      <c r="X314" s="17">
        <f t="shared" si="146"/>
        <v>0</v>
      </c>
      <c r="Y314" s="17"/>
      <c r="Z314" s="1">
        <f t="shared" si="152"/>
        <v>44846</v>
      </c>
      <c r="AA314" s="116">
        <v>1247.242394516129</v>
      </c>
      <c r="AB314" s="116">
        <v>256.94606795698922</v>
      </c>
      <c r="AC314" s="101"/>
      <c r="AD314" s="116">
        <v>78.719958709677414</v>
      </c>
      <c r="AE314" s="101">
        <f t="shared" si="142"/>
        <v>1582.9084211827958</v>
      </c>
      <c r="AF314" s="17">
        <f t="shared" si="147"/>
        <v>1</v>
      </c>
      <c r="AH314" s="1">
        <f t="shared" si="153"/>
        <v>45211</v>
      </c>
      <c r="AI314" s="120">
        <v>1022.772</v>
      </c>
      <c r="AJ314" s="120">
        <v>250.06847494623656</v>
      </c>
      <c r="AK314" s="44"/>
      <c r="AL314" s="120">
        <v>73.798339892473123</v>
      </c>
      <c r="AM314" s="44">
        <f t="shared" si="143"/>
        <v>1346.6388148387098</v>
      </c>
      <c r="AN314" s="17">
        <f t="shared" si="148"/>
        <v>0</v>
      </c>
      <c r="AO314" s="17"/>
      <c r="AP314" s="1">
        <f t="shared" si="154"/>
        <v>45576</v>
      </c>
      <c r="AQ314" s="120">
        <v>1079.79</v>
      </c>
      <c r="AR314" s="120">
        <v>231.61571380000001</v>
      </c>
      <c r="AS314" s="44"/>
      <c r="AT314" s="120">
        <v>77.169445161290326</v>
      </c>
      <c r="AU314" s="44">
        <f t="shared" si="144"/>
        <v>1388.5751589612903</v>
      </c>
      <c r="AV314" s="17">
        <f t="shared" si="149"/>
        <v>0</v>
      </c>
      <c r="AW314" s="17"/>
      <c r="AX314" s="1">
        <f t="shared" si="155"/>
        <v>45942</v>
      </c>
      <c r="AY314" s="120"/>
      <c r="AZ314" s="120"/>
      <c r="BA314" s="44"/>
      <c r="BB314" s="120"/>
      <c r="BC314" s="44">
        <f t="shared" si="145"/>
        <v>0</v>
      </c>
      <c r="BD314" s="17">
        <f t="shared" si="150"/>
        <v>0</v>
      </c>
    </row>
    <row r="315" spans="1:56" x14ac:dyDescent="0.3">
      <c r="A315" s="17"/>
      <c r="B315" s="1">
        <v>43751</v>
      </c>
      <c r="C315" s="7">
        <v>974</v>
      </c>
      <c r="D315" s="4">
        <v>203</v>
      </c>
      <c r="E315" s="4"/>
      <c r="F315" s="4">
        <v>62</v>
      </c>
      <c r="G315" s="7">
        <f t="shared" si="139"/>
        <v>1239</v>
      </c>
      <c r="H315" s="17">
        <f t="shared" si="136"/>
        <v>0</v>
      </c>
      <c r="J315" s="1">
        <v>44116</v>
      </c>
      <c r="K315" s="101">
        <v>908.96</v>
      </c>
      <c r="L315" s="101">
        <v>166.16200000000001</v>
      </c>
      <c r="M315" s="101"/>
      <c r="N315" s="101">
        <v>59.267000000000003</v>
      </c>
      <c r="O315" s="7">
        <f t="shared" si="140"/>
        <v>1134.3890000000001</v>
      </c>
      <c r="P315" s="17">
        <f t="shared" si="156"/>
        <v>0</v>
      </c>
      <c r="R315" s="1">
        <f t="shared" si="151"/>
        <v>44482</v>
      </c>
      <c r="S315" s="43">
        <v>890.46892903225807</v>
      </c>
      <c r="T315" s="44">
        <v>191.97837935483872</v>
      </c>
      <c r="V315" s="44">
        <v>73.253122580645154</v>
      </c>
      <c r="W315" s="7">
        <f t="shared" si="141"/>
        <v>1155.700430967742</v>
      </c>
      <c r="X315" s="17">
        <f t="shared" si="146"/>
        <v>0</v>
      </c>
      <c r="Y315" s="17"/>
      <c r="Z315" s="1">
        <f t="shared" si="152"/>
        <v>44847</v>
      </c>
      <c r="AA315" s="115">
        <v>1099.6573341935484</v>
      </c>
      <c r="AB315" s="115">
        <v>232.1083630107527</v>
      </c>
      <c r="AC315" s="101"/>
      <c r="AD315" s="115">
        <v>78.144254623655911</v>
      </c>
      <c r="AE315" s="101">
        <f t="shared" si="142"/>
        <v>1409.9099518279572</v>
      </c>
      <c r="AF315" s="17">
        <f t="shared" si="147"/>
        <v>0</v>
      </c>
      <c r="AH315" s="1">
        <f t="shared" si="153"/>
        <v>45212</v>
      </c>
      <c r="AI315" s="119">
        <v>1004.8579999999999</v>
      </c>
      <c r="AJ315" s="119">
        <v>231.80795698924732</v>
      </c>
      <c r="AK315" s="44"/>
      <c r="AL315" s="119">
        <v>73.470978387096778</v>
      </c>
      <c r="AM315" s="44">
        <f t="shared" si="143"/>
        <v>1310.1369353763439</v>
      </c>
      <c r="AN315" s="17">
        <f t="shared" si="148"/>
        <v>0</v>
      </c>
      <c r="AO315" s="17"/>
      <c r="AP315" s="1">
        <f t="shared" si="154"/>
        <v>45577</v>
      </c>
      <c r="AQ315" s="119">
        <v>1052.0450000000001</v>
      </c>
      <c r="AR315" s="119">
        <v>221.80998399999999</v>
      </c>
      <c r="AS315" s="44"/>
      <c r="AT315" s="119">
        <v>70.021316129032257</v>
      </c>
      <c r="AU315" s="44">
        <f t="shared" si="144"/>
        <v>1343.8763001290324</v>
      </c>
      <c r="AV315" s="17">
        <f t="shared" si="149"/>
        <v>0</v>
      </c>
      <c r="AW315" s="17"/>
      <c r="AX315" s="1">
        <f t="shared" si="155"/>
        <v>45943</v>
      </c>
      <c r="AY315" s="119"/>
      <c r="AZ315" s="119"/>
      <c r="BA315" s="44"/>
      <c r="BB315" s="119"/>
      <c r="BC315" s="44">
        <f t="shared" si="145"/>
        <v>0</v>
      </c>
      <c r="BD315" s="17">
        <f t="shared" si="150"/>
        <v>0</v>
      </c>
    </row>
    <row r="316" spans="1:56" x14ac:dyDescent="0.3">
      <c r="A316" s="17"/>
      <c r="B316" s="1">
        <v>43752</v>
      </c>
      <c r="C316" s="7">
        <v>914</v>
      </c>
      <c r="D316" s="4">
        <v>176</v>
      </c>
      <c r="E316" s="4"/>
      <c r="F316" s="4">
        <v>59</v>
      </c>
      <c r="G316" s="7">
        <f t="shared" si="139"/>
        <v>1149</v>
      </c>
      <c r="H316" s="17">
        <f t="shared" si="136"/>
        <v>0</v>
      </c>
      <c r="J316" s="1">
        <v>44117</v>
      </c>
      <c r="K316" s="101">
        <v>1076.42</v>
      </c>
      <c r="L316" s="101">
        <v>207.02799999999999</v>
      </c>
      <c r="M316" s="101"/>
      <c r="N316" s="101">
        <v>66.447000000000003</v>
      </c>
      <c r="O316" s="7">
        <f t="shared" si="140"/>
        <v>1349.895</v>
      </c>
      <c r="P316" s="17">
        <f t="shared" si="156"/>
        <v>0</v>
      </c>
      <c r="R316" s="1">
        <f t="shared" si="151"/>
        <v>44483</v>
      </c>
      <c r="S316" s="43">
        <v>990.17544516129033</v>
      </c>
      <c r="T316" s="44">
        <v>214.47631774193547</v>
      </c>
      <c r="V316" s="44">
        <v>81.963303225806456</v>
      </c>
      <c r="W316" s="7">
        <f t="shared" si="141"/>
        <v>1286.6150661290321</v>
      </c>
      <c r="X316" s="17">
        <f t="shared" si="146"/>
        <v>0</v>
      </c>
      <c r="Y316" s="17"/>
      <c r="Z316" s="1">
        <f t="shared" si="152"/>
        <v>44848</v>
      </c>
      <c r="AA316" s="116">
        <v>1002.0026864516129</v>
      </c>
      <c r="AB316" s="116">
        <v>197.54627784946237</v>
      </c>
      <c r="AC316" s="101"/>
      <c r="AD316" s="116">
        <v>75.408578064516135</v>
      </c>
      <c r="AE316" s="101">
        <f t="shared" si="142"/>
        <v>1274.9575423655915</v>
      </c>
      <c r="AF316" s="17">
        <f t="shared" si="147"/>
        <v>0</v>
      </c>
      <c r="AH316" s="1">
        <f t="shared" si="153"/>
        <v>45213</v>
      </c>
      <c r="AI316" s="120">
        <v>953.03399999999999</v>
      </c>
      <c r="AJ316" s="120">
        <v>205.23312354838708</v>
      </c>
      <c r="AK316" s="44"/>
      <c r="AL316" s="120">
        <v>65.482056881720425</v>
      </c>
      <c r="AM316" s="44">
        <f t="shared" si="143"/>
        <v>1223.7491804301076</v>
      </c>
      <c r="AN316" s="17">
        <f t="shared" si="148"/>
        <v>0</v>
      </c>
      <c r="AO316" s="17"/>
      <c r="AP316" s="1">
        <f t="shared" si="154"/>
        <v>45578</v>
      </c>
      <c r="AQ316" s="120">
        <v>955.28</v>
      </c>
      <c r="AR316" s="120">
        <v>208.80329219999999</v>
      </c>
      <c r="AS316" s="44"/>
      <c r="AT316" s="120">
        <v>63.205935483870967</v>
      </c>
      <c r="AU316" s="44">
        <f t="shared" si="144"/>
        <v>1227.2892276838709</v>
      </c>
      <c r="AV316" s="17">
        <f t="shared" si="149"/>
        <v>0</v>
      </c>
      <c r="AW316" s="17"/>
      <c r="AX316" s="1">
        <f t="shared" si="155"/>
        <v>45944</v>
      </c>
      <c r="AY316" s="120"/>
      <c r="AZ316" s="120"/>
      <c r="BA316" s="44"/>
      <c r="BB316" s="120"/>
      <c r="BC316" s="44">
        <f t="shared" si="145"/>
        <v>0</v>
      </c>
      <c r="BD316" s="17">
        <f t="shared" si="150"/>
        <v>0</v>
      </c>
    </row>
    <row r="317" spans="1:56" x14ac:dyDescent="0.3">
      <c r="A317" s="17"/>
      <c r="B317" s="1">
        <v>43753</v>
      </c>
      <c r="C317" s="7">
        <v>900</v>
      </c>
      <c r="D317" s="4">
        <v>155</v>
      </c>
      <c r="E317" s="4"/>
      <c r="F317" s="4">
        <v>59</v>
      </c>
      <c r="G317" s="7">
        <f t="shared" si="139"/>
        <v>1114</v>
      </c>
      <c r="H317" s="17">
        <f t="shared" si="136"/>
        <v>0</v>
      </c>
      <c r="J317" s="1">
        <v>44118</v>
      </c>
      <c r="K317" s="101">
        <v>973.61</v>
      </c>
      <c r="L317" s="101">
        <v>188.21799999999999</v>
      </c>
      <c r="M317" s="101"/>
      <c r="N317" s="101">
        <v>63.887</v>
      </c>
      <c r="O317" s="7">
        <f t="shared" si="140"/>
        <v>1225.7149999999999</v>
      </c>
      <c r="P317" s="17">
        <f t="shared" si="156"/>
        <v>0</v>
      </c>
      <c r="R317" s="1">
        <f t="shared" si="151"/>
        <v>44484</v>
      </c>
      <c r="S317" s="43">
        <v>1000.9866338709677</v>
      </c>
      <c r="T317" s="44">
        <v>204.5218376344086</v>
      </c>
      <c r="V317" s="44">
        <v>85.041264516129033</v>
      </c>
      <c r="W317" s="7">
        <f t="shared" si="141"/>
        <v>1290.5497360215054</v>
      </c>
      <c r="X317" s="17">
        <f t="shared" si="146"/>
        <v>0</v>
      </c>
      <c r="Y317" s="17"/>
      <c r="Z317" s="1">
        <f t="shared" si="152"/>
        <v>44849</v>
      </c>
      <c r="AA317" s="115">
        <v>905.50140774193551</v>
      </c>
      <c r="AB317" s="115">
        <v>182.98028387096775</v>
      </c>
      <c r="AC317" s="101"/>
      <c r="AD317" s="115">
        <v>73.971482150537639</v>
      </c>
      <c r="AE317" s="101">
        <f t="shared" si="142"/>
        <v>1162.4531737634409</v>
      </c>
      <c r="AF317" s="17">
        <f t="shared" si="147"/>
        <v>0</v>
      </c>
      <c r="AH317" s="1">
        <f t="shared" si="153"/>
        <v>45214</v>
      </c>
      <c r="AI317" s="119">
        <v>952.39300000000003</v>
      </c>
      <c r="AJ317" s="119">
        <v>206.47319354838709</v>
      </c>
      <c r="AK317" s="44"/>
      <c r="AL317" s="119">
        <v>65.164451182795702</v>
      </c>
      <c r="AM317" s="44">
        <f t="shared" si="143"/>
        <v>1224.030644731183</v>
      </c>
      <c r="AN317" s="17">
        <f t="shared" si="148"/>
        <v>0</v>
      </c>
      <c r="AO317" s="17"/>
      <c r="AP317" s="1">
        <f t="shared" si="154"/>
        <v>45579</v>
      </c>
      <c r="AQ317" s="119">
        <v>1012.544</v>
      </c>
      <c r="AR317" s="119">
        <v>207.12834000000001</v>
      </c>
      <c r="AS317" s="44"/>
      <c r="AT317" s="119">
        <v>73.163458064516135</v>
      </c>
      <c r="AU317" s="44">
        <f t="shared" si="144"/>
        <v>1292.8357980645162</v>
      </c>
      <c r="AV317" s="17">
        <f t="shared" si="149"/>
        <v>0</v>
      </c>
      <c r="AW317" s="17"/>
      <c r="AX317" s="1">
        <f t="shared" si="155"/>
        <v>45945</v>
      </c>
      <c r="AY317" s="119"/>
      <c r="AZ317" s="119"/>
      <c r="BA317" s="44"/>
      <c r="BB317" s="119"/>
      <c r="BC317" s="44">
        <f t="shared" si="145"/>
        <v>0</v>
      </c>
      <c r="BD317" s="17">
        <f t="shared" si="150"/>
        <v>0</v>
      </c>
    </row>
    <row r="318" spans="1:56" x14ac:dyDescent="0.3">
      <c r="A318" s="17"/>
      <c r="B318" s="1">
        <v>43754</v>
      </c>
      <c r="C318" s="7">
        <v>919</v>
      </c>
      <c r="D318" s="4">
        <v>152</v>
      </c>
      <c r="E318" s="4"/>
      <c r="F318" s="4">
        <v>55</v>
      </c>
      <c r="G318" s="7">
        <f t="shared" si="139"/>
        <v>1126</v>
      </c>
      <c r="H318" s="17">
        <f t="shared" si="136"/>
        <v>0</v>
      </c>
      <c r="J318" s="1">
        <v>44119</v>
      </c>
      <c r="K318" s="101">
        <v>920.92</v>
      </c>
      <c r="L318" s="101">
        <v>157.82400000000001</v>
      </c>
      <c r="M318" s="101"/>
      <c r="N318" s="101">
        <v>59.515000000000001</v>
      </c>
      <c r="O318" s="7">
        <f t="shared" si="140"/>
        <v>1138.259</v>
      </c>
      <c r="P318" s="17">
        <f t="shared" si="156"/>
        <v>0</v>
      </c>
      <c r="R318" s="1">
        <f t="shared" si="151"/>
        <v>44485</v>
      </c>
      <c r="S318" s="43">
        <v>1117.5173322580645</v>
      </c>
      <c r="T318" s="44">
        <v>234.08850602150537</v>
      </c>
      <c r="V318" s="44">
        <v>80.597819354838705</v>
      </c>
      <c r="W318" s="7">
        <f t="shared" si="141"/>
        <v>1432.2036576344085</v>
      </c>
      <c r="X318" s="17">
        <f t="shared" si="146"/>
        <v>0</v>
      </c>
      <c r="Y318" s="17"/>
      <c r="Z318" s="1">
        <f t="shared" si="152"/>
        <v>44850</v>
      </c>
      <c r="AA318" s="116">
        <v>796.21661354838704</v>
      </c>
      <c r="AB318" s="116">
        <v>166.34430967741935</v>
      </c>
      <c r="AC318" s="101"/>
      <c r="AD318" s="116">
        <v>63.417267956989249</v>
      </c>
      <c r="AE318" s="101">
        <f t="shared" si="142"/>
        <v>1025.9781911827956</v>
      </c>
      <c r="AF318" s="17">
        <f t="shared" si="147"/>
        <v>0</v>
      </c>
      <c r="AH318" s="1">
        <f t="shared" si="153"/>
        <v>45215</v>
      </c>
      <c r="AI318" s="120">
        <v>1017.955</v>
      </c>
      <c r="AJ318" s="120">
        <v>215.85731301075268</v>
      </c>
      <c r="AK318" s="44"/>
      <c r="AL318" s="120">
        <v>69.112300860215058</v>
      </c>
      <c r="AM318" s="44">
        <f t="shared" si="143"/>
        <v>1302.9246138709677</v>
      </c>
      <c r="AN318" s="17">
        <f t="shared" si="148"/>
        <v>0</v>
      </c>
      <c r="AO318" s="17"/>
      <c r="AP318" s="1">
        <f t="shared" si="154"/>
        <v>45580</v>
      </c>
      <c r="AQ318" s="120">
        <v>974.55399999999997</v>
      </c>
      <c r="AR318" s="120">
        <v>209.68715040000001</v>
      </c>
      <c r="AS318" s="44"/>
      <c r="AT318" s="120">
        <v>74.175793548387091</v>
      </c>
      <c r="AU318" s="44">
        <f t="shared" si="144"/>
        <v>1258.4169439483869</v>
      </c>
      <c r="AV318" s="17">
        <f t="shared" si="149"/>
        <v>0</v>
      </c>
      <c r="AW318" s="17"/>
      <c r="AX318" s="1">
        <f t="shared" si="155"/>
        <v>45946</v>
      </c>
      <c r="AY318" s="120"/>
      <c r="AZ318" s="120"/>
      <c r="BA318" s="44"/>
      <c r="BB318" s="120"/>
      <c r="BC318" s="44">
        <f t="shared" si="145"/>
        <v>0</v>
      </c>
      <c r="BD318" s="17">
        <f t="shared" si="150"/>
        <v>0</v>
      </c>
    </row>
    <row r="319" spans="1:56" x14ac:dyDescent="0.3">
      <c r="A319" s="17"/>
      <c r="B319" s="1">
        <v>43755</v>
      </c>
      <c r="C319" s="7">
        <v>900</v>
      </c>
      <c r="D319" s="4">
        <v>159</v>
      </c>
      <c r="E319" s="4"/>
      <c r="F319" s="4">
        <v>55</v>
      </c>
      <c r="G319" s="7">
        <f t="shared" si="139"/>
        <v>1114</v>
      </c>
      <c r="H319" s="17">
        <f t="shared" si="136"/>
        <v>0</v>
      </c>
      <c r="J319" s="1">
        <v>44120</v>
      </c>
      <c r="K319" s="101">
        <v>986.57</v>
      </c>
      <c r="L319" s="101">
        <v>173.60599999999999</v>
      </c>
      <c r="M319" s="101"/>
      <c r="N319" s="101">
        <v>64.012</v>
      </c>
      <c r="O319" s="7">
        <f t="shared" si="140"/>
        <v>1224.1879999999999</v>
      </c>
      <c r="P319" s="17">
        <f t="shared" si="156"/>
        <v>0</v>
      </c>
      <c r="R319" s="1">
        <f t="shared" si="151"/>
        <v>44486</v>
      </c>
      <c r="S319" s="43">
        <v>963.86963225806448</v>
      </c>
      <c r="T319" s="44">
        <v>194.67600365591397</v>
      </c>
      <c r="V319" s="44">
        <v>71.261122580645164</v>
      </c>
      <c r="W319" s="7">
        <f t="shared" si="141"/>
        <v>1229.8067584946236</v>
      </c>
      <c r="X319" s="17">
        <f t="shared" si="146"/>
        <v>0</v>
      </c>
      <c r="Y319" s="17"/>
      <c r="Z319" s="1">
        <f t="shared" si="152"/>
        <v>44851</v>
      </c>
      <c r="AA319" s="115">
        <v>861.62207806451613</v>
      </c>
      <c r="AB319" s="115">
        <v>181.47512430107525</v>
      </c>
      <c r="AC319" s="101"/>
      <c r="AD319" s="115">
        <v>68.747941505376346</v>
      </c>
      <c r="AE319" s="101">
        <f t="shared" si="142"/>
        <v>1111.8451438709676</v>
      </c>
      <c r="AF319" s="17">
        <f t="shared" si="147"/>
        <v>0</v>
      </c>
      <c r="AH319" s="1">
        <f t="shared" si="153"/>
        <v>45216</v>
      </c>
      <c r="AI319" s="119">
        <v>995.70299999999997</v>
      </c>
      <c r="AJ319" s="119">
        <v>199.16098591397849</v>
      </c>
      <c r="AK319" s="44"/>
      <c r="AL319" s="119">
        <v>64.5184</v>
      </c>
      <c r="AM319" s="44">
        <f t="shared" si="143"/>
        <v>1259.3823859139784</v>
      </c>
      <c r="AN319" s="17">
        <f t="shared" si="148"/>
        <v>0</v>
      </c>
      <c r="AO319" s="17"/>
      <c r="AP319" s="1">
        <f t="shared" si="154"/>
        <v>45581</v>
      </c>
      <c r="AQ319" s="119">
        <v>996.96</v>
      </c>
      <c r="AR319" s="119">
        <v>211.20393920000001</v>
      </c>
      <c r="AS319" s="44"/>
      <c r="AT319" s="119">
        <v>72.720154838709675</v>
      </c>
      <c r="AU319" s="44">
        <f t="shared" si="144"/>
        <v>1280.8840940387097</v>
      </c>
      <c r="AV319" s="17">
        <f t="shared" si="149"/>
        <v>0</v>
      </c>
      <c r="AW319" s="17"/>
      <c r="AX319" s="1">
        <f t="shared" si="155"/>
        <v>45947</v>
      </c>
      <c r="AY319" s="119"/>
      <c r="AZ319" s="119"/>
      <c r="BA319" s="44"/>
      <c r="BB319" s="119"/>
      <c r="BC319" s="44">
        <f t="shared" si="145"/>
        <v>0</v>
      </c>
      <c r="BD319" s="17">
        <f t="shared" si="150"/>
        <v>0</v>
      </c>
    </row>
    <row r="320" spans="1:56" x14ac:dyDescent="0.3">
      <c r="A320" s="17"/>
      <c r="B320" s="1">
        <v>43756</v>
      </c>
      <c r="C320" s="7">
        <v>1054</v>
      </c>
      <c r="D320" s="4">
        <v>179</v>
      </c>
      <c r="E320" s="4"/>
      <c r="F320" s="4">
        <v>40</v>
      </c>
      <c r="G320" s="7">
        <f t="shared" si="139"/>
        <v>1273</v>
      </c>
      <c r="H320" s="17">
        <f t="shared" si="136"/>
        <v>0</v>
      </c>
      <c r="J320" s="1">
        <v>44121</v>
      </c>
      <c r="K320" s="101">
        <v>989.22</v>
      </c>
      <c r="L320" s="101">
        <v>167.87899999999999</v>
      </c>
      <c r="M320" s="101"/>
      <c r="N320" s="101">
        <v>65.533000000000001</v>
      </c>
      <c r="O320" s="7">
        <f t="shared" si="140"/>
        <v>1222.6319999999998</v>
      </c>
      <c r="P320" s="17">
        <f t="shared" si="156"/>
        <v>0</v>
      </c>
      <c r="R320" s="1">
        <f t="shared" si="151"/>
        <v>44487</v>
      </c>
      <c r="S320" s="43">
        <v>866.3414822580645</v>
      </c>
      <c r="T320" s="44">
        <v>178.98417193548386</v>
      </c>
      <c r="V320" s="44">
        <v>72.763690322580644</v>
      </c>
      <c r="W320" s="7">
        <f t="shared" si="141"/>
        <v>1118.0893445161291</v>
      </c>
      <c r="X320" s="17">
        <f t="shared" si="146"/>
        <v>0</v>
      </c>
      <c r="Y320" s="17"/>
      <c r="Z320" s="1">
        <f t="shared" si="152"/>
        <v>44852</v>
      </c>
      <c r="AA320" s="116">
        <v>836.42342741935488</v>
      </c>
      <c r="AB320" s="116">
        <v>170.27130494623657</v>
      </c>
      <c r="AC320" s="101"/>
      <c r="AD320" s="116">
        <v>64.839213763440867</v>
      </c>
      <c r="AE320" s="101">
        <f t="shared" si="142"/>
        <v>1071.5339461290323</v>
      </c>
      <c r="AF320" s="17">
        <f t="shared" si="147"/>
        <v>0</v>
      </c>
      <c r="AH320" s="1">
        <f t="shared" si="153"/>
        <v>45217</v>
      </c>
      <c r="AI320" s="120">
        <v>881.41300000000001</v>
      </c>
      <c r="AJ320" s="120">
        <v>182.03489096774194</v>
      </c>
      <c r="AK320" s="44"/>
      <c r="AL320" s="120">
        <v>62.677804516129029</v>
      </c>
      <c r="AM320" s="44">
        <f t="shared" si="143"/>
        <v>1126.1256954838709</v>
      </c>
      <c r="AN320" s="17">
        <f t="shared" si="148"/>
        <v>0</v>
      </c>
      <c r="AO320" s="17"/>
      <c r="AP320" s="1">
        <f t="shared" si="154"/>
        <v>45582</v>
      </c>
      <c r="AQ320" s="120">
        <v>873.43600000000004</v>
      </c>
      <c r="AR320" s="120">
        <v>184.51012950000001</v>
      </c>
      <c r="AS320" s="44"/>
      <c r="AT320" s="120">
        <v>70.970787096774188</v>
      </c>
      <c r="AU320" s="44">
        <f t="shared" si="144"/>
        <v>1128.9169165967742</v>
      </c>
      <c r="AV320" s="17">
        <f t="shared" si="149"/>
        <v>0</v>
      </c>
      <c r="AW320" s="17"/>
      <c r="AX320" s="1">
        <f t="shared" si="155"/>
        <v>45948</v>
      </c>
      <c r="AY320" s="120"/>
      <c r="AZ320" s="120"/>
      <c r="BA320" s="44"/>
      <c r="BB320" s="120"/>
      <c r="BC320" s="44">
        <f t="shared" si="145"/>
        <v>0</v>
      </c>
      <c r="BD320" s="17">
        <f t="shared" si="150"/>
        <v>0</v>
      </c>
    </row>
    <row r="321" spans="1:56" x14ac:dyDescent="0.3">
      <c r="A321" s="17"/>
      <c r="B321" s="1">
        <v>43757</v>
      </c>
      <c r="C321" s="7">
        <v>814</v>
      </c>
      <c r="D321" s="4">
        <v>164</v>
      </c>
      <c r="E321" s="4"/>
      <c r="F321" s="4">
        <v>61</v>
      </c>
      <c r="G321" s="7">
        <f t="shared" si="139"/>
        <v>1039</v>
      </c>
      <c r="H321" s="17">
        <f t="shared" si="136"/>
        <v>0</v>
      </c>
      <c r="J321" s="1">
        <v>44122</v>
      </c>
      <c r="K321" s="101">
        <v>874.82</v>
      </c>
      <c r="L321" s="101">
        <v>168.99799999999999</v>
      </c>
      <c r="M321" s="101"/>
      <c r="N321" s="101">
        <v>62.429000000000002</v>
      </c>
      <c r="O321" s="7">
        <f t="shared" si="140"/>
        <v>1106.2470000000001</v>
      </c>
      <c r="P321" s="17">
        <f t="shared" si="156"/>
        <v>0</v>
      </c>
      <c r="R321" s="1">
        <f t="shared" si="151"/>
        <v>44488</v>
      </c>
      <c r="S321" s="43">
        <v>877.50418709677422</v>
      </c>
      <c r="T321" s="44">
        <v>177.38406344086022</v>
      </c>
      <c r="V321" s="44">
        <v>75.014864516129037</v>
      </c>
      <c r="W321" s="7">
        <f t="shared" si="141"/>
        <v>1129.9031150537635</v>
      </c>
      <c r="X321" s="17">
        <f t="shared" si="146"/>
        <v>0</v>
      </c>
      <c r="Y321" s="17"/>
      <c r="Z321" s="1">
        <f t="shared" si="152"/>
        <v>44853</v>
      </c>
      <c r="AA321" s="115">
        <v>1054.4358277419356</v>
      </c>
      <c r="AB321" s="115">
        <v>204.42083440860216</v>
      </c>
      <c r="AC321" s="101"/>
      <c r="AD321" s="115">
        <v>70.908996129032261</v>
      </c>
      <c r="AE321" s="101">
        <f t="shared" si="142"/>
        <v>1329.7656582795698</v>
      </c>
      <c r="AF321" s="17">
        <f t="shared" si="147"/>
        <v>0</v>
      </c>
      <c r="AH321" s="1">
        <f t="shared" si="153"/>
        <v>45218</v>
      </c>
      <c r="AI321" s="119">
        <v>862.40200000000004</v>
      </c>
      <c r="AJ321" s="119">
        <v>169.57982892473117</v>
      </c>
      <c r="AK321" s="44"/>
      <c r="AL321" s="119">
        <v>61.464832580645158</v>
      </c>
      <c r="AM321" s="44">
        <f t="shared" si="143"/>
        <v>1093.4466615053764</v>
      </c>
      <c r="AN321" s="17">
        <f t="shared" si="148"/>
        <v>0</v>
      </c>
      <c r="AO321" s="17"/>
      <c r="AP321" s="1">
        <f t="shared" si="154"/>
        <v>45583</v>
      </c>
      <c r="AQ321" s="119">
        <v>923.30200000000002</v>
      </c>
      <c r="AR321" s="119">
        <v>200.27192729999999</v>
      </c>
      <c r="AS321" s="44"/>
      <c r="AT321" s="119">
        <v>70.845058064516124</v>
      </c>
      <c r="AU321" s="44">
        <f t="shared" si="144"/>
        <v>1194.4189853645159</v>
      </c>
      <c r="AV321" s="17">
        <f t="shared" si="149"/>
        <v>0</v>
      </c>
      <c r="AW321" s="17"/>
      <c r="AX321" s="1">
        <f t="shared" si="155"/>
        <v>45949</v>
      </c>
      <c r="AY321" s="119"/>
      <c r="AZ321" s="119"/>
      <c r="BA321" s="44"/>
      <c r="BB321" s="119"/>
      <c r="BC321" s="44">
        <f t="shared" si="145"/>
        <v>0</v>
      </c>
      <c r="BD321" s="17">
        <f t="shared" si="150"/>
        <v>0</v>
      </c>
    </row>
    <row r="322" spans="1:56" x14ac:dyDescent="0.3">
      <c r="A322" s="17"/>
      <c r="B322" s="1">
        <v>43758</v>
      </c>
      <c r="C322" s="7">
        <v>772</v>
      </c>
      <c r="D322" s="4">
        <v>144</v>
      </c>
      <c r="E322" s="4"/>
      <c r="F322" s="4">
        <v>48</v>
      </c>
      <c r="G322" s="7">
        <f t="shared" si="139"/>
        <v>964</v>
      </c>
      <c r="H322" s="17">
        <f t="shared" si="136"/>
        <v>0</v>
      </c>
      <c r="J322" s="1">
        <v>44123</v>
      </c>
      <c r="K322" s="101">
        <v>996.73</v>
      </c>
      <c r="L322" s="101">
        <v>202.52099999999999</v>
      </c>
      <c r="M322" s="101"/>
      <c r="N322" s="101">
        <v>68.173000000000002</v>
      </c>
      <c r="O322" s="7">
        <f t="shared" si="140"/>
        <v>1267.424</v>
      </c>
      <c r="P322" s="17">
        <f t="shared" si="156"/>
        <v>0</v>
      </c>
      <c r="R322" s="1">
        <f t="shared" si="151"/>
        <v>44489</v>
      </c>
      <c r="S322" s="43">
        <v>884.45903709677418</v>
      </c>
      <c r="T322" s="44">
        <v>176.04056483870968</v>
      </c>
      <c r="V322" s="44">
        <v>63.699019354838711</v>
      </c>
      <c r="W322" s="7">
        <f t="shared" si="141"/>
        <v>1124.1986212903228</v>
      </c>
      <c r="X322" s="17">
        <f t="shared" si="146"/>
        <v>0</v>
      </c>
      <c r="Y322" s="17"/>
      <c r="Z322" s="1">
        <f t="shared" si="152"/>
        <v>44854</v>
      </c>
      <c r="AA322" s="116">
        <v>1136.4666348387098</v>
      </c>
      <c r="AB322" s="116">
        <v>226.63299784946236</v>
      </c>
      <c r="AC322" s="101"/>
      <c r="AD322" s="116">
        <v>72.981314408602145</v>
      </c>
      <c r="AE322" s="101">
        <f t="shared" si="142"/>
        <v>1436.0809470967743</v>
      </c>
      <c r="AF322" s="17">
        <f t="shared" si="147"/>
        <v>0</v>
      </c>
      <c r="AH322" s="1">
        <f t="shared" si="153"/>
        <v>45219</v>
      </c>
      <c r="AI322" s="120">
        <v>1042.0809999999999</v>
      </c>
      <c r="AJ322" s="120">
        <v>195.90849462365591</v>
      </c>
      <c r="AK322" s="44"/>
      <c r="AL322" s="120">
        <v>67.697708924731188</v>
      </c>
      <c r="AM322" s="44">
        <f t="shared" si="143"/>
        <v>1305.6872035483871</v>
      </c>
      <c r="AN322" s="17">
        <f t="shared" si="148"/>
        <v>0</v>
      </c>
      <c r="AO322" s="17"/>
      <c r="AP322" s="1">
        <f t="shared" si="154"/>
        <v>45584</v>
      </c>
      <c r="AQ322" s="120">
        <v>897.89200000000005</v>
      </c>
      <c r="AR322" s="120">
        <v>182.88749580000001</v>
      </c>
      <c r="AS322" s="44"/>
      <c r="AT322" s="120">
        <v>64.753703225806447</v>
      </c>
      <c r="AU322" s="44">
        <f t="shared" si="144"/>
        <v>1145.5331990258064</v>
      </c>
      <c r="AV322" s="17">
        <f t="shared" si="149"/>
        <v>0</v>
      </c>
      <c r="AW322" s="17"/>
      <c r="AX322" s="1">
        <f t="shared" si="155"/>
        <v>45950</v>
      </c>
      <c r="AY322" s="120"/>
      <c r="AZ322" s="120"/>
      <c r="BA322" s="44"/>
      <c r="BB322" s="120"/>
      <c r="BC322" s="44">
        <f t="shared" si="145"/>
        <v>0</v>
      </c>
      <c r="BD322" s="17">
        <f t="shared" si="150"/>
        <v>0</v>
      </c>
    </row>
    <row r="323" spans="1:56" x14ac:dyDescent="0.3">
      <c r="A323" s="17"/>
      <c r="B323" s="1">
        <v>43759</v>
      </c>
      <c r="C323" s="7">
        <v>886</v>
      </c>
      <c r="D323" s="4">
        <v>162</v>
      </c>
      <c r="E323" s="4"/>
      <c r="F323" s="4">
        <v>59</v>
      </c>
      <c r="G323" s="7">
        <f t="shared" si="139"/>
        <v>1107</v>
      </c>
      <c r="H323" s="17">
        <f t="shared" si="136"/>
        <v>0</v>
      </c>
      <c r="J323" s="1">
        <v>44124</v>
      </c>
      <c r="K323" s="101">
        <v>941.62</v>
      </c>
      <c r="L323" s="101">
        <v>188.517</v>
      </c>
      <c r="M323" s="101"/>
      <c r="N323" s="101">
        <v>65.631</v>
      </c>
      <c r="O323" s="7">
        <f t="shared" si="140"/>
        <v>1195.768</v>
      </c>
      <c r="P323" s="17">
        <f t="shared" si="156"/>
        <v>0</v>
      </c>
      <c r="R323" s="1">
        <f t="shared" si="151"/>
        <v>44490</v>
      </c>
      <c r="S323" s="43">
        <v>918.22009354838713</v>
      </c>
      <c r="T323" s="44">
        <v>194.39526172043011</v>
      </c>
      <c r="V323" s="44">
        <v>76.415690322580645</v>
      </c>
      <c r="W323" s="7">
        <f t="shared" si="141"/>
        <v>1189.0310455913977</v>
      </c>
      <c r="X323" s="17">
        <f t="shared" si="146"/>
        <v>0</v>
      </c>
      <c r="Y323" s="17"/>
      <c r="Z323" s="1">
        <f t="shared" si="152"/>
        <v>44855</v>
      </c>
      <c r="AA323" s="115">
        <v>1040.2629335483871</v>
      </c>
      <c r="AB323" s="115">
        <v>213.19355870967743</v>
      </c>
      <c r="AC323" s="101"/>
      <c r="AD323" s="115">
        <v>74.195487311827961</v>
      </c>
      <c r="AE323" s="101">
        <f t="shared" si="142"/>
        <v>1327.6519795698925</v>
      </c>
      <c r="AF323" s="17">
        <f t="shared" si="147"/>
        <v>0</v>
      </c>
      <c r="AH323" s="1">
        <f t="shared" si="153"/>
        <v>45220</v>
      </c>
      <c r="AI323" s="119">
        <v>1001.288</v>
      </c>
      <c r="AJ323" s="119">
        <v>212.91868559139786</v>
      </c>
      <c r="AK323" s="44"/>
      <c r="AL323" s="119">
        <v>73.622735376344082</v>
      </c>
      <c r="AM323" s="44">
        <f t="shared" si="143"/>
        <v>1287.829420967742</v>
      </c>
      <c r="AN323" s="17">
        <f t="shared" si="148"/>
        <v>0</v>
      </c>
      <c r="AO323" s="17"/>
      <c r="AP323" s="1">
        <f t="shared" si="154"/>
        <v>45585</v>
      </c>
      <c r="AQ323" s="119">
        <v>868.23500000000001</v>
      </c>
      <c r="AR323" s="119">
        <v>174.79614559999999</v>
      </c>
      <c r="AS323" s="44"/>
      <c r="AT323" s="119">
        <v>58.417393548387096</v>
      </c>
      <c r="AU323" s="44">
        <f t="shared" si="144"/>
        <v>1101.448539148387</v>
      </c>
      <c r="AV323" s="17">
        <f t="shared" si="149"/>
        <v>0</v>
      </c>
      <c r="AW323" s="17"/>
      <c r="AX323" s="1">
        <f t="shared" si="155"/>
        <v>45951</v>
      </c>
      <c r="AY323" s="119"/>
      <c r="AZ323" s="119"/>
      <c r="BA323" s="44"/>
      <c r="BB323" s="119"/>
      <c r="BC323" s="44">
        <f t="shared" si="145"/>
        <v>0</v>
      </c>
      <c r="BD323" s="17">
        <f t="shared" si="150"/>
        <v>0</v>
      </c>
    </row>
    <row r="324" spans="1:56" x14ac:dyDescent="0.3">
      <c r="A324" s="17"/>
      <c r="B324" s="1">
        <v>43760</v>
      </c>
      <c r="C324" s="7">
        <v>856</v>
      </c>
      <c r="D324" s="4">
        <v>166</v>
      </c>
      <c r="E324" s="4"/>
      <c r="F324" s="4">
        <v>61</v>
      </c>
      <c r="G324" s="7">
        <f t="shared" si="139"/>
        <v>1083</v>
      </c>
      <c r="H324" s="17">
        <f t="shared" si="136"/>
        <v>0</v>
      </c>
      <c r="J324" s="1">
        <v>44125</v>
      </c>
      <c r="K324" s="101">
        <v>975.33</v>
      </c>
      <c r="L324" s="101">
        <v>185.31700000000001</v>
      </c>
      <c r="M324" s="101"/>
      <c r="N324" s="101">
        <v>64.17</v>
      </c>
      <c r="O324" s="7">
        <f t="shared" si="140"/>
        <v>1224.817</v>
      </c>
      <c r="P324" s="17">
        <f t="shared" si="156"/>
        <v>0</v>
      </c>
      <c r="R324" s="1">
        <f t="shared" si="151"/>
        <v>44491</v>
      </c>
      <c r="S324" s="43">
        <v>1049.9879822580644</v>
      </c>
      <c r="T324" s="44">
        <v>207.83859989247313</v>
      </c>
      <c r="V324" s="44">
        <v>79.843858064516127</v>
      </c>
      <c r="W324" s="7">
        <f t="shared" si="141"/>
        <v>1337.6704402150538</v>
      </c>
      <c r="X324" s="17">
        <f t="shared" si="146"/>
        <v>0</v>
      </c>
      <c r="Y324" s="17"/>
      <c r="Z324" s="1">
        <f t="shared" si="152"/>
        <v>44856</v>
      </c>
      <c r="AA324" s="116">
        <v>982.06294709677422</v>
      </c>
      <c r="AB324" s="116">
        <v>201.05454451612903</v>
      </c>
      <c r="AC324" s="101"/>
      <c r="AD324" s="116">
        <v>71.199012473118273</v>
      </c>
      <c r="AE324" s="101">
        <f t="shared" si="142"/>
        <v>1254.3165040860215</v>
      </c>
      <c r="AF324" s="17">
        <f t="shared" si="147"/>
        <v>0</v>
      </c>
      <c r="AH324" s="1">
        <f t="shared" si="153"/>
        <v>45221</v>
      </c>
      <c r="AI324" s="120">
        <v>844.74099999999999</v>
      </c>
      <c r="AJ324" s="120">
        <v>173.69595870967743</v>
      </c>
      <c r="AK324" s="44"/>
      <c r="AL324" s="120">
        <v>60.598733763440862</v>
      </c>
      <c r="AM324" s="44">
        <f t="shared" si="143"/>
        <v>1079.0356924731182</v>
      </c>
      <c r="AN324" s="17">
        <f t="shared" si="148"/>
        <v>0</v>
      </c>
      <c r="AO324" s="17"/>
      <c r="AP324" s="1">
        <f t="shared" si="154"/>
        <v>45586</v>
      </c>
      <c r="AQ324" s="120">
        <v>998.18200000000002</v>
      </c>
      <c r="AR324" s="120">
        <v>198.73725200000001</v>
      </c>
      <c r="AS324" s="44"/>
      <c r="AT324" s="120">
        <v>65.975225806451618</v>
      </c>
      <c r="AU324" s="44">
        <f t="shared" si="144"/>
        <v>1262.8944778064517</v>
      </c>
      <c r="AV324" s="17">
        <f t="shared" si="149"/>
        <v>0</v>
      </c>
      <c r="AW324" s="17"/>
      <c r="AX324" s="1">
        <f t="shared" si="155"/>
        <v>45952</v>
      </c>
      <c r="AY324" s="120"/>
      <c r="AZ324" s="120"/>
      <c r="BA324" s="44"/>
      <c r="BB324" s="120"/>
      <c r="BC324" s="44">
        <f t="shared" si="145"/>
        <v>0</v>
      </c>
      <c r="BD324" s="17">
        <f t="shared" si="150"/>
        <v>0</v>
      </c>
    </row>
    <row r="325" spans="1:56" x14ac:dyDescent="0.3">
      <c r="A325" s="17"/>
      <c r="B325" s="1">
        <v>43761</v>
      </c>
      <c r="C325" s="7">
        <v>830</v>
      </c>
      <c r="D325" s="4">
        <v>155</v>
      </c>
      <c r="E325" s="4"/>
      <c r="F325" s="4">
        <v>57</v>
      </c>
      <c r="G325" s="7">
        <f t="shared" si="139"/>
        <v>1042</v>
      </c>
      <c r="H325" s="17">
        <f t="shared" si="136"/>
        <v>0</v>
      </c>
      <c r="J325" s="1">
        <v>44126</v>
      </c>
      <c r="K325" s="101">
        <v>832.12</v>
      </c>
      <c r="L325" s="101">
        <v>163.54400000000001</v>
      </c>
      <c r="M325" s="101"/>
      <c r="N325" s="101">
        <v>59.25</v>
      </c>
      <c r="O325" s="7">
        <f t="shared" si="140"/>
        <v>1054.914</v>
      </c>
      <c r="P325" s="17">
        <f t="shared" si="156"/>
        <v>0</v>
      </c>
      <c r="R325" s="1">
        <f t="shared" si="151"/>
        <v>44492</v>
      </c>
      <c r="S325" s="43">
        <v>1140.6853467741935</v>
      </c>
      <c r="T325" s="44">
        <v>232.87992537634409</v>
      </c>
      <c r="V325" s="44">
        <v>77.957883870967748</v>
      </c>
      <c r="W325" s="7">
        <f t="shared" si="141"/>
        <v>1451.5231560215052</v>
      </c>
      <c r="X325" s="17">
        <f t="shared" si="146"/>
        <v>0</v>
      </c>
      <c r="Y325" s="17"/>
      <c r="Z325" s="1">
        <f t="shared" si="152"/>
        <v>44857</v>
      </c>
      <c r="AA325" s="115">
        <v>848.29471419354843</v>
      </c>
      <c r="AB325" s="115">
        <v>165.53771698924731</v>
      </c>
      <c r="AC325" s="101"/>
      <c r="AD325" s="115">
        <v>63.785199139784943</v>
      </c>
      <c r="AE325" s="101">
        <f t="shared" si="142"/>
        <v>1077.6176303225807</v>
      </c>
      <c r="AF325" s="17">
        <f t="shared" si="147"/>
        <v>0</v>
      </c>
      <c r="AH325" s="1">
        <f t="shared" si="153"/>
        <v>45222</v>
      </c>
      <c r="AI325" s="119">
        <v>823.82799999999997</v>
      </c>
      <c r="AJ325" s="119">
        <v>173.46722784946238</v>
      </c>
      <c r="AK325" s="44"/>
      <c r="AL325" s="119">
        <v>58.609633225806455</v>
      </c>
      <c r="AM325" s="44">
        <f t="shared" si="143"/>
        <v>1055.9048610752689</v>
      </c>
      <c r="AN325" s="17">
        <f t="shared" si="148"/>
        <v>0</v>
      </c>
      <c r="AO325" s="17"/>
      <c r="AP325" s="1">
        <f t="shared" si="154"/>
        <v>45587</v>
      </c>
      <c r="AQ325" s="119">
        <v>945.70500000000004</v>
      </c>
      <c r="AR325" s="119">
        <v>174.26085560000001</v>
      </c>
      <c r="AS325" s="44"/>
      <c r="AT325" s="119">
        <v>68.576516129032257</v>
      </c>
      <c r="AU325" s="44">
        <f t="shared" si="144"/>
        <v>1188.5423717290323</v>
      </c>
      <c r="AV325" s="17">
        <f t="shared" si="149"/>
        <v>0</v>
      </c>
      <c r="AW325" s="17"/>
      <c r="AX325" s="1">
        <f t="shared" si="155"/>
        <v>45953</v>
      </c>
      <c r="AY325" s="119"/>
      <c r="AZ325" s="119"/>
      <c r="BA325" s="44"/>
      <c r="BB325" s="119"/>
      <c r="BC325" s="44">
        <f t="shared" si="145"/>
        <v>0</v>
      </c>
      <c r="BD325" s="17">
        <f t="shared" si="150"/>
        <v>0</v>
      </c>
    </row>
    <row r="326" spans="1:56" x14ac:dyDescent="0.3">
      <c r="A326" s="17"/>
      <c r="B326" s="1">
        <v>43762</v>
      </c>
      <c r="C326" s="7">
        <v>774</v>
      </c>
      <c r="D326" s="4">
        <v>142</v>
      </c>
      <c r="E326" s="4"/>
      <c r="F326" s="4">
        <v>51</v>
      </c>
      <c r="G326" s="7">
        <f t="shared" si="139"/>
        <v>967</v>
      </c>
      <c r="H326" s="17">
        <f t="shared" si="136"/>
        <v>0</v>
      </c>
      <c r="J326" s="1">
        <v>44127</v>
      </c>
      <c r="K326" s="101">
        <v>897.69</v>
      </c>
      <c r="L326" s="101">
        <v>168.25800000000001</v>
      </c>
      <c r="M326" s="101"/>
      <c r="N326" s="101">
        <v>58.996000000000002</v>
      </c>
      <c r="O326" s="7">
        <f t="shared" si="140"/>
        <v>1124.9440000000002</v>
      </c>
      <c r="P326" s="17">
        <f t="shared" si="156"/>
        <v>0</v>
      </c>
      <c r="R326" s="1">
        <f t="shared" si="151"/>
        <v>44493</v>
      </c>
      <c r="S326" s="43">
        <v>1027.6605048387096</v>
      </c>
      <c r="T326" s="44">
        <v>217.57147107526882</v>
      </c>
      <c r="V326" s="44">
        <v>64.739999999999995</v>
      </c>
      <c r="W326" s="7">
        <f t="shared" si="141"/>
        <v>1309.9719759139784</v>
      </c>
      <c r="X326" s="17">
        <f t="shared" si="146"/>
        <v>0</v>
      </c>
      <c r="Y326" s="17"/>
      <c r="Z326" s="1">
        <f t="shared" si="152"/>
        <v>44858</v>
      </c>
      <c r="AA326" s="116">
        <v>1012.870419032258</v>
      </c>
      <c r="AB326" s="116">
        <v>189.60586666666666</v>
      </c>
      <c r="AC326" s="101"/>
      <c r="AD326" s="116">
        <v>69.626647741935486</v>
      </c>
      <c r="AE326" s="101">
        <f t="shared" si="142"/>
        <v>1272.1029334408602</v>
      </c>
      <c r="AF326" s="17">
        <f t="shared" si="147"/>
        <v>0</v>
      </c>
      <c r="AH326" s="1">
        <f t="shared" si="153"/>
        <v>45223</v>
      </c>
      <c r="AI326" s="120">
        <v>884.55499999999995</v>
      </c>
      <c r="AJ326" s="120">
        <v>192.39957860215054</v>
      </c>
      <c r="AK326" s="44"/>
      <c r="AL326" s="120">
        <v>61.732575268817207</v>
      </c>
      <c r="AM326" s="44">
        <f t="shared" si="143"/>
        <v>1138.6871538709677</v>
      </c>
      <c r="AN326" s="17">
        <f t="shared" si="148"/>
        <v>0</v>
      </c>
      <c r="AO326" s="17"/>
      <c r="AP326" s="1">
        <f t="shared" si="154"/>
        <v>45588</v>
      </c>
      <c r="AQ326" s="120">
        <v>898.19899999999996</v>
      </c>
      <c r="AR326" s="120">
        <v>181.61359300000001</v>
      </c>
      <c r="AS326" s="44"/>
      <c r="AT326" s="120">
        <v>65.633806451612898</v>
      </c>
      <c r="AU326" s="44">
        <f t="shared" si="144"/>
        <v>1145.4463994516127</v>
      </c>
      <c r="AV326" s="17">
        <f t="shared" si="149"/>
        <v>0</v>
      </c>
      <c r="AW326" s="17"/>
      <c r="AX326" s="1">
        <f t="shared" si="155"/>
        <v>45954</v>
      </c>
      <c r="AY326" s="120"/>
      <c r="AZ326" s="120"/>
      <c r="BA326" s="44"/>
      <c r="BB326" s="120"/>
      <c r="BC326" s="44">
        <f t="shared" si="145"/>
        <v>0</v>
      </c>
      <c r="BD326" s="17">
        <f t="shared" si="150"/>
        <v>0</v>
      </c>
    </row>
    <row r="327" spans="1:56" x14ac:dyDescent="0.3">
      <c r="A327" s="17"/>
      <c r="B327" s="1">
        <v>43763</v>
      </c>
      <c r="C327" s="7">
        <v>870</v>
      </c>
      <c r="D327" s="4">
        <v>156</v>
      </c>
      <c r="E327" s="4"/>
      <c r="F327" s="4">
        <v>59</v>
      </c>
      <c r="G327" s="7">
        <f t="shared" si="139"/>
        <v>1085</v>
      </c>
      <c r="H327" s="17">
        <f t="shared" si="136"/>
        <v>0</v>
      </c>
      <c r="J327" s="1">
        <v>44128</v>
      </c>
      <c r="K327" s="101">
        <v>977.65</v>
      </c>
      <c r="L327" s="101">
        <v>164.464</v>
      </c>
      <c r="M327" s="101"/>
      <c r="N327" s="101">
        <v>62.399000000000001</v>
      </c>
      <c r="O327" s="7">
        <f t="shared" si="140"/>
        <v>1204.5129999999999</v>
      </c>
      <c r="P327" s="17">
        <f t="shared" si="156"/>
        <v>0</v>
      </c>
      <c r="R327" s="1">
        <f t="shared" si="151"/>
        <v>44494</v>
      </c>
      <c r="S327" s="43">
        <v>1087.9506903225806</v>
      </c>
      <c r="T327" s="44">
        <v>229.02373860215053</v>
      </c>
      <c r="V327" s="44">
        <v>69.44369032258065</v>
      </c>
      <c r="W327" s="7">
        <f t="shared" si="141"/>
        <v>1386.4181192473118</v>
      </c>
      <c r="X327" s="17">
        <f t="shared" si="146"/>
        <v>0</v>
      </c>
      <c r="Y327" s="17"/>
      <c r="Z327" s="1">
        <f t="shared" si="152"/>
        <v>44859</v>
      </c>
      <c r="AA327" s="115">
        <v>1073.3504641935483</v>
      </c>
      <c r="AB327" s="115">
        <v>196.43618408602151</v>
      </c>
      <c r="AC327" s="101"/>
      <c r="AD327" s="115">
        <v>75.807891612903219</v>
      </c>
      <c r="AE327" s="101">
        <f t="shared" si="142"/>
        <v>1345.594539892473</v>
      </c>
      <c r="AF327" s="17">
        <f t="shared" si="147"/>
        <v>0</v>
      </c>
      <c r="AH327" s="1">
        <f t="shared" si="153"/>
        <v>45224</v>
      </c>
      <c r="AI327" s="119">
        <v>1090.2729999999999</v>
      </c>
      <c r="AJ327" s="119">
        <v>234.42964344086022</v>
      </c>
      <c r="AK327" s="44"/>
      <c r="AL327" s="119">
        <v>75.877410645161291</v>
      </c>
      <c r="AM327" s="44">
        <f t="shared" si="143"/>
        <v>1400.5800540860214</v>
      </c>
      <c r="AN327" s="17">
        <f t="shared" si="148"/>
        <v>0</v>
      </c>
      <c r="AO327" s="17"/>
      <c r="AP327" s="1">
        <f t="shared" si="154"/>
        <v>45589</v>
      </c>
      <c r="AQ327" s="119">
        <v>983.548</v>
      </c>
      <c r="AR327" s="119">
        <v>216.77005560000001</v>
      </c>
      <c r="AS327" s="44"/>
      <c r="AT327" s="119">
        <v>70.789780645161287</v>
      </c>
      <c r="AU327" s="44">
        <f t="shared" si="144"/>
        <v>1271.1078362451613</v>
      </c>
      <c r="AV327" s="17">
        <f t="shared" si="149"/>
        <v>0</v>
      </c>
      <c r="AW327" s="17"/>
      <c r="AX327" s="1">
        <f t="shared" si="155"/>
        <v>45955</v>
      </c>
      <c r="AY327" s="119"/>
      <c r="AZ327" s="119"/>
      <c r="BA327" s="44"/>
      <c r="BB327" s="119"/>
      <c r="BC327" s="44">
        <f t="shared" si="145"/>
        <v>0</v>
      </c>
      <c r="BD327" s="17">
        <f t="shared" si="150"/>
        <v>0</v>
      </c>
    </row>
    <row r="328" spans="1:56" x14ac:dyDescent="0.3">
      <c r="A328" s="17"/>
      <c r="B328" s="1">
        <v>43764</v>
      </c>
      <c r="C328" s="7">
        <v>866</v>
      </c>
      <c r="D328" s="4">
        <v>165</v>
      </c>
      <c r="E328" s="4"/>
      <c r="F328" s="4">
        <v>58</v>
      </c>
      <c r="G328" s="7">
        <f t="shared" si="139"/>
        <v>1089</v>
      </c>
      <c r="H328" s="17">
        <f t="shared" si="136"/>
        <v>0</v>
      </c>
      <c r="J328" s="1">
        <v>44129</v>
      </c>
      <c r="K328" s="101">
        <v>867.36</v>
      </c>
      <c r="L328" s="101">
        <v>145.59100000000001</v>
      </c>
      <c r="M328" s="101"/>
      <c r="N328" s="101">
        <v>56.39</v>
      </c>
      <c r="O328" s="7">
        <f t="shared" si="140"/>
        <v>1069.3410000000001</v>
      </c>
      <c r="P328" s="17">
        <f t="shared" si="156"/>
        <v>0</v>
      </c>
      <c r="R328" s="1">
        <f t="shared" si="151"/>
        <v>44495</v>
      </c>
      <c r="S328" s="43">
        <v>999.47614838709683</v>
      </c>
      <c r="T328" s="44">
        <v>221.17243118279569</v>
      </c>
      <c r="V328" s="44">
        <v>74.623961290322583</v>
      </c>
      <c r="W328" s="7">
        <f t="shared" si="141"/>
        <v>1295.272540860215</v>
      </c>
      <c r="X328" s="17">
        <f t="shared" si="146"/>
        <v>0</v>
      </c>
      <c r="Y328" s="17"/>
      <c r="Z328" s="1">
        <f t="shared" si="152"/>
        <v>44860</v>
      </c>
      <c r="AA328" s="116">
        <v>970.25117580645156</v>
      </c>
      <c r="AB328" s="116">
        <v>199.09259010752689</v>
      </c>
      <c r="AC328" s="101"/>
      <c r="AD328" s="116">
        <v>74.200898064516124</v>
      </c>
      <c r="AE328" s="101">
        <f t="shared" si="142"/>
        <v>1243.5446639784946</v>
      </c>
      <c r="AF328" s="17">
        <f t="shared" si="147"/>
        <v>0</v>
      </c>
      <c r="AH328" s="1">
        <f t="shared" si="153"/>
        <v>45225</v>
      </c>
      <c r="AI328" s="120">
        <v>1058.7460000000001</v>
      </c>
      <c r="AJ328" s="120">
        <v>230.15145322580645</v>
      </c>
      <c r="AK328" s="44"/>
      <c r="AL328" s="120">
        <v>76.922365913978496</v>
      </c>
      <c r="AM328" s="44">
        <f t="shared" si="143"/>
        <v>1365.8198191397851</v>
      </c>
      <c r="AN328" s="17">
        <f t="shared" si="148"/>
        <v>0</v>
      </c>
      <c r="AO328" s="17"/>
      <c r="AP328" s="1">
        <f t="shared" si="154"/>
        <v>45590</v>
      </c>
      <c r="AQ328" s="120">
        <v>1089.126</v>
      </c>
      <c r="AR328" s="120">
        <v>247.46445639999999</v>
      </c>
      <c r="AS328" s="44"/>
      <c r="AT328" s="120">
        <v>74.910658064516127</v>
      </c>
      <c r="AU328" s="44">
        <f t="shared" si="144"/>
        <v>1411.5011144645161</v>
      </c>
      <c r="AV328" s="17">
        <f t="shared" si="149"/>
        <v>0</v>
      </c>
      <c r="AW328" s="17"/>
      <c r="AX328" s="1">
        <f t="shared" si="155"/>
        <v>45956</v>
      </c>
      <c r="AY328" s="120"/>
      <c r="AZ328" s="120"/>
      <c r="BA328" s="44"/>
      <c r="BB328" s="120"/>
      <c r="BC328" s="44">
        <f t="shared" si="145"/>
        <v>0</v>
      </c>
      <c r="BD328" s="17">
        <f t="shared" si="150"/>
        <v>0</v>
      </c>
    </row>
    <row r="329" spans="1:56" x14ac:dyDescent="0.3">
      <c r="A329" s="17"/>
      <c r="B329" s="1">
        <v>43765</v>
      </c>
      <c r="C329" s="7">
        <v>962</v>
      </c>
      <c r="D329" s="4">
        <v>186</v>
      </c>
      <c r="E329" s="4"/>
      <c r="F329" s="4">
        <v>58</v>
      </c>
      <c r="G329" s="7">
        <f t="shared" si="139"/>
        <v>1206</v>
      </c>
      <c r="H329" s="17">
        <f t="shared" si="136"/>
        <v>0</v>
      </c>
      <c r="J329" s="1">
        <v>44130</v>
      </c>
      <c r="K329" s="101">
        <v>804.24</v>
      </c>
      <c r="L329" s="101">
        <v>160.05600000000001</v>
      </c>
      <c r="M329" s="101"/>
      <c r="N329" s="101">
        <v>54.932000000000002</v>
      </c>
      <c r="O329" s="7">
        <f t="shared" si="140"/>
        <v>1019.2280000000001</v>
      </c>
      <c r="P329" s="17">
        <f t="shared" si="156"/>
        <v>0</v>
      </c>
      <c r="R329" s="1">
        <f t="shared" si="151"/>
        <v>44496</v>
      </c>
      <c r="S329" s="43">
        <v>943.49306935483867</v>
      </c>
      <c r="T329" s="44">
        <v>199.70663354838709</v>
      </c>
      <c r="V329" s="44">
        <v>78.451599999999999</v>
      </c>
      <c r="W329" s="7">
        <f t="shared" si="141"/>
        <v>1221.6513029032258</v>
      </c>
      <c r="X329" s="17">
        <f t="shared" si="146"/>
        <v>0</v>
      </c>
      <c r="Y329" s="17"/>
      <c r="Z329" s="1">
        <f t="shared" si="152"/>
        <v>44861</v>
      </c>
      <c r="AA329" s="115">
        <v>1069.750803548387</v>
      </c>
      <c r="AB329" s="115">
        <v>238.46028043010753</v>
      </c>
      <c r="AC329" s="101"/>
      <c r="AD329" s="115">
        <v>70.694730322580639</v>
      </c>
      <c r="AE329" s="101">
        <f t="shared" si="142"/>
        <v>1378.9058143010752</v>
      </c>
      <c r="AF329" s="17">
        <f t="shared" si="147"/>
        <v>0</v>
      </c>
      <c r="AH329" s="1">
        <f t="shared" si="153"/>
        <v>45226</v>
      </c>
      <c r="AI329" s="119">
        <v>1031.569</v>
      </c>
      <c r="AJ329" s="119">
        <v>208.80358150537634</v>
      </c>
      <c r="AK329" s="44"/>
      <c r="AL329" s="119">
        <v>72.641734838709681</v>
      </c>
      <c r="AM329" s="44">
        <f t="shared" si="143"/>
        <v>1313.014316344086</v>
      </c>
      <c r="AN329" s="17">
        <f t="shared" si="148"/>
        <v>0</v>
      </c>
      <c r="AO329" s="17"/>
      <c r="AP329" s="1">
        <f t="shared" si="154"/>
        <v>45591</v>
      </c>
      <c r="AQ329" s="119">
        <v>893.64200000000005</v>
      </c>
      <c r="AR329" s="119">
        <v>217.00556639999999</v>
      </c>
      <c r="AS329" s="44"/>
      <c r="AT329" s="119">
        <v>68.653470967741939</v>
      </c>
      <c r="AU329" s="44">
        <f t="shared" si="144"/>
        <v>1179.3010373677419</v>
      </c>
      <c r="AV329" s="17">
        <f t="shared" si="149"/>
        <v>0</v>
      </c>
      <c r="AW329" s="17"/>
      <c r="AX329" s="1">
        <f t="shared" si="155"/>
        <v>45957</v>
      </c>
      <c r="AY329" s="119"/>
      <c r="AZ329" s="119"/>
      <c r="BA329" s="44"/>
      <c r="BB329" s="119"/>
      <c r="BC329" s="44">
        <f t="shared" si="145"/>
        <v>0</v>
      </c>
      <c r="BD329" s="17">
        <f t="shared" si="150"/>
        <v>0</v>
      </c>
    </row>
    <row r="330" spans="1:56" ht="14.5" x14ac:dyDescent="0.3">
      <c r="A330" s="17"/>
      <c r="B330" s="1">
        <v>43766</v>
      </c>
      <c r="C330" s="42">
        <v>993</v>
      </c>
      <c r="D330" s="4">
        <v>200</v>
      </c>
      <c r="E330" s="4"/>
      <c r="F330" s="4">
        <v>58</v>
      </c>
      <c r="G330" s="7">
        <f t="shared" si="139"/>
        <v>1251</v>
      </c>
      <c r="H330" s="17">
        <f t="shared" si="136"/>
        <v>0</v>
      </c>
      <c r="J330" s="1">
        <v>44131</v>
      </c>
      <c r="K330" s="106">
        <v>876.96</v>
      </c>
      <c r="L330" s="101">
        <v>173.488</v>
      </c>
      <c r="M330" s="101"/>
      <c r="N330" s="101">
        <v>56.320999999999998</v>
      </c>
      <c r="O330" s="7">
        <f t="shared" si="140"/>
        <v>1106.769</v>
      </c>
      <c r="P330" s="17">
        <f t="shared" si="156"/>
        <v>0</v>
      </c>
      <c r="R330" s="1">
        <f t="shared" si="151"/>
        <v>44497</v>
      </c>
      <c r="S330" s="43">
        <v>796.18299838709675</v>
      </c>
      <c r="T330" s="44">
        <v>180.89704569892473</v>
      </c>
      <c r="V330" s="44">
        <v>72.717638709677416</v>
      </c>
      <c r="W330" s="7">
        <f t="shared" si="141"/>
        <v>1049.7976827956988</v>
      </c>
      <c r="X330" s="17">
        <f t="shared" si="146"/>
        <v>0</v>
      </c>
      <c r="Y330" s="17"/>
      <c r="Z330" s="1">
        <f t="shared" si="152"/>
        <v>44862</v>
      </c>
      <c r="AA330" s="116">
        <v>1108.6698254838709</v>
      </c>
      <c r="AB330" s="116">
        <v>244.29676043010753</v>
      </c>
      <c r="AC330" s="101"/>
      <c r="AD330" s="116">
        <v>77.190880000000007</v>
      </c>
      <c r="AE330" s="101">
        <f t="shared" si="142"/>
        <v>1430.1574659139785</v>
      </c>
      <c r="AF330" s="17">
        <f t="shared" si="147"/>
        <v>0</v>
      </c>
      <c r="AH330" s="1">
        <f t="shared" si="153"/>
        <v>45227</v>
      </c>
      <c r="AI330" s="120">
        <v>1042.2270000000001</v>
      </c>
      <c r="AJ330" s="120">
        <v>231.31254440860215</v>
      </c>
      <c r="AK330" s="44"/>
      <c r="AL330" s="120">
        <v>71.168608064516135</v>
      </c>
      <c r="AM330" s="44">
        <f t="shared" si="143"/>
        <v>1344.7081524731184</v>
      </c>
      <c r="AN330" s="17">
        <f t="shared" si="148"/>
        <v>0</v>
      </c>
      <c r="AO330" s="17"/>
      <c r="AP330" s="1">
        <f t="shared" si="154"/>
        <v>45592</v>
      </c>
      <c r="AQ330" s="120">
        <v>930.93499999999995</v>
      </c>
      <c r="AR330" s="120">
        <v>218.75518</v>
      </c>
      <c r="AS330" s="44"/>
      <c r="AT330" s="120">
        <v>61.365522580645163</v>
      </c>
      <c r="AU330" s="44">
        <f t="shared" si="144"/>
        <v>1211.0557025806452</v>
      </c>
      <c r="AV330" s="17">
        <f t="shared" si="149"/>
        <v>0</v>
      </c>
      <c r="AW330" s="17"/>
      <c r="AX330" s="1">
        <f t="shared" si="155"/>
        <v>45958</v>
      </c>
      <c r="AY330" s="120"/>
      <c r="AZ330" s="120"/>
      <c r="BA330" s="44"/>
      <c r="BB330" s="120"/>
      <c r="BC330" s="44">
        <f t="shared" si="145"/>
        <v>0</v>
      </c>
      <c r="BD330" s="17">
        <f t="shared" si="150"/>
        <v>0</v>
      </c>
    </row>
    <row r="331" spans="1:56" ht="14.5" x14ac:dyDescent="0.3">
      <c r="A331" s="17"/>
      <c r="B331" s="1">
        <v>43767</v>
      </c>
      <c r="C331" s="42">
        <v>891</v>
      </c>
      <c r="D331" s="4">
        <v>178</v>
      </c>
      <c r="E331" s="4"/>
      <c r="F331" s="4">
        <v>58</v>
      </c>
      <c r="G331" s="7">
        <f t="shared" si="139"/>
        <v>1127</v>
      </c>
      <c r="H331" s="17">
        <f t="shared" si="136"/>
        <v>0</v>
      </c>
      <c r="J331" s="1">
        <v>44132</v>
      </c>
      <c r="K331" s="106">
        <v>900.84</v>
      </c>
      <c r="L331" s="101">
        <v>180.63800000000001</v>
      </c>
      <c r="M331" s="101"/>
      <c r="N331" s="101">
        <v>61.290999999999997</v>
      </c>
      <c r="O331" s="7">
        <f t="shared" si="140"/>
        <v>1142.769</v>
      </c>
      <c r="P331" s="17">
        <f t="shared" si="156"/>
        <v>0</v>
      </c>
      <c r="R331" s="1">
        <f t="shared" si="151"/>
        <v>44498</v>
      </c>
      <c r="S331" s="43">
        <v>841.10159032258059</v>
      </c>
      <c r="T331" s="44">
        <v>184.4980058064516</v>
      </c>
      <c r="V331" s="44">
        <v>72.82259354838709</v>
      </c>
      <c r="W331" s="7">
        <f t="shared" si="141"/>
        <v>1098.4221896774193</v>
      </c>
      <c r="X331" s="17">
        <f t="shared" si="146"/>
        <v>0</v>
      </c>
      <c r="Y331" s="17"/>
      <c r="Z331" s="1">
        <f t="shared" si="152"/>
        <v>44863</v>
      </c>
      <c r="AA331" s="115">
        <v>1058.1216832258065</v>
      </c>
      <c r="AB331" s="115">
        <v>229.81615827956989</v>
      </c>
      <c r="AC331" s="101"/>
      <c r="AD331" s="115">
        <v>77.711394408602146</v>
      </c>
      <c r="AE331" s="101">
        <f t="shared" si="142"/>
        <v>1365.6492359139786</v>
      </c>
      <c r="AF331" s="17">
        <f t="shared" si="147"/>
        <v>0</v>
      </c>
      <c r="AH331" s="1">
        <f t="shared" si="153"/>
        <v>45228</v>
      </c>
      <c r="AI331" s="119">
        <v>989.10199999999998</v>
      </c>
      <c r="AJ331" s="119">
        <v>234.27271150537635</v>
      </c>
      <c r="AK331" s="44"/>
      <c r="AL331" s="119">
        <v>70.462938064516123</v>
      </c>
      <c r="AM331" s="44">
        <f t="shared" si="143"/>
        <v>1293.8376495698924</v>
      </c>
      <c r="AN331" s="17">
        <f t="shared" si="148"/>
        <v>0</v>
      </c>
      <c r="AO331" s="17"/>
      <c r="AP331" s="1">
        <f t="shared" si="154"/>
        <v>45593</v>
      </c>
      <c r="AQ331" s="119">
        <v>1044.0840000000001</v>
      </c>
      <c r="AR331" s="119">
        <v>218.13224159999999</v>
      </c>
      <c r="AS331" s="44"/>
      <c r="AT331" s="119">
        <v>70.160051612903231</v>
      </c>
      <c r="AU331" s="44">
        <f t="shared" si="144"/>
        <v>1332.3762932129034</v>
      </c>
      <c r="AV331" s="17">
        <f t="shared" si="149"/>
        <v>0</v>
      </c>
      <c r="AW331" s="17"/>
      <c r="AX331" s="1">
        <f t="shared" si="155"/>
        <v>45959</v>
      </c>
      <c r="AY331" s="119"/>
      <c r="AZ331" s="119"/>
      <c r="BA331" s="44"/>
      <c r="BB331" s="119"/>
      <c r="BC331" s="44">
        <f t="shared" si="145"/>
        <v>0</v>
      </c>
      <c r="BD331" s="17">
        <f t="shared" si="150"/>
        <v>0</v>
      </c>
    </row>
    <row r="332" spans="1:56" ht="14.5" x14ac:dyDescent="0.3">
      <c r="A332" s="17"/>
      <c r="B332" s="1">
        <v>43768</v>
      </c>
      <c r="C332" s="42">
        <v>919</v>
      </c>
      <c r="D332" s="4">
        <v>166</v>
      </c>
      <c r="E332" s="4"/>
      <c r="F332" s="4">
        <v>62</v>
      </c>
      <c r="G332" s="7">
        <f t="shared" si="139"/>
        <v>1147</v>
      </c>
      <c r="H332" s="17">
        <f t="shared" si="136"/>
        <v>0</v>
      </c>
      <c r="J332" s="1">
        <v>44133</v>
      </c>
      <c r="K332" s="106">
        <v>800.1</v>
      </c>
      <c r="L332" s="101">
        <v>168.22499999999999</v>
      </c>
      <c r="M332" s="101"/>
      <c r="N332" s="101">
        <v>58.594999999999999</v>
      </c>
      <c r="O332" s="7">
        <f t="shared" si="140"/>
        <v>1026.92</v>
      </c>
      <c r="P332" s="17">
        <f t="shared" si="156"/>
        <v>0</v>
      </c>
      <c r="R332" s="1">
        <f t="shared" si="151"/>
        <v>44499</v>
      </c>
      <c r="S332" s="43">
        <v>837.38585806451613</v>
      </c>
      <c r="T332" s="44">
        <v>176.24739215053762</v>
      </c>
      <c r="V332" s="44">
        <v>74.278038709677418</v>
      </c>
      <c r="W332" s="7">
        <f t="shared" si="141"/>
        <v>1087.9112889247313</v>
      </c>
      <c r="X332" s="17">
        <f t="shared" si="146"/>
        <v>0</v>
      </c>
      <c r="Y332" s="17"/>
      <c r="Z332" s="1">
        <f t="shared" si="152"/>
        <v>44864</v>
      </c>
      <c r="AA332" s="116">
        <v>943.23730290322578</v>
      </c>
      <c r="AB332" s="116">
        <v>216.71005591397849</v>
      </c>
      <c r="AC332" s="101"/>
      <c r="AD332" s="116">
        <v>77.73736602150538</v>
      </c>
      <c r="AE332" s="101">
        <f t="shared" si="142"/>
        <v>1237.6847248387096</v>
      </c>
      <c r="AF332" s="17">
        <f t="shared" si="147"/>
        <v>0</v>
      </c>
      <c r="AH332" s="1">
        <f t="shared" si="153"/>
        <v>45229</v>
      </c>
      <c r="AI332" s="120">
        <v>1085.633</v>
      </c>
      <c r="AJ332" s="120">
        <v>221.07606913978495</v>
      </c>
      <c r="AK332" s="44"/>
      <c r="AL332" s="120">
        <v>70.443426451612908</v>
      </c>
      <c r="AM332" s="44">
        <f t="shared" si="143"/>
        <v>1377.1524955913978</v>
      </c>
      <c r="AN332" s="17">
        <f t="shared" si="148"/>
        <v>0</v>
      </c>
      <c r="AO332" s="17"/>
      <c r="AP332" s="1">
        <f t="shared" si="154"/>
        <v>45594</v>
      </c>
      <c r="AQ332" s="120">
        <v>998.70500000000004</v>
      </c>
      <c r="AR332" s="120">
        <v>231.1495266</v>
      </c>
      <c r="AS332" s="44"/>
      <c r="AT332" s="120">
        <v>66.648309677419348</v>
      </c>
      <c r="AU332" s="44">
        <f t="shared" si="144"/>
        <v>1296.5028362774194</v>
      </c>
      <c r="AV332" s="17">
        <f t="shared" si="149"/>
        <v>0</v>
      </c>
      <c r="AW332" s="17"/>
      <c r="AX332" s="1">
        <f t="shared" si="155"/>
        <v>45960</v>
      </c>
      <c r="AY332" s="120"/>
      <c r="AZ332" s="120"/>
      <c r="BA332" s="44"/>
      <c r="BB332" s="120"/>
      <c r="BC332" s="44">
        <f t="shared" si="145"/>
        <v>0</v>
      </c>
      <c r="BD332" s="17">
        <f t="shared" si="150"/>
        <v>0</v>
      </c>
    </row>
    <row r="333" spans="1:56" ht="14.5" x14ac:dyDescent="0.3">
      <c r="A333" s="17"/>
      <c r="B333" s="1">
        <v>43769</v>
      </c>
      <c r="C333" s="42">
        <v>779</v>
      </c>
      <c r="D333" s="4">
        <v>146</v>
      </c>
      <c r="E333" s="4"/>
      <c r="F333" s="4">
        <v>53</v>
      </c>
      <c r="G333" s="7">
        <f t="shared" si="139"/>
        <v>978</v>
      </c>
      <c r="H333" s="17">
        <f t="shared" si="136"/>
        <v>0</v>
      </c>
      <c r="J333" s="1">
        <v>44134</v>
      </c>
      <c r="K333" s="106">
        <v>773.33</v>
      </c>
      <c r="L333" s="101">
        <v>144.07900000000001</v>
      </c>
      <c r="M333" s="101"/>
      <c r="N333" s="101">
        <v>56.847999999999999</v>
      </c>
      <c r="O333" s="7">
        <f t="shared" si="140"/>
        <v>974.25700000000006</v>
      </c>
      <c r="P333" s="17">
        <f t="shared" si="156"/>
        <v>0</v>
      </c>
      <c r="R333" s="38">
        <f t="shared" si="151"/>
        <v>44500</v>
      </c>
      <c r="S333" s="43">
        <v>749.70843064516134</v>
      </c>
      <c r="T333" s="44">
        <v>162.56292043010754</v>
      </c>
      <c r="V333" s="44">
        <v>65.697445161290318</v>
      </c>
      <c r="W333" s="7">
        <f t="shared" si="141"/>
        <v>977.96879623655923</v>
      </c>
      <c r="X333" s="17">
        <f t="shared" si="146"/>
        <v>0</v>
      </c>
      <c r="Y333" s="17"/>
      <c r="Z333" s="38">
        <f t="shared" si="152"/>
        <v>44865</v>
      </c>
      <c r="AA333" s="115">
        <v>957.35581225806447</v>
      </c>
      <c r="AB333" s="115">
        <v>209.81492301075269</v>
      </c>
      <c r="AC333" s="101"/>
      <c r="AD333" s="115">
        <v>69.457832258064514</v>
      </c>
      <c r="AE333" s="101">
        <f t="shared" si="142"/>
        <v>1236.6285675268819</v>
      </c>
      <c r="AF333" s="17">
        <f t="shared" si="147"/>
        <v>0</v>
      </c>
      <c r="AH333" s="38">
        <f t="shared" si="153"/>
        <v>45230</v>
      </c>
      <c r="AI333" s="119">
        <v>952.24400000000003</v>
      </c>
      <c r="AJ333" s="119">
        <v>208.15431408602151</v>
      </c>
      <c r="AK333" s="44"/>
      <c r="AL333" s="119">
        <v>76.321841827956987</v>
      </c>
      <c r="AM333" s="44">
        <f t="shared" si="143"/>
        <v>1236.7201559139787</v>
      </c>
      <c r="AN333" s="17">
        <f t="shared" si="148"/>
        <v>0</v>
      </c>
      <c r="AO333" s="17"/>
      <c r="AP333" s="1">
        <f t="shared" si="154"/>
        <v>45595</v>
      </c>
      <c r="AQ333" s="119">
        <v>873.69299999999998</v>
      </c>
      <c r="AR333" s="119">
        <v>198.29647800000001</v>
      </c>
      <c r="AS333" s="44"/>
      <c r="AT333" s="119">
        <v>62.55127741935484</v>
      </c>
      <c r="AU333" s="44">
        <f t="shared" si="144"/>
        <v>1134.5407554193548</v>
      </c>
      <c r="AV333" s="17">
        <f t="shared" si="149"/>
        <v>0</v>
      </c>
      <c r="AW333" s="17"/>
      <c r="AX333" s="38">
        <f t="shared" si="155"/>
        <v>45961</v>
      </c>
      <c r="AY333" s="119"/>
      <c r="AZ333" s="119"/>
      <c r="BA333" s="44"/>
      <c r="BB333" s="119"/>
      <c r="BC333" s="44">
        <f t="shared" si="145"/>
        <v>0</v>
      </c>
      <c r="BD333" s="17">
        <f t="shared" si="150"/>
        <v>0</v>
      </c>
    </row>
    <row r="334" spans="1:56" x14ac:dyDescent="0.3">
      <c r="A334" s="17"/>
      <c r="B334" s="1">
        <v>43770</v>
      </c>
      <c r="C334" s="4">
        <v>855</v>
      </c>
      <c r="D334" s="4">
        <v>166</v>
      </c>
      <c r="E334" s="4"/>
      <c r="F334" s="4">
        <v>52</v>
      </c>
      <c r="G334" s="7">
        <f t="shared" si="139"/>
        <v>1073</v>
      </c>
      <c r="H334" s="17">
        <f t="shared" si="136"/>
        <v>0</v>
      </c>
      <c r="J334" s="1">
        <v>44135</v>
      </c>
      <c r="K334" s="101">
        <v>708.38</v>
      </c>
      <c r="L334" s="101">
        <v>117.941</v>
      </c>
      <c r="M334" s="101"/>
      <c r="N334" s="101">
        <v>53.423000000000002</v>
      </c>
      <c r="O334" s="7">
        <f t="shared" si="140"/>
        <v>879.74400000000003</v>
      </c>
      <c r="P334" s="17">
        <f t="shared" si="156"/>
        <v>0</v>
      </c>
      <c r="R334" s="1">
        <f t="shared" si="151"/>
        <v>44501</v>
      </c>
      <c r="S334" s="43">
        <v>730.99070129032259</v>
      </c>
      <c r="T334" s="44">
        <v>132.68919849462367</v>
      </c>
      <c r="V334" s="44">
        <v>60.686144516129033</v>
      </c>
      <c r="W334" s="7">
        <f t="shared" si="141"/>
        <v>924.36604430107525</v>
      </c>
      <c r="X334" s="17">
        <f t="shared" si="146"/>
        <v>0</v>
      </c>
      <c r="Y334" s="17"/>
      <c r="Z334" s="1">
        <f t="shared" si="152"/>
        <v>44866</v>
      </c>
      <c r="AA334" s="115">
        <v>839.7054341935484</v>
      </c>
      <c r="AB334" s="115">
        <v>175.95772924731182</v>
      </c>
      <c r="AC334" s="101"/>
      <c r="AD334" s="115">
        <v>59.221902580645164</v>
      </c>
      <c r="AE334" s="101">
        <f t="shared" si="142"/>
        <v>1074.8850660215053</v>
      </c>
      <c r="AF334" s="17">
        <f t="shared" si="147"/>
        <v>0</v>
      </c>
      <c r="AH334" s="1">
        <f t="shared" si="153"/>
        <v>45231</v>
      </c>
      <c r="AI334" s="119">
        <v>920.45654516129036</v>
      </c>
      <c r="AJ334" s="119">
        <v>188.90355268817206</v>
      </c>
      <c r="AK334" s="44"/>
      <c r="AL334" s="119">
        <v>59.981205161290326</v>
      </c>
      <c r="AM334" s="44">
        <f t="shared" si="143"/>
        <v>1169.3413030107527</v>
      </c>
      <c r="AN334" s="17">
        <f t="shared" si="148"/>
        <v>0</v>
      </c>
      <c r="AO334" s="17"/>
      <c r="AP334" s="38">
        <f t="shared" si="154"/>
        <v>45596</v>
      </c>
      <c r="AQ334" s="119">
        <v>682.22500000000002</v>
      </c>
      <c r="AR334" s="119">
        <v>148.1675932</v>
      </c>
      <c r="AS334" s="44"/>
      <c r="AT334" s="119">
        <v>42.399948387096771</v>
      </c>
      <c r="AU334" s="44">
        <f t="shared" si="144"/>
        <v>872.79254158709671</v>
      </c>
      <c r="AV334" s="17">
        <f t="shared" si="149"/>
        <v>0</v>
      </c>
      <c r="AW334" s="17"/>
      <c r="AX334" s="1">
        <f t="shared" si="155"/>
        <v>45962</v>
      </c>
      <c r="AY334" s="119"/>
      <c r="AZ334" s="119"/>
      <c r="BA334" s="44"/>
      <c r="BB334" s="119"/>
      <c r="BC334" s="44">
        <f t="shared" si="145"/>
        <v>0</v>
      </c>
      <c r="BD334" s="17">
        <f t="shared" si="150"/>
        <v>0</v>
      </c>
    </row>
    <row r="335" spans="1:56" x14ac:dyDescent="0.3">
      <c r="A335" s="17"/>
      <c r="B335" s="1">
        <v>43771</v>
      </c>
      <c r="C335" s="4">
        <v>879</v>
      </c>
      <c r="D335" s="4">
        <v>159</v>
      </c>
      <c r="E335" s="4"/>
      <c r="F335" s="4">
        <v>54</v>
      </c>
      <c r="G335" s="7">
        <f t="shared" si="139"/>
        <v>1092</v>
      </c>
      <c r="H335" s="17">
        <f t="shared" si="136"/>
        <v>0</v>
      </c>
      <c r="J335" s="1">
        <v>44136</v>
      </c>
      <c r="K335" s="101">
        <v>640.16999999999996</v>
      </c>
      <c r="L335" s="101">
        <v>103.48</v>
      </c>
      <c r="M335" s="101"/>
      <c r="N335" s="101">
        <v>46.195</v>
      </c>
      <c r="O335" s="7">
        <f t="shared" si="140"/>
        <v>789.84500000000003</v>
      </c>
      <c r="P335" s="17">
        <f t="shared" si="156"/>
        <v>0</v>
      </c>
      <c r="R335" s="1">
        <f t="shared" si="151"/>
        <v>44502</v>
      </c>
      <c r="S335" s="43">
        <v>801.34888645161288</v>
      </c>
      <c r="T335" s="44">
        <v>154.61631107526881</v>
      </c>
      <c r="U335" s="4"/>
      <c r="V335" s="44">
        <v>58.91483612903226</v>
      </c>
      <c r="W335" s="7">
        <f t="shared" si="141"/>
        <v>1014.8800336559138</v>
      </c>
      <c r="X335" s="17">
        <f t="shared" si="146"/>
        <v>0</v>
      </c>
      <c r="Y335" s="17"/>
      <c r="Z335" s="1">
        <f t="shared" si="152"/>
        <v>44867</v>
      </c>
      <c r="AA335" s="116">
        <v>783.24567333333334</v>
      </c>
      <c r="AB335" s="116">
        <v>154.64664688172044</v>
      </c>
      <c r="AC335" s="101"/>
      <c r="AD335" s="116">
        <v>57.379366451612903</v>
      </c>
      <c r="AE335" s="101">
        <f t="shared" si="142"/>
        <v>995.27168666666671</v>
      </c>
      <c r="AF335" s="17">
        <f t="shared" si="147"/>
        <v>0</v>
      </c>
      <c r="AH335" s="1">
        <f t="shared" si="153"/>
        <v>45232</v>
      </c>
      <c r="AI335" s="120">
        <v>902.77603817204306</v>
      </c>
      <c r="AJ335" s="120">
        <v>198.22482892473118</v>
      </c>
      <c r="AK335" s="44"/>
      <c r="AL335" s="120">
        <v>70.581060645161287</v>
      </c>
      <c r="AM335" s="44">
        <f t="shared" si="143"/>
        <v>1171.5819277419355</v>
      </c>
      <c r="AN335" s="17">
        <f t="shared" si="148"/>
        <v>0</v>
      </c>
      <c r="AO335" s="17"/>
      <c r="AP335" s="1">
        <f t="shared" si="154"/>
        <v>45597</v>
      </c>
      <c r="AQ335" s="120">
        <v>797.52300000000002</v>
      </c>
      <c r="AR335" s="120">
        <v>183.6495056</v>
      </c>
      <c r="AS335" s="44"/>
      <c r="AT335" s="120">
        <v>40.764462365591399</v>
      </c>
      <c r="AU335" s="44">
        <f t="shared" si="144"/>
        <v>1021.9369679655914</v>
      </c>
      <c r="AV335" s="17">
        <f t="shared" si="149"/>
        <v>0</v>
      </c>
      <c r="AW335" s="17"/>
      <c r="AX335" s="1">
        <f t="shared" si="155"/>
        <v>45963</v>
      </c>
      <c r="AY335" s="120"/>
      <c r="AZ335" s="120"/>
      <c r="BA335" s="44"/>
      <c r="BB335" s="120"/>
      <c r="BC335" s="44">
        <f t="shared" si="145"/>
        <v>0</v>
      </c>
      <c r="BD335" s="17">
        <f t="shared" si="150"/>
        <v>0</v>
      </c>
    </row>
    <row r="336" spans="1:56" x14ac:dyDescent="0.3">
      <c r="A336" s="17"/>
      <c r="B336" s="1">
        <v>43772</v>
      </c>
      <c r="C336" s="4">
        <v>927</v>
      </c>
      <c r="D336" s="4">
        <v>185</v>
      </c>
      <c r="E336" s="4"/>
      <c r="F336" s="4">
        <v>52</v>
      </c>
      <c r="G336" s="7">
        <f t="shared" si="139"/>
        <v>1164</v>
      </c>
      <c r="H336" s="17">
        <f t="shared" ref="H336:H394" si="157">IF(G336&gt;1758,1,0)</f>
        <v>0</v>
      </c>
      <c r="J336" s="1">
        <v>44137</v>
      </c>
      <c r="K336" s="101">
        <v>632.46</v>
      </c>
      <c r="L336" s="101">
        <v>116.732</v>
      </c>
      <c r="M336" s="101"/>
      <c r="N336" s="101">
        <v>48.311999999999998</v>
      </c>
      <c r="O336" s="7">
        <f t="shared" si="140"/>
        <v>797.50400000000002</v>
      </c>
      <c r="P336" s="17">
        <f t="shared" si="156"/>
        <v>0</v>
      </c>
      <c r="R336" s="1">
        <f t="shared" si="151"/>
        <v>44503</v>
      </c>
      <c r="S336" s="43">
        <v>783.06432967741932</v>
      </c>
      <c r="T336" s="44">
        <v>171.79784268817204</v>
      </c>
      <c r="U336" s="4"/>
      <c r="V336" s="44">
        <v>64.596797419354843</v>
      </c>
      <c r="W336" s="7">
        <f t="shared" si="141"/>
        <v>1019.4589697849462</v>
      </c>
      <c r="X336" s="17">
        <f t="shared" si="146"/>
        <v>0</v>
      </c>
      <c r="Y336" s="17"/>
      <c r="Z336" s="1">
        <f t="shared" si="152"/>
        <v>44868</v>
      </c>
      <c r="AA336" s="115">
        <v>752.64036677419358</v>
      </c>
      <c r="AB336" s="115">
        <v>145.57366268817205</v>
      </c>
      <c r="AC336" s="101"/>
      <c r="AD336" s="115">
        <v>59.818049032258067</v>
      </c>
      <c r="AE336" s="101">
        <f t="shared" si="142"/>
        <v>958.03207849462365</v>
      </c>
      <c r="AF336" s="17">
        <f t="shared" si="147"/>
        <v>0</v>
      </c>
      <c r="AH336" s="1">
        <f t="shared" si="153"/>
        <v>45233</v>
      </c>
      <c r="AI336" s="119">
        <v>913.90142634408608</v>
      </c>
      <c r="AJ336" s="119">
        <v>189.48210053763441</v>
      </c>
      <c r="AK336" s="44"/>
      <c r="AL336" s="119">
        <v>71.391676129032263</v>
      </c>
      <c r="AM336" s="44">
        <f t="shared" si="143"/>
        <v>1174.7752030107526</v>
      </c>
      <c r="AN336" s="17">
        <f t="shared" si="148"/>
        <v>0</v>
      </c>
      <c r="AO336" s="17"/>
      <c r="AP336" s="1">
        <f t="shared" si="154"/>
        <v>45598</v>
      </c>
      <c r="AQ336" s="119">
        <v>865.13599999999997</v>
      </c>
      <c r="AR336" s="119">
        <v>200.38818309999999</v>
      </c>
      <c r="AS336" s="44"/>
      <c r="AT336" s="119">
        <v>57.719228387096777</v>
      </c>
      <c r="AU336" s="44">
        <f t="shared" si="144"/>
        <v>1123.2434114870966</v>
      </c>
      <c r="AV336" s="17">
        <f t="shared" si="149"/>
        <v>0</v>
      </c>
      <c r="AW336" s="17"/>
      <c r="AX336" s="1">
        <f t="shared" si="155"/>
        <v>45964</v>
      </c>
      <c r="AY336" s="119"/>
      <c r="AZ336" s="119"/>
      <c r="BA336" s="44"/>
      <c r="BB336" s="119"/>
      <c r="BC336" s="44">
        <f t="shared" si="145"/>
        <v>0</v>
      </c>
      <c r="BD336" s="17">
        <f t="shared" si="150"/>
        <v>0</v>
      </c>
    </row>
    <row r="337" spans="1:56" x14ac:dyDescent="0.3">
      <c r="A337" s="17"/>
      <c r="B337" s="1">
        <v>43773</v>
      </c>
      <c r="C337" s="4">
        <v>999</v>
      </c>
      <c r="D337" s="4">
        <v>200</v>
      </c>
      <c r="E337" s="4"/>
      <c r="F337" s="4">
        <v>60</v>
      </c>
      <c r="G337" s="7">
        <f t="shared" si="139"/>
        <v>1259</v>
      </c>
      <c r="H337" s="17">
        <f t="shared" si="157"/>
        <v>0</v>
      </c>
      <c r="J337" s="1">
        <v>44138</v>
      </c>
      <c r="K337" s="101">
        <v>724.95</v>
      </c>
      <c r="L337" s="101">
        <v>122.318</v>
      </c>
      <c r="M337" s="101"/>
      <c r="N337" s="101">
        <v>56.935000000000002</v>
      </c>
      <c r="O337" s="7">
        <f t="shared" si="140"/>
        <v>904.20299999999997</v>
      </c>
      <c r="P337" s="17">
        <f t="shared" si="156"/>
        <v>0</v>
      </c>
      <c r="R337" s="1">
        <f t="shared" si="151"/>
        <v>44504</v>
      </c>
      <c r="S337" s="43">
        <v>905.6287219354839</v>
      </c>
      <c r="T337" s="44">
        <v>189.18802774193549</v>
      </c>
      <c r="U337" s="4"/>
      <c r="V337" s="44">
        <v>74.138833548387097</v>
      </c>
      <c r="W337" s="7">
        <f t="shared" si="141"/>
        <v>1168.9555832258065</v>
      </c>
      <c r="X337" s="17">
        <f t="shared" si="146"/>
        <v>0</v>
      </c>
      <c r="Y337" s="17"/>
      <c r="Z337" s="1">
        <f t="shared" si="152"/>
        <v>44869</v>
      </c>
      <c r="AA337" s="116">
        <v>711.55052698924726</v>
      </c>
      <c r="AB337" s="116">
        <v>132.35520129032258</v>
      </c>
      <c r="AC337" s="101"/>
      <c r="AD337" s="116">
        <v>60.338459999999998</v>
      </c>
      <c r="AE337" s="101">
        <f t="shared" si="142"/>
        <v>904.24418827956993</v>
      </c>
      <c r="AF337" s="17">
        <f t="shared" si="147"/>
        <v>0</v>
      </c>
      <c r="AH337" s="1">
        <f t="shared" si="153"/>
        <v>45234</v>
      </c>
      <c r="AI337" s="120">
        <v>846.88308655913977</v>
      </c>
      <c r="AJ337" s="120">
        <v>195.20921225806453</v>
      </c>
      <c r="AK337" s="44"/>
      <c r="AL337" s="120">
        <v>69.68471741935484</v>
      </c>
      <c r="AM337" s="44">
        <f t="shared" si="143"/>
        <v>1111.7770162365591</v>
      </c>
      <c r="AN337" s="17">
        <f t="shared" si="148"/>
        <v>0</v>
      </c>
      <c r="AO337" s="17"/>
      <c r="AP337" s="1">
        <f t="shared" si="154"/>
        <v>45599</v>
      </c>
      <c r="AQ337" s="120">
        <v>784.52700000000004</v>
      </c>
      <c r="AR337" s="120">
        <v>175.31823360000001</v>
      </c>
      <c r="AS337" s="44"/>
      <c r="AT337" s="120">
        <v>56.371427956989244</v>
      </c>
      <c r="AU337" s="44">
        <f t="shared" si="144"/>
        <v>1016.2166615569893</v>
      </c>
      <c r="AV337" s="17">
        <f t="shared" si="149"/>
        <v>0</v>
      </c>
      <c r="AW337" s="17"/>
      <c r="AX337" s="1">
        <f t="shared" si="155"/>
        <v>45965</v>
      </c>
      <c r="AY337" s="120"/>
      <c r="AZ337" s="120"/>
      <c r="BA337" s="44"/>
      <c r="BB337" s="120"/>
      <c r="BC337" s="44">
        <f t="shared" si="145"/>
        <v>0</v>
      </c>
      <c r="BD337" s="17">
        <f t="shared" si="150"/>
        <v>0</v>
      </c>
    </row>
    <row r="338" spans="1:56" x14ac:dyDescent="0.3">
      <c r="A338" s="17"/>
      <c r="B338" s="1">
        <v>43774</v>
      </c>
      <c r="C338" s="4">
        <v>1146</v>
      </c>
      <c r="D338" s="4">
        <v>215</v>
      </c>
      <c r="E338" s="4"/>
      <c r="F338" s="4">
        <v>63</v>
      </c>
      <c r="G338" s="7">
        <f t="shared" si="139"/>
        <v>1424</v>
      </c>
      <c r="H338" s="17">
        <f t="shared" si="157"/>
        <v>0</v>
      </c>
      <c r="J338" s="1">
        <v>44139</v>
      </c>
      <c r="K338" s="101">
        <v>834.79</v>
      </c>
      <c r="L338" s="101">
        <v>152.416</v>
      </c>
      <c r="M338" s="101"/>
      <c r="N338" s="101">
        <v>58.893000000000001</v>
      </c>
      <c r="O338" s="7">
        <f t="shared" si="140"/>
        <v>1046.0989999999999</v>
      </c>
      <c r="P338" s="17">
        <f t="shared" si="156"/>
        <v>0</v>
      </c>
      <c r="R338" s="1">
        <f t="shared" si="151"/>
        <v>44505</v>
      </c>
      <c r="S338" s="43">
        <v>825.42785225806449</v>
      </c>
      <c r="T338" s="44">
        <v>173.86382010752689</v>
      </c>
      <c r="U338" s="4"/>
      <c r="V338" s="44">
        <v>75.659403870967736</v>
      </c>
      <c r="W338" s="7">
        <f t="shared" si="141"/>
        <v>1074.9510762365592</v>
      </c>
      <c r="X338" s="17">
        <f t="shared" si="146"/>
        <v>0</v>
      </c>
      <c r="Y338" s="17"/>
      <c r="Z338" s="1">
        <f t="shared" si="152"/>
        <v>44870</v>
      </c>
      <c r="AA338" s="115">
        <v>580.55907548387097</v>
      </c>
      <c r="AB338" s="115">
        <v>124.61403129032259</v>
      </c>
      <c r="AC338" s="101"/>
      <c r="AD338" s="115">
        <v>55.505454193548388</v>
      </c>
      <c r="AE338" s="101">
        <f t="shared" si="142"/>
        <v>760.67856096774199</v>
      </c>
      <c r="AF338" s="17">
        <f t="shared" si="147"/>
        <v>0</v>
      </c>
      <c r="AH338" s="1">
        <f t="shared" si="153"/>
        <v>45235</v>
      </c>
      <c r="AI338" s="119">
        <v>820.47128817204305</v>
      </c>
      <c r="AJ338" s="119">
        <v>181.19913849462367</v>
      </c>
      <c r="AK338" s="44"/>
      <c r="AL338" s="119">
        <v>63.184601290322583</v>
      </c>
      <c r="AM338" s="44">
        <f t="shared" si="143"/>
        <v>1064.8550279569893</v>
      </c>
      <c r="AN338" s="17">
        <f t="shared" si="148"/>
        <v>0</v>
      </c>
      <c r="AO338" s="17"/>
      <c r="AP338" s="1">
        <f t="shared" si="154"/>
        <v>45600</v>
      </c>
      <c r="AQ338" s="119">
        <v>900.70500000000004</v>
      </c>
      <c r="AR338" s="119">
        <v>211.4748324</v>
      </c>
      <c r="AS338" s="44"/>
      <c r="AT338" s="119">
        <v>62.51995483870968</v>
      </c>
      <c r="AU338" s="44">
        <f t="shared" si="144"/>
        <v>1174.6997872387099</v>
      </c>
      <c r="AV338" s="17">
        <f t="shared" si="149"/>
        <v>0</v>
      </c>
      <c r="AW338" s="17"/>
      <c r="AX338" s="1">
        <f t="shared" si="155"/>
        <v>45966</v>
      </c>
      <c r="AY338" s="119"/>
      <c r="AZ338" s="119"/>
      <c r="BA338" s="44"/>
      <c r="BB338" s="119"/>
      <c r="BC338" s="44">
        <f t="shared" si="145"/>
        <v>0</v>
      </c>
      <c r="BD338" s="17">
        <f t="shared" si="150"/>
        <v>0</v>
      </c>
    </row>
    <row r="339" spans="1:56" x14ac:dyDescent="0.3">
      <c r="A339" s="17"/>
      <c r="B339" s="1">
        <v>43775</v>
      </c>
      <c r="C339" s="4">
        <v>1081</v>
      </c>
      <c r="D339" s="4">
        <v>214</v>
      </c>
      <c r="E339" s="4"/>
      <c r="F339" s="4">
        <v>63</v>
      </c>
      <c r="G339" s="7">
        <f t="shared" si="139"/>
        <v>1358</v>
      </c>
      <c r="H339" s="17">
        <f t="shared" si="157"/>
        <v>0</v>
      </c>
      <c r="J339" s="1">
        <v>44140</v>
      </c>
      <c r="K339" s="101">
        <v>729.81</v>
      </c>
      <c r="L339" s="101">
        <v>160.465</v>
      </c>
      <c r="M339" s="101"/>
      <c r="N339" s="101">
        <v>58.68</v>
      </c>
      <c r="O339" s="7">
        <f t="shared" si="140"/>
        <v>948.95499999999993</v>
      </c>
      <c r="P339" s="17">
        <f t="shared" si="156"/>
        <v>0</v>
      </c>
      <c r="R339" s="1">
        <f t="shared" si="151"/>
        <v>44506</v>
      </c>
      <c r="S339" s="43">
        <v>857.48826193548382</v>
      </c>
      <c r="T339" s="44">
        <v>163.65933064516128</v>
      </c>
      <c r="U339" s="4"/>
      <c r="V339" s="44">
        <v>76.66988903225807</v>
      </c>
      <c r="W339" s="7">
        <f t="shared" si="141"/>
        <v>1097.8174816129031</v>
      </c>
      <c r="X339" s="17">
        <f t="shared" si="146"/>
        <v>0</v>
      </c>
      <c r="Y339" s="17"/>
      <c r="Z339" s="1">
        <f t="shared" si="152"/>
        <v>44871</v>
      </c>
      <c r="AA339" s="116">
        <v>584.28807344086022</v>
      </c>
      <c r="AB339" s="116">
        <v>122.26794193548388</v>
      </c>
      <c r="AC339" s="101"/>
      <c r="AD339" s="116">
        <v>46.384738064516128</v>
      </c>
      <c r="AE339" s="101">
        <f t="shared" si="142"/>
        <v>752.94075344086025</v>
      </c>
      <c r="AF339" s="17">
        <f t="shared" si="147"/>
        <v>0</v>
      </c>
      <c r="AH339" s="1">
        <f t="shared" si="153"/>
        <v>45236</v>
      </c>
      <c r="AI339" s="120">
        <v>846.65595430107521</v>
      </c>
      <c r="AJ339" s="120">
        <v>174.79722494623655</v>
      </c>
      <c r="AK339" s="44"/>
      <c r="AL339" s="120">
        <v>67.495947096774188</v>
      </c>
      <c r="AM339" s="44">
        <f t="shared" si="143"/>
        <v>1088.9491263440859</v>
      </c>
      <c r="AN339" s="17">
        <f t="shared" si="148"/>
        <v>0</v>
      </c>
      <c r="AO339" s="17"/>
      <c r="AP339" s="1">
        <f t="shared" si="154"/>
        <v>45601</v>
      </c>
      <c r="AQ339" s="120">
        <v>959.42399999999998</v>
      </c>
      <c r="AR339" s="120">
        <v>251.56001599999999</v>
      </c>
      <c r="AS339" s="44"/>
      <c r="AT339" s="120">
        <v>66.371587096774192</v>
      </c>
      <c r="AU339" s="44">
        <f t="shared" si="144"/>
        <v>1277.3556030967741</v>
      </c>
      <c r="AV339" s="17">
        <f t="shared" si="149"/>
        <v>0</v>
      </c>
      <c r="AW339" s="17"/>
      <c r="AX339" s="1">
        <f t="shared" si="155"/>
        <v>45967</v>
      </c>
      <c r="AY339" s="120"/>
      <c r="AZ339" s="120"/>
      <c r="BA339" s="44"/>
      <c r="BB339" s="120"/>
      <c r="BC339" s="44">
        <f t="shared" si="145"/>
        <v>0</v>
      </c>
      <c r="BD339" s="17">
        <f t="shared" si="150"/>
        <v>0</v>
      </c>
    </row>
    <row r="340" spans="1:56" x14ac:dyDescent="0.3">
      <c r="A340" s="17"/>
      <c r="B340" s="1">
        <v>43776</v>
      </c>
      <c r="C340" s="4">
        <v>1027</v>
      </c>
      <c r="D340" s="4">
        <v>210</v>
      </c>
      <c r="E340" s="4"/>
      <c r="F340" s="4">
        <v>62</v>
      </c>
      <c r="G340" s="7">
        <f t="shared" si="139"/>
        <v>1299</v>
      </c>
      <c r="H340" s="17">
        <f t="shared" si="157"/>
        <v>0</v>
      </c>
      <c r="J340" s="1">
        <v>44141</v>
      </c>
      <c r="K340" s="101">
        <v>725.7</v>
      </c>
      <c r="L340" s="101">
        <v>147.679</v>
      </c>
      <c r="M340" s="101"/>
      <c r="N340" s="101">
        <v>61.283999999999999</v>
      </c>
      <c r="O340" s="7">
        <f t="shared" si="140"/>
        <v>934.66300000000001</v>
      </c>
      <c r="P340" s="17">
        <f t="shared" si="156"/>
        <v>0</v>
      </c>
      <c r="R340" s="1">
        <f t="shared" si="151"/>
        <v>44507</v>
      </c>
      <c r="S340" s="43">
        <v>762.77053741935481</v>
      </c>
      <c r="T340" s="44">
        <v>152.15975086021504</v>
      </c>
      <c r="U340" s="4"/>
      <c r="V340" s="44">
        <v>72.563380645161288</v>
      </c>
      <c r="W340" s="7">
        <f t="shared" si="141"/>
        <v>987.49366892473108</v>
      </c>
      <c r="X340" s="17">
        <f t="shared" si="146"/>
        <v>0</v>
      </c>
      <c r="Y340" s="17"/>
      <c r="Z340" s="1">
        <f t="shared" si="152"/>
        <v>44872</v>
      </c>
      <c r="AA340" s="115">
        <v>678.73411258064516</v>
      </c>
      <c r="AB340" s="115">
        <v>136.11634322580645</v>
      </c>
      <c r="AC340" s="101"/>
      <c r="AD340" s="115">
        <v>59.027154193548384</v>
      </c>
      <c r="AE340" s="101">
        <f t="shared" si="142"/>
        <v>873.87761</v>
      </c>
      <c r="AF340" s="17">
        <f t="shared" si="147"/>
        <v>0</v>
      </c>
      <c r="AH340" s="1">
        <f t="shared" si="153"/>
        <v>45237</v>
      </c>
      <c r="AI340" s="119">
        <v>931.40902634408599</v>
      </c>
      <c r="AJ340" s="119">
        <v>189.05510150537634</v>
      </c>
      <c r="AK340" s="44"/>
      <c r="AL340" s="119">
        <v>69.864854193548382</v>
      </c>
      <c r="AM340" s="44">
        <f t="shared" si="143"/>
        <v>1190.3289820430107</v>
      </c>
      <c r="AN340" s="17">
        <f t="shared" si="148"/>
        <v>0</v>
      </c>
      <c r="AO340" s="17"/>
      <c r="AP340" s="1">
        <f t="shared" si="154"/>
        <v>45602</v>
      </c>
      <c r="AQ340" s="119">
        <v>978.27</v>
      </c>
      <c r="AR340" s="119">
        <v>244.40856600000001</v>
      </c>
      <c r="AS340" s="44"/>
      <c r="AT340" s="119">
        <v>64.070358709677421</v>
      </c>
      <c r="AU340" s="44">
        <f t="shared" si="144"/>
        <v>1286.7489247096776</v>
      </c>
      <c r="AV340" s="17">
        <f t="shared" si="149"/>
        <v>0</v>
      </c>
      <c r="AW340" s="17"/>
      <c r="AX340" s="1">
        <f t="shared" si="155"/>
        <v>45968</v>
      </c>
      <c r="AY340" s="119"/>
      <c r="AZ340" s="119"/>
      <c r="BA340" s="44"/>
      <c r="BB340" s="119"/>
      <c r="BC340" s="44">
        <f t="shared" si="145"/>
        <v>0</v>
      </c>
      <c r="BD340" s="17">
        <f t="shared" si="150"/>
        <v>0</v>
      </c>
    </row>
    <row r="341" spans="1:56" x14ac:dyDescent="0.3">
      <c r="A341" s="17"/>
      <c r="B341" s="1">
        <v>43777</v>
      </c>
      <c r="C341" s="4">
        <v>1006</v>
      </c>
      <c r="D341" s="4">
        <v>196</v>
      </c>
      <c r="E341" s="4"/>
      <c r="F341" s="4">
        <v>63</v>
      </c>
      <c r="G341" s="7">
        <f t="shared" si="139"/>
        <v>1265</v>
      </c>
      <c r="H341" s="17">
        <f t="shared" si="157"/>
        <v>0</v>
      </c>
      <c r="J341" s="1">
        <v>44142</v>
      </c>
      <c r="K341" s="101">
        <v>669.82</v>
      </c>
      <c r="L341" s="101">
        <v>140.19200000000001</v>
      </c>
      <c r="M341" s="101"/>
      <c r="N341" s="101">
        <v>59.738</v>
      </c>
      <c r="O341" s="7">
        <f t="shared" si="140"/>
        <v>869.75</v>
      </c>
      <c r="P341" s="17">
        <f t="shared" si="156"/>
        <v>0</v>
      </c>
      <c r="R341" s="1">
        <f t="shared" si="151"/>
        <v>44508</v>
      </c>
      <c r="S341" s="43">
        <v>843.14817870967738</v>
      </c>
      <c r="T341" s="44">
        <v>165.27511000000001</v>
      </c>
      <c r="U341" s="4"/>
      <c r="V341" s="44">
        <v>76.090931612903219</v>
      </c>
      <c r="W341" s="7">
        <f t="shared" si="141"/>
        <v>1084.5142203225807</v>
      </c>
      <c r="X341" s="17">
        <f t="shared" si="146"/>
        <v>0</v>
      </c>
      <c r="Y341" s="17"/>
      <c r="Z341" s="1">
        <f t="shared" si="152"/>
        <v>44873</v>
      </c>
      <c r="AA341" s="116">
        <v>723.12058784946237</v>
      </c>
      <c r="AB341" s="116">
        <v>147.14697096774194</v>
      </c>
      <c r="AC341" s="101"/>
      <c r="AD341" s="116">
        <v>61.14017419354839</v>
      </c>
      <c r="AE341" s="101">
        <f t="shared" si="142"/>
        <v>931.40773301075274</v>
      </c>
      <c r="AF341" s="17">
        <f t="shared" si="147"/>
        <v>0</v>
      </c>
      <c r="AH341" s="1">
        <f t="shared" si="153"/>
        <v>45238</v>
      </c>
      <c r="AI341" s="120">
        <v>978.88273763440861</v>
      </c>
      <c r="AJ341" s="120">
        <v>210.52690655913977</v>
      </c>
      <c r="AK341" s="44"/>
      <c r="AL341" s="120">
        <v>72.678677419354841</v>
      </c>
      <c r="AM341" s="44">
        <f t="shared" si="143"/>
        <v>1262.0883216129034</v>
      </c>
      <c r="AN341" s="17">
        <f t="shared" si="148"/>
        <v>0</v>
      </c>
      <c r="AO341" s="17"/>
      <c r="AP341" s="1">
        <f t="shared" si="154"/>
        <v>45603</v>
      </c>
      <c r="AQ341" s="120">
        <v>1013.718</v>
      </c>
      <c r="AR341" s="120">
        <v>239.94565080000001</v>
      </c>
      <c r="AS341" s="44"/>
      <c r="AT341" s="120">
        <v>66.155982365591399</v>
      </c>
      <c r="AU341" s="44">
        <f t="shared" si="144"/>
        <v>1319.8196331655913</v>
      </c>
      <c r="AV341" s="17">
        <f t="shared" si="149"/>
        <v>0</v>
      </c>
      <c r="AW341" s="17"/>
      <c r="AX341" s="1">
        <f t="shared" si="155"/>
        <v>45969</v>
      </c>
      <c r="AY341" s="120"/>
      <c r="AZ341" s="120"/>
      <c r="BA341" s="44"/>
      <c r="BB341" s="120"/>
      <c r="BC341" s="44">
        <f t="shared" si="145"/>
        <v>0</v>
      </c>
      <c r="BD341" s="17">
        <f t="shared" si="150"/>
        <v>0</v>
      </c>
    </row>
    <row r="342" spans="1:56" x14ac:dyDescent="0.3">
      <c r="A342" s="17"/>
      <c r="B342" s="1">
        <v>43778</v>
      </c>
      <c r="C342" s="4">
        <v>877</v>
      </c>
      <c r="D342" s="4">
        <v>168</v>
      </c>
      <c r="E342" s="4"/>
      <c r="F342" s="4">
        <v>55</v>
      </c>
      <c r="G342" s="7">
        <f t="shared" si="139"/>
        <v>1100</v>
      </c>
      <c r="H342" s="17">
        <f t="shared" si="157"/>
        <v>0</v>
      </c>
      <c r="J342" s="1">
        <v>44143</v>
      </c>
      <c r="K342" s="101">
        <v>691.06</v>
      </c>
      <c r="L342" s="101">
        <v>126.265</v>
      </c>
      <c r="M342" s="101"/>
      <c r="N342" s="101">
        <v>58.694000000000003</v>
      </c>
      <c r="O342" s="7">
        <f t="shared" si="140"/>
        <v>876.01899999999989</v>
      </c>
      <c r="P342" s="17">
        <f t="shared" si="156"/>
        <v>0</v>
      </c>
      <c r="R342" s="1">
        <f t="shared" si="151"/>
        <v>44509</v>
      </c>
      <c r="S342" s="43">
        <v>732.71319677419353</v>
      </c>
      <c r="T342" s="44">
        <v>151.63965903225807</v>
      </c>
      <c r="U342" s="4"/>
      <c r="V342" s="44">
        <v>67.310794838709683</v>
      </c>
      <c r="W342" s="7">
        <f t="shared" si="141"/>
        <v>951.66365064516117</v>
      </c>
      <c r="X342" s="17">
        <f t="shared" si="146"/>
        <v>0</v>
      </c>
      <c r="Y342" s="17"/>
      <c r="Z342" s="1">
        <f t="shared" si="152"/>
        <v>44874</v>
      </c>
      <c r="AA342" s="115">
        <v>813.58293569892476</v>
      </c>
      <c r="AB342" s="115">
        <v>172.5079605376344</v>
      </c>
      <c r="AC342" s="101"/>
      <c r="AD342" s="115">
        <v>65.164974193548389</v>
      </c>
      <c r="AE342" s="101">
        <f t="shared" si="142"/>
        <v>1051.2558704301075</v>
      </c>
      <c r="AF342" s="17">
        <f t="shared" si="147"/>
        <v>0</v>
      </c>
      <c r="AH342" s="1">
        <f t="shared" si="153"/>
        <v>45239</v>
      </c>
      <c r="AI342" s="119">
        <v>871.87786612903221</v>
      </c>
      <c r="AJ342" s="119">
        <v>183.77751634408602</v>
      </c>
      <c r="AK342" s="44"/>
      <c r="AL342" s="119">
        <v>70.003754838709682</v>
      </c>
      <c r="AM342" s="44">
        <f t="shared" si="143"/>
        <v>1125.6591373118279</v>
      </c>
      <c r="AN342" s="17">
        <f t="shared" si="148"/>
        <v>0</v>
      </c>
      <c r="AO342" s="17"/>
      <c r="AP342" s="1">
        <f t="shared" si="154"/>
        <v>45604</v>
      </c>
      <c r="AQ342" s="119">
        <v>1029.9690000000001</v>
      </c>
      <c r="AR342" s="119">
        <v>212.07494629999999</v>
      </c>
      <c r="AS342" s="44"/>
      <c r="AT342" s="119">
        <v>70.288225806451607</v>
      </c>
      <c r="AU342" s="44">
        <f t="shared" si="144"/>
        <v>1312.3321721064517</v>
      </c>
      <c r="AV342" s="17">
        <f t="shared" si="149"/>
        <v>0</v>
      </c>
      <c r="AW342" s="17"/>
      <c r="AX342" s="1">
        <f t="shared" si="155"/>
        <v>45970</v>
      </c>
      <c r="AY342" s="119"/>
      <c r="AZ342" s="119"/>
      <c r="BA342" s="44"/>
      <c r="BB342" s="119"/>
      <c r="BC342" s="44">
        <f t="shared" si="145"/>
        <v>0</v>
      </c>
      <c r="BD342" s="17">
        <f t="shared" si="150"/>
        <v>0</v>
      </c>
    </row>
    <row r="343" spans="1:56" x14ac:dyDescent="0.3">
      <c r="A343" s="17"/>
      <c r="B343" s="1">
        <v>43779</v>
      </c>
      <c r="C343" s="4">
        <v>784</v>
      </c>
      <c r="D343" s="4">
        <v>158</v>
      </c>
      <c r="E343" s="4"/>
      <c r="F343" s="4">
        <v>46</v>
      </c>
      <c r="G343" s="7">
        <f t="shared" si="139"/>
        <v>988</v>
      </c>
      <c r="H343" s="17">
        <f t="shared" si="157"/>
        <v>0</v>
      </c>
      <c r="J343" s="1">
        <v>44144</v>
      </c>
      <c r="K343" s="101">
        <v>868.69</v>
      </c>
      <c r="L343" s="101">
        <v>154.87700000000001</v>
      </c>
      <c r="M343" s="101"/>
      <c r="N343" s="101">
        <v>65.495999999999995</v>
      </c>
      <c r="O343" s="7">
        <f t="shared" si="140"/>
        <v>1089.0630000000001</v>
      </c>
      <c r="P343" s="17">
        <f t="shared" si="156"/>
        <v>0</v>
      </c>
      <c r="R343" s="1">
        <f t="shared" si="151"/>
        <v>44510</v>
      </c>
      <c r="S343" s="43">
        <v>730.03181806451607</v>
      </c>
      <c r="T343" s="44">
        <v>152.43418666666668</v>
      </c>
      <c r="U343" s="4"/>
      <c r="V343" s="44">
        <v>49.401855483870968</v>
      </c>
      <c r="W343" s="7">
        <f t="shared" si="141"/>
        <v>931.86786021505361</v>
      </c>
      <c r="X343" s="17">
        <f t="shared" si="146"/>
        <v>0</v>
      </c>
      <c r="Y343" s="17"/>
      <c r="Z343" s="1">
        <f t="shared" si="152"/>
        <v>44875</v>
      </c>
      <c r="AA343" s="116">
        <v>802.03341462365586</v>
      </c>
      <c r="AB343" s="116">
        <v>173.53045677419354</v>
      </c>
      <c r="AC343" s="101"/>
      <c r="AD343" s="116">
        <v>64.274541290322574</v>
      </c>
      <c r="AE343" s="101">
        <f t="shared" si="142"/>
        <v>1039.838412688172</v>
      </c>
      <c r="AF343" s="17">
        <f t="shared" si="147"/>
        <v>0</v>
      </c>
      <c r="AH343" s="1">
        <f t="shared" si="153"/>
        <v>45240</v>
      </c>
      <c r="AI343" s="120">
        <v>805.38438602150541</v>
      </c>
      <c r="AJ343" s="120">
        <v>166.57672559139786</v>
      </c>
      <c r="AK343" s="44"/>
      <c r="AL343" s="120">
        <v>68.035272258064509</v>
      </c>
      <c r="AM343" s="44">
        <f t="shared" si="143"/>
        <v>1039.9963838709677</v>
      </c>
      <c r="AN343" s="17">
        <f t="shared" si="148"/>
        <v>0</v>
      </c>
      <c r="AO343" s="17"/>
      <c r="AP343" s="1">
        <f t="shared" si="154"/>
        <v>45605</v>
      </c>
      <c r="AQ343" s="120">
        <v>1004.872</v>
      </c>
      <c r="AR343" s="120">
        <v>198.5843299</v>
      </c>
      <c r="AS343" s="44"/>
      <c r="AT343" s="120">
        <v>64.318466666666666</v>
      </c>
      <c r="AU343" s="44">
        <f t="shared" si="144"/>
        <v>1267.7747965666665</v>
      </c>
      <c r="AV343" s="17">
        <f t="shared" si="149"/>
        <v>0</v>
      </c>
      <c r="AW343" s="17"/>
      <c r="AX343" s="1">
        <f t="shared" si="155"/>
        <v>45971</v>
      </c>
      <c r="AY343" s="120"/>
      <c r="AZ343" s="120"/>
      <c r="BA343" s="44"/>
      <c r="BB343" s="120"/>
      <c r="BC343" s="44">
        <f t="shared" si="145"/>
        <v>0</v>
      </c>
      <c r="BD343" s="17">
        <f t="shared" si="150"/>
        <v>0</v>
      </c>
    </row>
    <row r="344" spans="1:56" x14ac:dyDescent="0.3">
      <c r="A344" s="17"/>
      <c r="B344" s="1">
        <v>43780</v>
      </c>
      <c r="C344" s="4">
        <v>735</v>
      </c>
      <c r="D344" s="4">
        <v>139</v>
      </c>
      <c r="E344" s="4"/>
      <c r="F344" s="4">
        <v>50</v>
      </c>
      <c r="G344" s="7">
        <f t="shared" si="139"/>
        <v>924</v>
      </c>
      <c r="H344" s="17">
        <f t="shared" si="157"/>
        <v>0</v>
      </c>
      <c r="J344" s="1">
        <v>44145</v>
      </c>
      <c r="K344" s="101">
        <v>631.89</v>
      </c>
      <c r="L344" s="101">
        <v>128.06100000000001</v>
      </c>
      <c r="M344" s="101"/>
      <c r="N344" s="101">
        <v>55.758000000000003</v>
      </c>
      <c r="O344" s="7">
        <f t="shared" si="140"/>
        <v>815.70900000000006</v>
      </c>
      <c r="P344" s="17">
        <f t="shared" si="156"/>
        <v>0</v>
      </c>
      <c r="R344" s="1">
        <f t="shared" si="151"/>
        <v>44511</v>
      </c>
      <c r="S344" s="43">
        <v>779.90607870967744</v>
      </c>
      <c r="T344" s="44">
        <v>155.66163397849462</v>
      </c>
      <c r="U344" s="4"/>
      <c r="V344" s="44">
        <v>68.045790967741937</v>
      </c>
      <c r="W344" s="7">
        <f t="shared" si="141"/>
        <v>1003.613503655914</v>
      </c>
      <c r="X344" s="17">
        <f t="shared" si="146"/>
        <v>0</v>
      </c>
      <c r="Y344" s="17"/>
      <c r="Z344" s="1">
        <f t="shared" si="152"/>
        <v>44876</v>
      </c>
      <c r="AA344" s="115">
        <v>819.06911225806448</v>
      </c>
      <c r="AB344" s="115">
        <v>166.92379516129031</v>
      </c>
      <c r="AC344" s="101"/>
      <c r="AD344" s="115">
        <v>62.866943225806452</v>
      </c>
      <c r="AE344" s="101">
        <f t="shared" si="142"/>
        <v>1048.8598506451613</v>
      </c>
      <c r="AF344" s="17">
        <f t="shared" si="147"/>
        <v>0</v>
      </c>
      <c r="AH344" s="1">
        <f t="shared" si="153"/>
        <v>45241</v>
      </c>
      <c r="AI344" s="119">
        <v>873.92921827956991</v>
      </c>
      <c r="AJ344" s="119">
        <v>193.39165043010752</v>
      </c>
      <c r="AK344" s="44"/>
      <c r="AL344" s="119">
        <v>70.659192258064522</v>
      </c>
      <c r="AM344" s="44">
        <f t="shared" si="143"/>
        <v>1137.9800609677418</v>
      </c>
      <c r="AN344" s="17">
        <f t="shared" si="148"/>
        <v>0</v>
      </c>
      <c r="AO344" s="17"/>
      <c r="AP344" s="1">
        <f t="shared" si="154"/>
        <v>45606</v>
      </c>
      <c r="AQ344" s="119">
        <v>870.52099999999996</v>
      </c>
      <c r="AR344" s="119">
        <v>206.51441170000001</v>
      </c>
      <c r="AS344" s="44"/>
      <c r="AT344" s="119">
        <v>59.80268516129032</v>
      </c>
      <c r="AU344" s="44">
        <f t="shared" si="144"/>
        <v>1136.8380968612903</v>
      </c>
      <c r="AV344" s="17">
        <f t="shared" si="149"/>
        <v>0</v>
      </c>
      <c r="AW344" s="17"/>
      <c r="AX344" s="1">
        <f t="shared" si="155"/>
        <v>45972</v>
      </c>
      <c r="AY344" s="119"/>
      <c r="AZ344" s="119"/>
      <c r="BA344" s="44"/>
      <c r="BB344" s="119"/>
      <c r="BC344" s="44">
        <f t="shared" si="145"/>
        <v>0</v>
      </c>
      <c r="BD344" s="17">
        <f t="shared" si="150"/>
        <v>0</v>
      </c>
    </row>
    <row r="345" spans="1:56" x14ac:dyDescent="0.3">
      <c r="A345" s="17"/>
      <c r="B345" s="1">
        <v>43781</v>
      </c>
      <c r="C345" s="4">
        <v>718</v>
      </c>
      <c r="D345" s="4">
        <v>145</v>
      </c>
      <c r="E345" s="4"/>
      <c r="F345" s="4">
        <v>51</v>
      </c>
      <c r="G345" s="7">
        <f t="shared" si="139"/>
        <v>914</v>
      </c>
      <c r="H345" s="17">
        <f t="shared" si="157"/>
        <v>0</v>
      </c>
      <c r="J345" s="1">
        <v>44146</v>
      </c>
      <c r="K345" s="101">
        <v>635.65</v>
      </c>
      <c r="L345" s="101">
        <v>136.92500000000001</v>
      </c>
      <c r="M345" s="101"/>
      <c r="N345" s="101">
        <v>50.448999999999998</v>
      </c>
      <c r="O345" s="7">
        <f t="shared" si="140"/>
        <v>823.024</v>
      </c>
      <c r="P345" s="17">
        <f t="shared" si="156"/>
        <v>0</v>
      </c>
      <c r="R345" s="1">
        <f t="shared" si="151"/>
        <v>44512</v>
      </c>
      <c r="S345" s="43">
        <v>666.70236</v>
      </c>
      <c r="T345" s="44">
        <v>145.02339204301074</v>
      </c>
      <c r="U345" s="4"/>
      <c r="V345" s="44">
        <v>58.383228387096771</v>
      </c>
      <c r="W345" s="7">
        <f t="shared" si="141"/>
        <v>870.10898043010752</v>
      </c>
      <c r="X345" s="17">
        <f t="shared" si="146"/>
        <v>0</v>
      </c>
      <c r="Y345" s="17"/>
      <c r="Z345" s="1">
        <f t="shared" si="152"/>
        <v>44877</v>
      </c>
      <c r="AA345" s="116">
        <v>733.25183677419352</v>
      </c>
      <c r="AB345" s="116">
        <v>150.52377763440859</v>
      </c>
      <c r="AC345" s="101"/>
      <c r="AD345" s="116">
        <v>63.73898322580645</v>
      </c>
      <c r="AE345" s="101">
        <f t="shared" si="142"/>
        <v>947.51459763440857</v>
      </c>
      <c r="AF345" s="17">
        <f t="shared" si="147"/>
        <v>0</v>
      </c>
      <c r="AH345" s="1">
        <f t="shared" si="153"/>
        <v>45242</v>
      </c>
      <c r="AI345" s="120">
        <v>842.46219247311831</v>
      </c>
      <c r="AJ345" s="120">
        <v>187.29590645161289</v>
      </c>
      <c r="AK345" s="44"/>
      <c r="AL345" s="120">
        <v>66.679905806451615</v>
      </c>
      <c r="AM345" s="44">
        <f t="shared" si="143"/>
        <v>1096.4380047311829</v>
      </c>
      <c r="AN345" s="17">
        <f t="shared" si="148"/>
        <v>0</v>
      </c>
      <c r="AO345" s="17"/>
      <c r="AP345" s="1">
        <f t="shared" si="154"/>
        <v>45607</v>
      </c>
      <c r="AQ345" s="120">
        <v>951.27099999999996</v>
      </c>
      <c r="AR345" s="120">
        <v>210.62688639999999</v>
      </c>
      <c r="AS345" s="44"/>
      <c r="AT345" s="120">
        <v>67.748640430107528</v>
      </c>
      <c r="AU345" s="44">
        <f t="shared" si="144"/>
        <v>1229.6465268301076</v>
      </c>
      <c r="AV345" s="17">
        <f t="shared" si="149"/>
        <v>0</v>
      </c>
      <c r="AW345" s="17"/>
      <c r="AX345" s="1">
        <f t="shared" si="155"/>
        <v>45973</v>
      </c>
      <c r="AY345" s="120"/>
      <c r="AZ345" s="120"/>
      <c r="BA345" s="44"/>
      <c r="BB345" s="120"/>
      <c r="BC345" s="44">
        <f t="shared" si="145"/>
        <v>0</v>
      </c>
      <c r="BD345" s="17">
        <f t="shared" si="150"/>
        <v>0</v>
      </c>
    </row>
    <row r="346" spans="1:56" x14ac:dyDescent="0.3">
      <c r="A346" s="17"/>
      <c r="B346" s="1">
        <v>43782</v>
      </c>
      <c r="C346" s="4">
        <v>758</v>
      </c>
      <c r="D346" s="4">
        <v>146</v>
      </c>
      <c r="E346" s="4"/>
      <c r="F346" s="4">
        <v>48</v>
      </c>
      <c r="G346" s="7">
        <f t="shared" si="139"/>
        <v>952</v>
      </c>
      <c r="H346" s="17">
        <f t="shared" si="157"/>
        <v>0</v>
      </c>
      <c r="J346" s="1">
        <v>44147</v>
      </c>
      <c r="K346" s="101">
        <v>709.29</v>
      </c>
      <c r="L346" s="101">
        <v>141.76499999999999</v>
      </c>
      <c r="M346" s="101"/>
      <c r="N346" s="101">
        <v>54.607999999999997</v>
      </c>
      <c r="O346" s="7">
        <f t="shared" si="140"/>
        <v>905.6629999999999</v>
      </c>
      <c r="P346" s="17">
        <f t="shared" si="156"/>
        <v>0</v>
      </c>
      <c r="R346" s="1">
        <f t="shared" si="151"/>
        <v>44513</v>
      </c>
      <c r="S346" s="43">
        <v>663.51122129032262</v>
      </c>
      <c r="T346" s="44">
        <v>155.95971032258063</v>
      </c>
      <c r="U346" s="4"/>
      <c r="V346" s="44">
        <v>61.770882580645164</v>
      </c>
      <c r="W346" s="7">
        <f t="shared" si="141"/>
        <v>881.24181419354852</v>
      </c>
      <c r="X346" s="17">
        <f t="shared" si="146"/>
        <v>0</v>
      </c>
      <c r="Y346" s="17"/>
      <c r="Z346" s="1">
        <f t="shared" si="152"/>
        <v>44878</v>
      </c>
      <c r="AA346" s="115">
        <v>608.61436774193544</v>
      </c>
      <c r="AB346" s="115">
        <v>119.86224978494624</v>
      </c>
      <c r="AC346" s="101"/>
      <c r="AD346" s="115">
        <v>52.64806258064516</v>
      </c>
      <c r="AE346" s="101">
        <f t="shared" si="142"/>
        <v>781.12468010752684</v>
      </c>
      <c r="AF346" s="17">
        <f t="shared" si="147"/>
        <v>0</v>
      </c>
      <c r="AH346" s="1">
        <f t="shared" si="153"/>
        <v>45243</v>
      </c>
      <c r="AI346" s="119">
        <v>950.33876075268813</v>
      </c>
      <c r="AJ346" s="119">
        <v>205.47766860215054</v>
      </c>
      <c r="AK346" s="44"/>
      <c r="AL346" s="119">
        <v>72.006962580645165</v>
      </c>
      <c r="AM346" s="44">
        <f t="shared" si="143"/>
        <v>1227.8233919354839</v>
      </c>
      <c r="AN346" s="17">
        <f t="shared" si="148"/>
        <v>0</v>
      </c>
      <c r="AO346" s="17"/>
      <c r="AP346" s="1">
        <f t="shared" si="154"/>
        <v>45608</v>
      </c>
      <c r="AQ346" s="119">
        <v>823.11500000000001</v>
      </c>
      <c r="AR346" s="119">
        <v>196.39036300000001</v>
      </c>
      <c r="AS346" s="44"/>
      <c r="AT346" s="119">
        <v>69.001098064516128</v>
      </c>
      <c r="AU346" s="44">
        <f t="shared" si="144"/>
        <v>1088.5064610645161</v>
      </c>
      <c r="AV346" s="17">
        <f t="shared" si="149"/>
        <v>0</v>
      </c>
      <c r="AW346" s="17"/>
      <c r="AX346" s="1">
        <f t="shared" si="155"/>
        <v>45974</v>
      </c>
      <c r="AY346" s="119"/>
      <c r="AZ346" s="119"/>
      <c r="BA346" s="44"/>
      <c r="BB346" s="119"/>
      <c r="BC346" s="44">
        <f t="shared" si="145"/>
        <v>0</v>
      </c>
      <c r="BD346" s="17">
        <f t="shared" si="150"/>
        <v>0</v>
      </c>
    </row>
    <row r="347" spans="1:56" x14ac:dyDescent="0.3">
      <c r="A347" s="17"/>
      <c r="B347" s="1">
        <v>43783</v>
      </c>
      <c r="C347" s="4">
        <v>794</v>
      </c>
      <c r="D347" s="4">
        <v>150</v>
      </c>
      <c r="E347" s="4"/>
      <c r="F347" s="4">
        <v>51</v>
      </c>
      <c r="G347" s="7">
        <f t="shared" si="139"/>
        <v>995</v>
      </c>
      <c r="H347" s="17">
        <f t="shared" si="157"/>
        <v>0</v>
      </c>
      <c r="J347" s="1">
        <v>44148</v>
      </c>
      <c r="K347" s="101">
        <v>800.29</v>
      </c>
      <c r="L347" s="101">
        <v>156.73699999999999</v>
      </c>
      <c r="M347" s="101"/>
      <c r="N347" s="101">
        <v>60.975000000000001</v>
      </c>
      <c r="O347" s="7">
        <f t="shared" si="140"/>
        <v>1018.002</v>
      </c>
      <c r="P347" s="17">
        <f t="shared" si="156"/>
        <v>0</v>
      </c>
      <c r="R347" s="1">
        <f t="shared" si="151"/>
        <v>44514</v>
      </c>
      <c r="S347" s="43">
        <v>847.66715999999997</v>
      </c>
      <c r="T347" s="44">
        <v>174.73543645161291</v>
      </c>
      <c r="U347" s="4"/>
      <c r="V347" s="44">
        <v>70.444482580645158</v>
      </c>
      <c r="W347" s="7">
        <f t="shared" si="141"/>
        <v>1092.8470790322581</v>
      </c>
      <c r="X347" s="17">
        <f t="shared" si="146"/>
        <v>0</v>
      </c>
      <c r="Y347" s="17"/>
      <c r="Z347" s="1">
        <f t="shared" si="152"/>
        <v>44879</v>
      </c>
      <c r="AA347" s="116">
        <v>662.20369365591398</v>
      </c>
      <c r="AB347" s="116">
        <v>143.09192559139785</v>
      </c>
      <c r="AC347" s="101"/>
      <c r="AD347" s="116">
        <v>55.852755483870965</v>
      </c>
      <c r="AE347" s="101">
        <f t="shared" si="142"/>
        <v>861.1483747311828</v>
      </c>
      <c r="AF347" s="17">
        <f t="shared" si="147"/>
        <v>0</v>
      </c>
      <c r="AH347" s="1">
        <f t="shared" si="153"/>
        <v>45244</v>
      </c>
      <c r="AI347" s="120">
        <v>998.54911720430107</v>
      </c>
      <c r="AJ347" s="120">
        <v>231.67411043010753</v>
      </c>
      <c r="AK347" s="44"/>
      <c r="AL347" s="120">
        <v>76.159874838709683</v>
      </c>
      <c r="AM347" s="44">
        <f t="shared" si="143"/>
        <v>1306.3831024731182</v>
      </c>
      <c r="AN347" s="17">
        <f t="shared" si="148"/>
        <v>0</v>
      </c>
      <c r="AO347" s="17"/>
      <c r="AP347" s="1">
        <f t="shared" si="154"/>
        <v>45609</v>
      </c>
      <c r="AQ347" s="120">
        <v>802.55200000000002</v>
      </c>
      <c r="AR347" s="120">
        <v>192.0662016</v>
      </c>
      <c r="AS347" s="44"/>
      <c r="AT347" s="120">
        <v>66.652198279569888</v>
      </c>
      <c r="AU347" s="44">
        <f t="shared" si="144"/>
        <v>1061.2703998795698</v>
      </c>
      <c r="AV347" s="17">
        <f t="shared" si="149"/>
        <v>0</v>
      </c>
      <c r="AW347" s="17"/>
      <c r="AX347" s="1">
        <f t="shared" si="155"/>
        <v>45975</v>
      </c>
      <c r="AY347" s="120"/>
      <c r="AZ347" s="120"/>
      <c r="BA347" s="44"/>
      <c r="BB347" s="120"/>
      <c r="BC347" s="44">
        <f t="shared" si="145"/>
        <v>0</v>
      </c>
      <c r="BD347" s="17">
        <f t="shared" si="150"/>
        <v>0</v>
      </c>
    </row>
    <row r="348" spans="1:56" x14ac:dyDescent="0.3">
      <c r="A348" s="17"/>
      <c r="B348" s="1">
        <v>43784</v>
      </c>
      <c r="C348" s="4">
        <v>775</v>
      </c>
      <c r="D348" s="4">
        <v>158</v>
      </c>
      <c r="E348" s="4"/>
      <c r="F348" s="4">
        <v>51</v>
      </c>
      <c r="G348" s="7">
        <f t="shared" si="139"/>
        <v>984</v>
      </c>
      <c r="H348" s="17">
        <f t="shared" si="157"/>
        <v>0</v>
      </c>
      <c r="J348" s="1">
        <v>44149</v>
      </c>
      <c r="K348" s="101">
        <v>811.54</v>
      </c>
      <c r="L348" s="101">
        <v>167.71600000000001</v>
      </c>
      <c r="M348" s="101"/>
      <c r="N348" s="101">
        <v>64.209999999999994</v>
      </c>
      <c r="O348" s="7">
        <f t="shared" si="140"/>
        <v>1043.4659999999999</v>
      </c>
      <c r="P348" s="17">
        <f t="shared" si="156"/>
        <v>0</v>
      </c>
      <c r="R348" s="1">
        <f t="shared" si="151"/>
        <v>44515</v>
      </c>
      <c r="S348" s="43">
        <v>911.05006064516124</v>
      </c>
      <c r="T348" s="44">
        <v>192.75055397849462</v>
      </c>
      <c r="U348" s="4"/>
      <c r="V348" s="44">
        <v>79.454910967741938</v>
      </c>
      <c r="W348" s="7">
        <f t="shared" si="141"/>
        <v>1183.2555255913976</v>
      </c>
      <c r="X348" s="17">
        <f t="shared" si="146"/>
        <v>0</v>
      </c>
      <c r="Y348" s="17"/>
      <c r="Z348" s="1">
        <f t="shared" si="152"/>
        <v>44880</v>
      </c>
      <c r="AA348" s="115">
        <v>769.78903322580641</v>
      </c>
      <c r="AB348" s="115">
        <v>158.86303086021505</v>
      </c>
      <c r="AC348" s="101"/>
      <c r="AD348" s="115">
        <v>60.232430322580647</v>
      </c>
      <c r="AE348" s="101">
        <f t="shared" si="142"/>
        <v>988.88449440860211</v>
      </c>
      <c r="AF348" s="17">
        <f t="shared" si="147"/>
        <v>0</v>
      </c>
      <c r="AH348" s="1">
        <f t="shared" si="153"/>
        <v>45245</v>
      </c>
      <c r="AI348" s="119">
        <v>1013.5531467741936</v>
      </c>
      <c r="AJ348" s="119">
        <v>222.21254913978495</v>
      </c>
      <c r="AK348" s="44"/>
      <c r="AL348" s="119">
        <v>78.959590967741931</v>
      </c>
      <c r="AM348" s="44">
        <f t="shared" si="143"/>
        <v>1314.7252868817204</v>
      </c>
      <c r="AN348" s="17">
        <f t="shared" si="148"/>
        <v>0</v>
      </c>
      <c r="AO348" s="17"/>
      <c r="AP348" s="1">
        <f t="shared" si="154"/>
        <v>45610</v>
      </c>
      <c r="AQ348" s="119">
        <v>800.13499999999999</v>
      </c>
      <c r="AR348" s="119">
        <v>191.8444125</v>
      </c>
      <c r="AS348" s="44"/>
      <c r="AT348" s="119">
        <v>69.672831397849464</v>
      </c>
      <c r="AU348" s="44">
        <f t="shared" si="144"/>
        <v>1061.6522438978495</v>
      </c>
      <c r="AV348" s="17">
        <f t="shared" si="149"/>
        <v>0</v>
      </c>
      <c r="AW348" s="17"/>
      <c r="AX348" s="1">
        <f t="shared" si="155"/>
        <v>45976</v>
      </c>
      <c r="AY348" s="119"/>
      <c r="AZ348" s="119"/>
      <c r="BA348" s="44"/>
      <c r="BB348" s="119"/>
      <c r="BC348" s="44">
        <f t="shared" si="145"/>
        <v>0</v>
      </c>
      <c r="BD348" s="17">
        <f t="shared" si="150"/>
        <v>0</v>
      </c>
    </row>
    <row r="349" spans="1:56" x14ac:dyDescent="0.3">
      <c r="A349" s="17"/>
      <c r="B349" s="1">
        <v>43785</v>
      </c>
      <c r="C349" s="4">
        <v>752</v>
      </c>
      <c r="D349" s="4">
        <v>163</v>
      </c>
      <c r="E349" s="4"/>
      <c r="F349" s="4">
        <v>53</v>
      </c>
      <c r="G349" s="7">
        <f t="shared" si="139"/>
        <v>968</v>
      </c>
      <c r="H349" s="17">
        <f t="shared" si="157"/>
        <v>0</v>
      </c>
      <c r="J349" s="1">
        <v>44150</v>
      </c>
      <c r="K349" s="101">
        <v>693.95</v>
      </c>
      <c r="L349" s="101">
        <v>139.393</v>
      </c>
      <c r="M349" s="101"/>
      <c r="N349" s="101">
        <v>57.874000000000002</v>
      </c>
      <c r="O349" s="7">
        <f t="shared" si="140"/>
        <v>891.2170000000001</v>
      </c>
      <c r="P349" s="17">
        <f t="shared" si="156"/>
        <v>0</v>
      </c>
      <c r="R349" s="1">
        <f t="shared" si="151"/>
        <v>44516</v>
      </c>
      <c r="S349" s="43">
        <v>890.04815419354838</v>
      </c>
      <c r="T349" s="44">
        <v>185.38909612903225</v>
      </c>
      <c r="U349" s="4"/>
      <c r="V349" s="44">
        <v>78.595083870967741</v>
      </c>
      <c r="W349" s="7">
        <f t="shared" si="141"/>
        <v>1154.0323341935484</v>
      </c>
      <c r="X349" s="17">
        <f t="shared" si="146"/>
        <v>0</v>
      </c>
      <c r="Y349" s="17"/>
      <c r="Z349" s="1">
        <f t="shared" si="152"/>
        <v>44881</v>
      </c>
      <c r="AA349" s="116">
        <v>791.8805989247312</v>
      </c>
      <c r="AB349" s="116">
        <v>157.86930838709677</v>
      </c>
      <c r="AC349" s="101"/>
      <c r="AD349" s="116">
        <v>65.92341096774193</v>
      </c>
      <c r="AE349" s="101">
        <f t="shared" si="142"/>
        <v>1015.6733182795699</v>
      </c>
      <c r="AF349" s="17">
        <f t="shared" si="147"/>
        <v>0</v>
      </c>
      <c r="AH349" s="1">
        <f t="shared" si="153"/>
        <v>45246</v>
      </c>
      <c r="AI349" s="120">
        <v>1031.5047801075268</v>
      </c>
      <c r="AJ349" s="120">
        <v>194.64295215053764</v>
      </c>
      <c r="AK349" s="44"/>
      <c r="AL349" s="120">
        <v>77.46857935483871</v>
      </c>
      <c r="AM349" s="44">
        <f t="shared" si="143"/>
        <v>1303.6163116129032</v>
      </c>
      <c r="AN349" s="17">
        <f t="shared" si="148"/>
        <v>0</v>
      </c>
      <c r="AO349" s="17"/>
      <c r="AP349" s="1">
        <f t="shared" si="154"/>
        <v>45611</v>
      </c>
      <c r="AQ349" s="120">
        <v>889.41200000000003</v>
      </c>
      <c r="AR349" s="120">
        <v>213.70770630000001</v>
      </c>
      <c r="AS349" s="44"/>
      <c r="AT349" s="120">
        <v>66.202570322580641</v>
      </c>
      <c r="AU349" s="44">
        <f t="shared" si="144"/>
        <v>1169.3222766225806</v>
      </c>
      <c r="AV349" s="17">
        <f t="shared" si="149"/>
        <v>0</v>
      </c>
      <c r="AW349" s="17"/>
      <c r="AX349" s="1">
        <f t="shared" si="155"/>
        <v>45977</v>
      </c>
      <c r="AY349" s="120"/>
      <c r="AZ349" s="120"/>
      <c r="BA349" s="44"/>
      <c r="BB349" s="120"/>
      <c r="BC349" s="44">
        <f t="shared" si="145"/>
        <v>0</v>
      </c>
      <c r="BD349" s="17">
        <f t="shared" si="150"/>
        <v>0</v>
      </c>
    </row>
    <row r="350" spans="1:56" x14ac:dyDescent="0.3">
      <c r="A350" s="17"/>
      <c r="B350" s="1">
        <v>43786</v>
      </c>
      <c r="C350" s="4">
        <v>751</v>
      </c>
      <c r="D350" s="4">
        <v>172</v>
      </c>
      <c r="E350" s="4"/>
      <c r="F350" s="4">
        <v>50</v>
      </c>
      <c r="G350" s="7">
        <f t="shared" ref="G350:G363" si="158">SUM(C350:F350)</f>
        <v>973</v>
      </c>
      <c r="H350" s="17">
        <f t="shared" si="157"/>
        <v>0</v>
      </c>
      <c r="J350" s="1">
        <v>44151</v>
      </c>
      <c r="K350" s="101">
        <v>665.34</v>
      </c>
      <c r="L350" s="101">
        <v>137.55500000000001</v>
      </c>
      <c r="M350" s="101"/>
      <c r="N350" s="101">
        <v>56.923999999999999</v>
      </c>
      <c r="O350" s="7">
        <f t="shared" ref="O350:O395" si="159">SUM(K350:N350)</f>
        <v>859.81899999999996</v>
      </c>
      <c r="P350" s="17">
        <f t="shared" si="156"/>
        <v>0</v>
      </c>
      <c r="R350" s="1">
        <f t="shared" si="151"/>
        <v>44517</v>
      </c>
      <c r="S350" s="43">
        <v>835.03107290322578</v>
      </c>
      <c r="T350" s="44">
        <v>180.00830419354838</v>
      </c>
      <c r="U350" s="4"/>
      <c r="V350" s="44">
        <v>78.856583225806446</v>
      </c>
      <c r="W350" s="7">
        <f t="shared" ref="W350:W394" si="160">SUM(S350:V350)</f>
        <v>1093.8959603225805</v>
      </c>
      <c r="X350" s="17">
        <f t="shared" si="146"/>
        <v>0</v>
      </c>
      <c r="Y350" s="17"/>
      <c r="Z350" s="1">
        <f t="shared" si="152"/>
        <v>44882</v>
      </c>
      <c r="AA350" s="115">
        <v>716.75120053763442</v>
      </c>
      <c r="AB350" s="115">
        <v>151.26881258064518</v>
      </c>
      <c r="AC350" s="101"/>
      <c r="AD350" s="115">
        <v>62.736029032258067</v>
      </c>
      <c r="AE350" s="101">
        <f t="shared" ref="AE350:AE395" si="161">SUM(AA350:AD350)</f>
        <v>930.75604215053772</v>
      </c>
      <c r="AF350" s="17">
        <f t="shared" si="147"/>
        <v>0</v>
      </c>
      <c r="AH350" s="1">
        <f t="shared" si="153"/>
        <v>45247</v>
      </c>
      <c r="AI350" s="119">
        <v>939.54895537634411</v>
      </c>
      <c r="AJ350" s="119">
        <v>204.2468464516129</v>
      </c>
      <c r="AK350" s="44"/>
      <c r="AL350" s="119">
        <v>72.609227096774191</v>
      </c>
      <c r="AM350" s="44">
        <f t="shared" ref="AM350:AM395" si="162">SUM(AI350:AL350)</f>
        <v>1216.4050289247311</v>
      </c>
      <c r="AN350" s="17">
        <f t="shared" si="148"/>
        <v>0</v>
      </c>
      <c r="AO350" s="17"/>
      <c r="AP350" s="1">
        <f t="shared" si="154"/>
        <v>45612</v>
      </c>
      <c r="AQ350" s="119">
        <v>991.71199999999999</v>
      </c>
      <c r="AR350" s="119">
        <v>249.7274807</v>
      </c>
      <c r="AS350" s="44"/>
      <c r="AT350" s="119">
        <v>72.990327311827954</v>
      </c>
      <c r="AU350" s="44">
        <f t="shared" ref="AU350:AU393" si="163">SUM(AQ350:AT350)</f>
        <v>1314.4298080118278</v>
      </c>
      <c r="AV350" s="17">
        <f t="shared" si="149"/>
        <v>0</v>
      </c>
      <c r="AW350" s="17"/>
      <c r="AX350" s="1">
        <f t="shared" si="155"/>
        <v>45978</v>
      </c>
      <c r="AY350" s="119"/>
      <c r="AZ350" s="119"/>
      <c r="BA350" s="44"/>
      <c r="BB350" s="119"/>
      <c r="BC350" s="44">
        <f t="shared" ref="BC350:BC394" si="164">SUM(AY350:BB350)</f>
        <v>0</v>
      </c>
      <c r="BD350" s="17">
        <f t="shared" si="150"/>
        <v>0</v>
      </c>
    </row>
    <row r="351" spans="1:56" x14ac:dyDescent="0.3">
      <c r="A351" s="17"/>
      <c r="B351" s="1">
        <v>43787</v>
      </c>
      <c r="C351" s="4">
        <v>767</v>
      </c>
      <c r="D351" s="4">
        <v>164</v>
      </c>
      <c r="E351" s="4"/>
      <c r="F351" s="4">
        <v>53</v>
      </c>
      <c r="G351" s="7">
        <f t="shared" si="158"/>
        <v>984</v>
      </c>
      <c r="H351" s="17">
        <f t="shared" si="157"/>
        <v>0</v>
      </c>
      <c r="J351" s="1">
        <v>44152</v>
      </c>
      <c r="K351" s="101">
        <v>651.51</v>
      </c>
      <c r="L351" s="101">
        <v>133.83699999999999</v>
      </c>
      <c r="M351" s="101"/>
      <c r="N351" s="101">
        <v>54.503</v>
      </c>
      <c r="O351" s="7">
        <f t="shared" si="159"/>
        <v>839.85</v>
      </c>
      <c r="P351" s="17">
        <f t="shared" si="156"/>
        <v>0</v>
      </c>
      <c r="R351" s="1">
        <f t="shared" si="151"/>
        <v>44518</v>
      </c>
      <c r="S351" s="43">
        <v>861.18916064516134</v>
      </c>
      <c r="T351" s="44">
        <v>171.92426817204301</v>
      </c>
      <c r="U351" s="4"/>
      <c r="V351" s="44">
        <v>72.199649032258066</v>
      </c>
      <c r="W351" s="7">
        <f t="shared" si="160"/>
        <v>1105.3130778494624</v>
      </c>
      <c r="X351" s="17">
        <f t="shared" ref="X351:X394" si="165">IF(W351&gt;1476,1,0)</f>
        <v>0</v>
      </c>
      <c r="Y351" s="17"/>
      <c r="Z351" s="1">
        <f t="shared" si="152"/>
        <v>44883</v>
      </c>
      <c r="AA351" s="116">
        <v>732.37889591397845</v>
      </c>
      <c r="AB351" s="116">
        <v>144.05379139784947</v>
      </c>
      <c r="AC351" s="101"/>
      <c r="AD351" s="116">
        <v>65.415983225806457</v>
      </c>
      <c r="AE351" s="101">
        <f t="shared" si="161"/>
        <v>941.84867053763446</v>
      </c>
      <c r="AF351" s="17">
        <f t="shared" ref="AF351:AF394" si="166">IF(AE351&gt;1476,1,0)</f>
        <v>0</v>
      </c>
      <c r="AH351" s="1">
        <f t="shared" si="153"/>
        <v>45248</v>
      </c>
      <c r="AI351" s="120">
        <v>1009.1076978494624</v>
      </c>
      <c r="AJ351" s="120">
        <v>225.06125731182794</v>
      </c>
      <c r="AK351" s="44"/>
      <c r="AL351" s="120">
        <v>79.889574193548384</v>
      </c>
      <c r="AM351" s="44">
        <f t="shared" si="162"/>
        <v>1314.0585293548388</v>
      </c>
      <c r="AN351" s="17">
        <f t="shared" ref="AN351:AN394" si="167">IF(AM351&gt;1476,1,0)</f>
        <v>0</v>
      </c>
      <c r="AO351" s="17"/>
      <c r="AP351" s="1">
        <f t="shared" si="154"/>
        <v>45613</v>
      </c>
      <c r="AQ351" s="120">
        <v>858.16899999999998</v>
      </c>
      <c r="AR351" s="120">
        <v>220.21894320000001</v>
      </c>
      <c r="AS351" s="44"/>
      <c r="AT351" s="120">
        <v>60.76911440860215</v>
      </c>
      <c r="AU351" s="44">
        <f t="shared" si="163"/>
        <v>1139.1570576086019</v>
      </c>
      <c r="AV351" s="17">
        <f t="shared" ref="AV351:AV395" si="168">IF(AU351&gt;1476,1,0)</f>
        <v>0</v>
      </c>
      <c r="AW351" s="17"/>
      <c r="AX351" s="1">
        <f t="shared" si="155"/>
        <v>45979</v>
      </c>
      <c r="AY351" s="120"/>
      <c r="AZ351" s="120"/>
      <c r="BA351" s="44"/>
      <c r="BB351" s="120"/>
      <c r="BC351" s="44">
        <f t="shared" si="164"/>
        <v>0</v>
      </c>
      <c r="BD351" s="17">
        <f t="shared" ref="BD351:BD394" si="169">IF(BC351&gt;1476,1,0)</f>
        <v>0</v>
      </c>
    </row>
    <row r="352" spans="1:56" x14ac:dyDescent="0.3">
      <c r="A352" s="17"/>
      <c r="B352" s="1">
        <v>43788</v>
      </c>
      <c r="C352" s="4">
        <v>807</v>
      </c>
      <c r="D352" s="4">
        <v>179</v>
      </c>
      <c r="E352" s="4"/>
      <c r="F352" s="4">
        <v>53</v>
      </c>
      <c r="G352" s="7">
        <f t="shared" si="158"/>
        <v>1039</v>
      </c>
      <c r="H352" s="17">
        <f t="shared" si="157"/>
        <v>0</v>
      </c>
      <c r="J352" s="1">
        <v>44153</v>
      </c>
      <c r="K352" s="101">
        <v>570.09</v>
      </c>
      <c r="L352" s="101">
        <v>116.66800000000001</v>
      </c>
      <c r="M352" s="101"/>
      <c r="N352" s="101">
        <v>51.411000000000001</v>
      </c>
      <c r="O352" s="7">
        <f t="shared" si="159"/>
        <v>738.1690000000001</v>
      </c>
      <c r="P352" s="17">
        <f t="shared" si="156"/>
        <v>0</v>
      </c>
      <c r="R352" s="1">
        <f t="shared" ref="R352:R394" si="170">R351+1</f>
        <v>44519</v>
      </c>
      <c r="S352" s="43">
        <v>806.20907806451612</v>
      </c>
      <c r="T352" s="44">
        <v>158.93841806451613</v>
      </c>
      <c r="U352" s="4"/>
      <c r="V352" s="44">
        <v>68.874410322580644</v>
      </c>
      <c r="W352" s="7">
        <f t="shared" si="160"/>
        <v>1034.0219064516129</v>
      </c>
      <c r="X352" s="17">
        <f t="shared" si="165"/>
        <v>0</v>
      </c>
      <c r="Y352" s="17"/>
      <c r="Z352" s="1">
        <f t="shared" ref="Z352:Z394" si="171">Z351+1</f>
        <v>44884</v>
      </c>
      <c r="AA352" s="115">
        <v>742.69294892473113</v>
      </c>
      <c r="AB352" s="115">
        <v>165.29499462365592</v>
      </c>
      <c r="AC352" s="101"/>
      <c r="AD352" s="115">
        <v>64.473617419354838</v>
      </c>
      <c r="AE352" s="101">
        <f t="shared" si="161"/>
        <v>972.46156096774189</v>
      </c>
      <c r="AF352" s="17">
        <f t="shared" si="166"/>
        <v>0</v>
      </c>
      <c r="AH352" s="1">
        <f t="shared" ref="AH352:AH394" si="172">AH351+1</f>
        <v>45249</v>
      </c>
      <c r="AI352" s="119">
        <v>890.2213537634409</v>
      </c>
      <c r="AJ352" s="119">
        <v>195.31570602150538</v>
      </c>
      <c r="AK352" s="44"/>
      <c r="AL352" s="119">
        <v>70.681980645161289</v>
      </c>
      <c r="AM352" s="44">
        <f t="shared" si="162"/>
        <v>1156.2190404301075</v>
      </c>
      <c r="AN352" s="17">
        <f t="shared" si="167"/>
        <v>0</v>
      </c>
      <c r="AO352" s="17"/>
      <c r="AP352" s="1">
        <f t="shared" ref="AP352:AP395" si="173">AP351+1</f>
        <v>45614</v>
      </c>
      <c r="AQ352" s="119">
        <v>784.41399999999999</v>
      </c>
      <c r="AR352" s="119">
        <v>192.66367539999999</v>
      </c>
      <c r="AS352" s="44"/>
      <c r="AT352" s="119">
        <v>62.708473548387097</v>
      </c>
      <c r="AU352" s="44">
        <f t="shared" si="163"/>
        <v>1039.7861489483871</v>
      </c>
      <c r="AV352" s="17">
        <f t="shared" si="168"/>
        <v>0</v>
      </c>
      <c r="AW352" s="17"/>
      <c r="AX352" s="1">
        <f t="shared" ref="AX352:AX394" si="174">AX351+1</f>
        <v>45980</v>
      </c>
      <c r="AY352" s="119"/>
      <c r="AZ352" s="119"/>
      <c r="BA352" s="44"/>
      <c r="BB352" s="119"/>
      <c r="BC352" s="44">
        <f t="shared" si="164"/>
        <v>0</v>
      </c>
      <c r="BD352" s="17">
        <f t="shared" si="169"/>
        <v>0</v>
      </c>
    </row>
    <row r="353" spans="1:56" x14ac:dyDescent="0.3">
      <c r="A353" s="17"/>
      <c r="B353" s="1">
        <v>43789</v>
      </c>
      <c r="C353" s="4">
        <v>846</v>
      </c>
      <c r="D353" s="4">
        <v>176</v>
      </c>
      <c r="E353" s="4"/>
      <c r="F353" s="4">
        <v>56</v>
      </c>
      <c r="G353" s="7">
        <f t="shared" si="158"/>
        <v>1078</v>
      </c>
      <c r="H353" s="17">
        <f t="shared" si="157"/>
        <v>0</v>
      </c>
      <c r="J353" s="1">
        <v>44154</v>
      </c>
      <c r="K353" s="101">
        <v>543.12</v>
      </c>
      <c r="L353" s="101">
        <v>102.515</v>
      </c>
      <c r="M353" s="101"/>
      <c r="N353" s="101">
        <v>51.567999999999998</v>
      </c>
      <c r="O353" s="7">
        <f t="shared" si="159"/>
        <v>697.20299999999997</v>
      </c>
      <c r="P353" s="17">
        <f t="shared" si="156"/>
        <v>0</v>
      </c>
      <c r="R353" s="1">
        <f t="shared" si="170"/>
        <v>44520</v>
      </c>
      <c r="S353" s="43">
        <v>910.05520645161289</v>
      </c>
      <c r="T353" s="44">
        <v>183.54307849462364</v>
      </c>
      <c r="U353" s="4"/>
      <c r="V353" s="44">
        <v>73.12081548387097</v>
      </c>
      <c r="W353" s="7">
        <f t="shared" si="160"/>
        <v>1166.7191004301076</v>
      </c>
      <c r="X353" s="17">
        <f t="shared" si="165"/>
        <v>0</v>
      </c>
      <c r="Y353" s="17"/>
      <c r="Z353" s="1">
        <f t="shared" si="171"/>
        <v>44885</v>
      </c>
      <c r="AA353" s="116">
        <v>703.55336172043008</v>
      </c>
      <c r="AB353" s="116">
        <v>161.8996905376344</v>
      </c>
      <c r="AC353" s="101"/>
      <c r="AD353" s="116">
        <v>56.24441612903226</v>
      </c>
      <c r="AE353" s="101">
        <f t="shared" si="161"/>
        <v>921.69746838709671</v>
      </c>
      <c r="AF353" s="17">
        <f t="shared" si="166"/>
        <v>0</v>
      </c>
      <c r="AH353" s="1">
        <f t="shared" si="172"/>
        <v>45250</v>
      </c>
      <c r="AI353" s="120">
        <v>1059.1085112903227</v>
      </c>
      <c r="AJ353" s="120">
        <v>182.70336290322581</v>
      </c>
      <c r="AK353" s="44"/>
      <c r="AL353" s="120">
        <v>72.649378064516128</v>
      </c>
      <c r="AM353" s="44">
        <f t="shared" si="162"/>
        <v>1314.4612522580646</v>
      </c>
      <c r="AN353" s="17">
        <f t="shared" si="167"/>
        <v>0</v>
      </c>
      <c r="AO353" s="17"/>
      <c r="AP353" s="1">
        <f t="shared" si="173"/>
        <v>45615</v>
      </c>
      <c r="AQ353" s="120">
        <v>761.50099999999998</v>
      </c>
      <c r="AR353" s="120">
        <v>188.26751490000001</v>
      </c>
      <c r="AS353" s="44"/>
      <c r="AT353" s="120">
        <v>60.041042150537635</v>
      </c>
      <c r="AU353" s="44">
        <f t="shared" si="163"/>
        <v>1009.8095570505377</v>
      </c>
      <c r="AV353" s="17">
        <f t="shared" si="168"/>
        <v>0</v>
      </c>
      <c r="AW353" s="17"/>
      <c r="AX353" s="1">
        <f t="shared" si="174"/>
        <v>45981</v>
      </c>
      <c r="AY353" s="120"/>
      <c r="AZ353" s="120"/>
      <c r="BA353" s="44"/>
      <c r="BB353" s="120"/>
      <c r="BC353" s="44">
        <f t="shared" si="164"/>
        <v>0</v>
      </c>
      <c r="BD353" s="17">
        <f t="shared" si="169"/>
        <v>0</v>
      </c>
    </row>
    <row r="354" spans="1:56" x14ac:dyDescent="0.3">
      <c r="A354" s="17"/>
      <c r="B354" s="1">
        <v>43790</v>
      </c>
      <c r="C354" s="4">
        <v>776</v>
      </c>
      <c r="D354" s="4">
        <v>163</v>
      </c>
      <c r="E354" s="4"/>
      <c r="F354" s="4">
        <v>55</v>
      </c>
      <c r="G354" s="7">
        <f t="shared" si="158"/>
        <v>994</v>
      </c>
      <c r="H354" s="17">
        <f t="shared" si="157"/>
        <v>0</v>
      </c>
      <c r="J354" s="1">
        <v>44155</v>
      </c>
      <c r="K354" s="101">
        <v>612.39</v>
      </c>
      <c r="L354" s="101">
        <v>110.08</v>
      </c>
      <c r="M354" s="101"/>
      <c r="N354" s="101">
        <v>53.24</v>
      </c>
      <c r="O354" s="7">
        <f t="shared" si="159"/>
        <v>775.71</v>
      </c>
      <c r="P354" s="17">
        <f t="shared" si="156"/>
        <v>0</v>
      </c>
      <c r="R354" s="1">
        <f t="shared" si="170"/>
        <v>44521</v>
      </c>
      <c r="S354" s="43">
        <v>923.06230838709678</v>
      </c>
      <c r="T354" s="44">
        <v>186.66465731182797</v>
      </c>
      <c r="U354" s="4"/>
      <c r="V354" s="44">
        <v>75.773473548387102</v>
      </c>
      <c r="W354" s="7">
        <f t="shared" si="160"/>
        <v>1185.5004392473118</v>
      </c>
      <c r="X354" s="17">
        <f t="shared" si="165"/>
        <v>0</v>
      </c>
      <c r="Y354" s="17"/>
      <c r="Z354" s="1">
        <f t="shared" si="171"/>
        <v>44886</v>
      </c>
      <c r="AA354" s="115">
        <v>891.48828602150536</v>
      </c>
      <c r="AB354" s="115">
        <v>160.25136494623655</v>
      </c>
      <c r="AC354" s="101"/>
      <c r="AD354" s="115">
        <v>64.773313548387094</v>
      </c>
      <c r="AE354" s="101">
        <f t="shared" si="161"/>
        <v>1116.5129645161289</v>
      </c>
      <c r="AF354" s="17">
        <f t="shared" si="166"/>
        <v>0</v>
      </c>
      <c r="AH354" s="1">
        <f t="shared" si="172"/>
        <v>45251</v>
      </c>
      <c r="AI354" s="119">
        <v>955.57814946236556</v>
      </c>
      <c r="AJ354" s="119">
        <v>202.72521440860214</v>
      </c>
      <c r="AK354" s="44"/>
      <c r="AL354" s="119">
        <v>71.137748387096778</v>
      </c>
      <c r="AM354" s="44">
        <f t="shared" si="162"/>
        <v>1229.4411122580643</v>
      </c>
      <c r="AN354" s="17">
        <f t="shared" si="167"/>
        <v>0</v>
      </c>
      <c r="AO354" s="17"/>
      <c r="AP354" s="1">
        <f t="shared" si="173"/>
        <v>45616</v>
      </c>
      <c r="AQ354" s="119">
        <v>741.62599999999998</v>
      </c>
      <c r="AR354" s="119">
        <v>186.84177439999999</v>
      </c>
      <c r="AS354" s="44"/>
      <c r="AT354" s="119">
        <v>61.695456344086018</v>
      </c>
      <c r="AU354" s="44">
        <f t="shared" si="163"/>
        <v>990.16323074408592</v>
      </c>
      <c r="AV354" s="17">
        <f t="shared" si="168"/>
        <v>0</v>
      </c>
      <c r="AW354" s="17"/>
      <c r="AX354" s="1">
        <f t="shared" si="174"/>
        <v>45982</v>
      </c>
      <c r="AY354" s="119"/>
      <c r="AZ354" s="119"/>
      <c r="BA354" s="44"/>
      <c r="BB354" s="119"/>
      <c r="BC354" s="44">
        <f t="shared" si="164"/>
        <v>0</v>
      </c>
      <c r="BD354" s="17">
        <f t="shared" si="169"/>
        <v>0</v>
      </c>
    </row>
    <row r="355" spans="1:56" x14ac:dyDescent="0.3">
      <c r="A355" s="17"/>
      <c r="B355" s="1">
        <v>43791</v>
      </c>
      <c r="C355" s="4">
        <v>712</v>
      </c>
      <c r="D355" s="4">
        <v>149</v>
      </c>
      <c r="E355" s="4"/>
      <c r="F355" s="4">
        <v>54</v>
      </c>
      <c r="G355" s="7">
        <f t="shared" si="158"/>
        <v>915</v>
      </c>
      <c r="H355" s="17">
        <f t="shared" si="157"/>
        <v>0</v>
      </c>
      <c r="J355" s="1">
        <v>44156</v>
      </c>
      <c r="K355" s="101">
        <v>596.83000000000004</v>
      </c>
      <c r="L355" s="101">
        <v>121.084</v>
      </c>
      <c r="M355" s="101"/>
      <c r="N355" s="101">
        <v>49.484999999999999</v>
      </c>
      <c r="O355" s="7">
        <f t="shared" si="159"/>
        <v>767.399</v>
      </c>
      <c r="P355" s="17">
        <f t="shared" si="156"/>
        <v>0</v>
      </c>
      <c r="R355" s="1">
        <f t="shared" si="170"/>
        <v>44522</v>
      </c>
      <c r="S355" s="43">
        <v>1009.6639548387096</v>
      </c>
      <c r="T355" s="44">
        <v>192.18832032258064</v>
      </c>
      <c r="U355" s="4"/>
      <c r="V355" s="44">
        <v>80.938892903225806</v>
      </c>
      <c r="W355" s="7">
        <f t="shared" si="160"/>
        <v>1282.7911680645161</v>
      </c>
      <c r="X355" s="17">
        <f t="shared" si="165"/>
        <v>0</v>
      </c>
      <c r="Y355" s="17"/>
      <c r="Z355" s="1">
        <f t="shared" si="171"/>
        <v>44887</v>
      </c>
      <c r="AA355" s="116">
        <v>715.5167594623656</v>
      </c>
      <c r="AB355" s="116">
        <v>130.86924193548387</v>
      </c>
      <c r="AC355" s="101"/>
      <c r="AD355" s="116">
        <v>57.88679419354839</v>
      </c>
      <c r="AE355" s="101">
        <f t="shared" si="161"/>
        <v>904.27279559139788</v>
      </c>
      <c r="AF355" s="17">
        <f t="shared" si="166"/>
        <v>0</v>
      </c>
      <c r="AH355" s="1">
        <f t="shared" si="172"/>
        <v>45252</v>
      </c>
      <c r="AI355" s="120">
        <v>943.59641129032264</v>
      </c>
      <c r="AJ355" s="120">
        <v>205.09470064516128</v>
      </c>
      <c r="AK355" s="44"/>
      <c r="AL355" s="120">
        <v>73.930953548387095</v>
      </c>
      <c r="AM355" s="44">
        <f t="shared" si="162"/>
        <v>1222.622065483871</v>
      </c>
      <c r="AN355" s="17">
        <f t="shared" si="167"/>
        <v>0</v>
      </c>
      <c r="AO355" s="17"/>
      <c r="AP355" s="1">
        <f t="shared" si="173"/>
        <v>45617</v>
      </c>
      <c r="AQ355" s="120">
        <v>694.00699999999995</v>
      </c>
      <c r="AR355" s="120">
        <v>180.367076</v>
      </c>
      <c r="AS355" s="44"/>
      <c r="AT355" s="120">
        <v>54.965121720430105</v>
      </c>
      <c r="AU355" s="44">
        <f t="shared" si="163"/>
        <v>929.33919772043009</v>
      </c>
      <c r="AV355" s="17">
        <f t="shared" si="168"/>
        <v>0</v>
      </c>
      <c r="AW355" s="17"/>
      <c r="AX355" s="1">
        <f t="shared" si="174"/>
        <v>45983</v>
      </c>
      <c r="AY355" s="120"/>
      <c r="AZ355" s="120"/>
      <c r="BA355" s="44"/>
      <c r="BB355" s="120"/>
      <c r="BC355" s="44">
        <f t="shared" si="164"/>
        <v>0</v>
      </c>
      <c r="BD355" s="17">
        <f t="shared" si="169"/>
        <v>0</v>
      </c>
    </row>
    <row r="356" spans="1:56" x14ac:dyDescent="0.3">
      <c r="A356" s="17"/>
      <c r="B356" s="1">
        <v>43792</v>
      </c>
      <c r="C356" s="4">
        <v>666</v>
      </c>
      <c r="D356" s="4">
        <v>140</v>
      </c>
      <c r="E356" s="4"/>
      <c r="F356" s="4">
        <v>48</v>
      </c>
      <c r="G356" s="7">
        <f t="shared" si="158"/>
        <v>854</v>
      </c>
      <c r="H356" s="17">
        <f t="shared" si="157"/>
        <v>0</v>
      </c>
      <c r="J356" s="1">
        <v>44157</v>
      </c>
      <c r="K356" s="101">
        <v>599.42999999999995</v>
      </c>
      <c r="L356" s="101">
        <v>114.026</v>
      </c>
      <c r="M356" s="101"/>
      <c r="N356" s="101">
        <v>47.704999999999998</v>
      </c>
      <c r="O356" s="7">
        <f t="shared" si="159"/>
        <v>761.16099999999994</v>
      </c>
      <c r="P356" s="17">
        <f t="shared" si="156"/>
        <v>0</v>
      </c>
      <c r="R356" s="1">
        <f t="shared" si="170"/>
        <v>44523</v>
      </c>
      <c r="S356" s="43">
        <v>943.2759367741935</v>
      </c>
      <c r="T356" s="44">
        <v>180.55100870967743</v>
      </c>
      <c r="U356" s="4"/>
      <c r="V356" s="44">
        <v>71.658356129032256</v>
      </c>
      <c r="W356" s="7">
        <f t="shared" si="160"/>
        <v>1195.4853016129032</v>
      </c>
      <c r="X356" s="17">
        <f t="shared" si="165"/>
        <v>0</v>
      </c>
      <c r="Y356" s="17"/>
      <c r="Z356" s="1">
        <f t="shared" si="171"/>
        <v>44888</v>
      </c>
      <c r="AA356" s="115">
        <v>897.53725268817209</v>
      </c>
      <c r="AB356" s="115">
        <v>178.16200505376344</v>
      </c>
      <c r="AC356" s="101"/>
      <c r="AD356" s="115">
        <v>63.308372903225809</v>
      </c>
      <c r="AE356" s="101">
        <f t="shared" si="161"/>
        <v>1139.0076306451613</v>
      </c>
      <c r="AF356" s="17">
        <f t="shared" si="166"/>
        <v>0</v>
      </c>
      <c r="AH356" s="1">
        <f t="shared" si="172"/>
        <v>45253</v>
      </c>
      <c r="AI356" s="119">
        <v>954.54889247311826</v>
      </c>
      <c r="AJ356" s="119">
        <v>203.28737860215054</v>
      </c>
      <c r="AK356" s="44"/>
      <c r="AL356" s="119">
        <v>73.771434838709681</v>
      </c>
      <c r="AM356" s="44">
        <f t="shared" si="162"/>
        <v>1231.6077059139784</v>
      </c>
      <c r="AN356" s="17">
        <f t="shared" si="167"/>
        <v>0</v>
      </c>
      <c r="AO356" s="17"/>
      <c r="AP356" s="1">
        <f t="shared" si="173"/>
        <v>45618</v>
      </c>
      <c r="AQ356" s="119">
        <v>721.11400000000003</v>
      </c>
      <c r="AR356" s="119">
        <v>179.24670399999999</v>
      </c>
      <c r="AS356" s="44"/>
      <c r="AT356" s="119">
        <v>56.059396989247311</v>
      </c>
      <c r="AU356" s="44">
        <f t="shared" si="163"/>
        <v>956.42010098924732</v>
      </c>
      <c r="AV356" s="17">
        <f t="shared" si="168"/>
        <v>0</v>
      </c>
      <c r="AW356" s="17"/>
      <c r="AX356" s="1">
        <f t="shared" si="174"/>
        <v>45984</v>
      </c>
      <c r="AY356" s="119"/>
      <c r="AZ356" s="119"/>
      <c r="BA356" s="44"/>
      <c r="BB356" s="119"/>
      <c r="BC356" s="44">
        <f t="shared" si="164"/>
        <v>0</v>
      </c>
      <c r="BD356" s="17">
        <f t="shared" si="169"/>
        <v>0</v>
      </c>
    </row>
    <row r="357" spans="1:56" x14ac:dyDescent="0.3">
      <c r="A357" s="17"/>
      <c r="B357" s="1">
        <v>43793</v>
      </c>
      <c r="C357" s="4">
        <v>612</v>
      </c>
      <c r="D357" s="4">
        <v>126</v>
      </c>
      <c r="E357" s="4"/>
      <c r="F357" s="4">
        <v>40</v>
      </c>
      <c r="G357" s="7">
        <f t="shared" si="158"/>
        <v>778</v>
      </c>
      <c r="H357" s="17">
        <f t="shared" si="157"/>
        <v>0</v>
      </c>
      <c r="J357" s="1">
        <v>44158</v>
      </c>
      <c r="K357" s="101">
        <v>692.28</v>
      </c>
      <c r="L357" s="101">
        <v>142.268</v>
      </c>
      <c r="M357" s="101"/>
      <c r="N357" s="101">
        <v>48.36</v>
      </c>
      <c r="O357" s="7">
        <f t="shared" si="159"/>
        <v>882.90800000000002</v>
      </c>
      <c r="P357" s="17">
        <f t="shared" si="156"/>
        <v>0</v>
      </c>
      <c r="R357" s="1">
        <f t="shared" si="170"/>
        <v>44524</v>
      </c>
      <c r="S357" s="43">
        <v>817.06614387096772</v>
      </c>
      <c r="T357" s="44">
        <v>173.68702999999999</v>
      </c>
      <c r="U357" s="4"/>
      <c r="V357" s="44">
        <v>57.445920000000001</v>
      </c>
      <c r="W357" s="7">
        <f t="shared" si="160"/>
        <v>1048.1990938709678</v>
      </c>
      <c r="X357" s="17">
        <f t="shared" si="165"/>
        <v>0</v>
      </c>
      <c r="Y357" s="17"/>
      <c r="Z357" s="1">
        <f t="shared" si="171"/>
        <v>44889</v>
      </c>
      <c r="AA357" s="116">
        <v>873.76450559139789</v>
      </c>
      <c r="AB357" s="116">
        <v>181.92417462365592</v>
      </c>
      <c r="AC357" s="101"/>
      <c r="AD357" s="116">
        <v>65.717843225806448</v>
      </c>
      <c r="AE357" s="101">
        <f t="shared" si="161"/>
        <v>1121.4065234408604</v>
      </c>
      <c r="AF357" s="17">
        <f t="shared" si="166"/>
        <v>0</v>
      </c>
      <c r="AH357" s="1">
        <f t="shared" si="172"/>
        <v>45254</v>
      </c>
      <c r="AI357" s="120">
        <v>889.29850107526886</v>
      </c>
      <c r="AJ357" s="120">
        <v>169.67118860215055</v>
      </c>
      <c r="AK357" s="44"/>
      <c r="AL357" s="120">
        <v>68.486699354838706</v>
      </c>
      <c r="AM357" s="44">
        <f t="shared" si="162"/>
        <v>1127.4563890322581</v>
      </c>
      <c r="AN357" s="17">
        <f t="shared" si="167"/>
        <v>0</v>
      </c>
      <c r="AO357" s="17"/>
      <c r="AP357" s="1">
        <f t="shared" si="173"/>
        <v>45619</v>
      </c>
      <c r="AQ357" s="120">
        <v>872.97400000000005</v>
      </c>
      <c r="AR357" s="120">
        <v>217.79519640000001</v>
      </c>
      <c r="AS357" s="44"/>
      <c r="AT357" s="120">
        <v>63.970682150537634</v>
      </c>
      <c r="AU357" s="44">
        <f t="shared" si="163"/>
        <v>1154.7398785505377</v>
      </c>
      <c r="AV357" s="17">
        <f t="shared" si="168"/>
        <v>0</v>
      </c>
      <c r="AW357" s="17"/>
      <c r="AX357" s="1">
        <f t="shared" si="174"/>
        <v>45985</v>
      </c>
      <c r="AY357" s="120"/>
      <c r="AZ357" s="120"/>
      <c r="BA357" s="44"/>
      <c r="BB357" s="120"/>
      <c r="BC357" s="44">
        <f t="shared" si="164"/>
        <v>0</v>
      </c>
      <c r="BD357" s="17">
        <f t="shared" si="169"/>
        <v>0</v>
      </c>
    </row>
    <row r="358" spans="1:56" x14ac:dyDescent="0.3">
      <c r="A358" s="17"/>
      <c r="B358" s="1">
        <v>43794</v>
      </c>
      <c r="C358" s="4">
        <v>879</v>
      </c>
      <c r="D358" s="4">
        <v>182</v>
      </c>
      <c r="E358" s="4"/>
      <c r="F358" s="4">
        <v>54</v>
      </c>
      <c r="G358" s="7">
        <f t="shared" si="158"/>
        <v>1115</v>
      </c>
      <c r="H358" s="17">
        <f t="shared" si="157"/>
        <v>0</v>
      </c>
      <c r="J358" s="1">
        <v>44159</v>
      </c>
      <c r="K358" s="101">
        <v>745.39</v>
      </c>
      <c r="L358" s="101">
        <v>154.35599999999999</v>
      </c>
      <c r="M358" s="101"/>
      <c r="N358" s="101">
        <v>52.808</v>
      </c>
      <c r="O358" s="7">
        <f t="shared" si="159"/>
        <v>952.55399999999997</v>
      </c>
      <c r="P358" s="17">
        <f t="shared" si="156"/>
        <v>0</v>
      </c>
      <c r="R358" s="1">
        <f t="shared" si="170"/>
        <v>44525</v>
      </c>
      <c r="S358" s="43">
        <v>833.30241096774193</v>
      </c>
      <c r="T358" s="44">
        <v>179.94971677419355</v>
      </c>
      <c r="U358" s="4"/>
      <c r="V358" s="44">
        <v>70.452015483870966</v>
      </c>
      <c r="W358" s="7">
        <f t="shared" si="160"/>
        <v>1083.7041432258065</v>
      </c>
      <c r="X358" s="17">
        <f t="shared" si="165"/>
        <v>0</v>
      </c>
      <c r="Y358" s="17"/>
      <c r="Z358" s="1">
        <f t="shared" si="171"/>
        <v>44890</v>
      </c>
      <c r="AA358" s="115">
        <v>863.46791139784943</v>
      </c>
      <c r="AB358" s="115">
        <v>184.81285494623657</v>
      </c>
      <c r="AC358" s="101"/>
      <c r="AD358" s="115">
        <v>64.973471612903225</v>
      </c>
      <c r="AE358" s="101">
        <f t="shared" si="161"/>
        <v>1113.2542379569893</v>
      </c>
      <c r="AF358" s="17">
        <f t="shared" si="166"/>
        <v>0</v>
      </c>
      <c r="AH358" s="1">
        <f t="shared" si="172"/>
        <v>45255</v>
      </c>
      <c r="AI358" s="119">
        <v>789.06462634408604</v>
      </c>
      <c r="AJ358" s="119">
        <v>159.4027322580645</v>
      </c>
      <c r="AK358" s="44"/>
      <c r="AL358" s="119">
        <v>60.243814193548388</v>
      </c>
      <c r="AM358" s="44">
        <f t="shared" si="162"/>
        <v>1008.7111727956989</v>
      </c>
      <c r="AN358" s="17">
        <f t="shared" si="167"/>
        <v>0</v>
      </c>
      <c r="AO358" s="17"/>
      <c r="AP358" s="1">
        <f t="shared" si="173"/>
        <v>45620</v>
      </c>
      <c r="AQ358" s="119">
        <v>792.04600000000005</v>
      </c>
      <c r="AR358" s="119">
        <v>189.06175279999999</v>
      </c>
      <c r="AS358" s="44"/>
      <c r="AT358" s="119">
        <v>56.160156989247312</v>
      </c>
      <c r="AU358" s="44">
        <f t="shared" si="163"/>
        <v>1037.2679097892474</v>
      </c>
      <c r="AV358" s="17">
        <f t="shared" si="168"/>
        <v>0</v>
      </c>
      <c r="AW358" s="17"/>
      <c r="AX358" s="1">
        <f t="shared" si="174"/>
        <v>45986</v>
      </c>
      <c r="AY358" s="119"/>
      <c r="AZ358" s="119"/>
      <c r="BA358" s="44"/>
      <c r="BB358" s="119"/>
      <c r="BC358" s="44">
        <f t="shared" si="164"/>
        <v>0</v>
      </c>
      <c r="BD358" s="17">
        <f t="shared" si="169"/>
        <v>0</v>
      </c>
    </row>
    <row r="359" spans="1:56" x14ac:dyDescent="0.3">
      <c r="A359" s="17"/>
      <c r="B359" s="1">
        <v>43795</v>
      </c>
      <c r="C359" s="4">
        <v>779</v>
      </c>
      <c r="D359" s="4">
        <v>171</v>
      </c>
      <c r="E359" s="4"/>
      <c r="F359" s="4">
        <v>55</v>
      </c>
      <c r="G359" s="7">
        <f t="shared" si="158"/>
        <v>1005</v>
      </c>
      <c r="H359" s="17">
        <f t="shared" si="157"/>
        <v>0</v>
      </c>
      <c r="J359" s="1">
        <v>44160</v>
      </c>
      <c r="K359" s="101">
        <v>750.54</v>
      </c>
      <c r="L359" s="101">
        <v>150.56899999999999</v>
      </c>
      <c r="M359" s="101"/>
      <c r="N359" s="101">
        <v>57.292999999999999</v>
      </c>
      <c r="O359" s="7">
        <f t="shared" si="159"/>
        <v>958.40199999999993</v>
      </c>
      <c r="P359" s="17">
        <f t="shared" si="156"/>
        <v>0</v>
      </c>
      <c r="R359" s="1">
        <f t="shared" si="170"/>
        <v>44526</v>
      </c>
      <c r="S359" s="43">
        <v>931.18455290322584</v>
      </c>
      <c r="T359" s="44">
        <v>183.09801967741936</v>
      </c>
      <c r="U359" s="4"/>
      <c r="V359" s="44">
        <v>70.376686451612898</v>
      </c>
      <c r="W359" s="7">
        <f t="shared" si="160"/>
        <v>1184.659259032258</v>
      </c>
      <c r="X359" s="17">
        <f t="shared" si="165"/>
        <v>0</v>
      </c>
      <c r="Y359" s="17"/>
      <c r="Z359" s="1">
        <f t="shared" si="171"/>
        <v>44891</v>
      </c>
      <c r="AA359" s="116">
        <v>822.97680634408607</v>
      </c>
      <c r="AB359" s="116">
        <v>158.60201172043011</v>
      </c>
      <c r="AC359" s="101"/>
      <c r="AD359" s="116">
        <v>68.118658064516126</v>
      </c>
      <c r="AE359" s="101">
        <f t="shared" si="161"/>
        <v>1049.6974761290323</v>
      </c>
      <c r="AF359" s="17">
        <f t="shared" si="166"/>
        <v>0</v>
      </c>
      <c r="AH359" s="1">
        <f t="shared" si="172"/>
        <v>45256</v>
      </c>
      <c r="AI359" s="120">
        <v>829.45119731182797</v>
      </c>
      <c r="AJ359" s="120">
        <v>192.96260344086022</v>
      </c>
      <c r="AK359" s="44"/>
      <c r="AL359" s="120">
        <v>59.030603870967745</v>
      </c>
      <c r="AM359" s="44">
        <f t="shared" si="162"/>
        <v>1081.4444046236558</v>
      </c>
      <c r="AN359" s="17">
        <f t="shared" si="167"/>
        <v>0</v>
      </c>
      <c r="AO359" s="17"/>
      <c r="AP359" s="1">
        <f t="shared" si="173"/>
        <v>45621</v>
      </c>
      <c r="AQ359" s="120">
        <v>740.04</v>
      </c>
      <c r="AR359" s="120">
        <v>172.75898480000001</v>
      </c>
      <c r="AS359" s="44"/>
      <c r="AT359" s="120">
        <v>59.164538494623656</v>
      </c>
      <c r="AU359" s="44">
        <f t="shared" si="163"/>
        <v>971.96352329462366</v>
      </c>
      <c r="AV359" s="17">
        <f t="shared" si="168"/>
        <v>0</v>
      </c>
      <c r="AW359" s="17"/>
      <c r="AX359" s="1">
        <f t="shared" si="174"/>
        <v>45987</v>
      </c>
      <c r="AY359" s="120"/>
      <c r="AZ359" s="120"/>
      <c r="BA359" s="44"/>
      <c r="BB359" s="120"/>
      <c r="BC359" s="44">
        <f t="shared" si="164"/>
        <v>0</v>
      </c>
      <c r="BD359" s="17">
        <f t="shared" si="169"/>
        <v>0</v>
      </c>
    </row>
    <row r="360" spans="1:56" x14ac:dyDescent="0.3">
      <c r="A360" s="17"/>
      <c r="B360" s="1">
        <v>43796</v>
      </c>
      <c r="C360" s="4">
        <v>843</v>
      </c>
      <c r="D360" s="4">
        <v>178</v>
      </c>
      <c r="E360" s="4"/>
      <c r="F360" s="4">
        <v>56</v>
      </c>
      <c r="G360" s="7">
        <f t="shared" si="158"/>
        <v>1077</v>
      </c>
      <c r="H360" s="17">
        <f t="shared" si="157"/>
        <v>0</v>
      </c>
      <c r="J360" s="1">
        <v>44161</v>
      </c>
      <c r="K360" s="101">
        <v>791.29</v>
      </c>
      <c r="L360" s="101">
        <v>150.34899999999999</v>
      </c>
      <c r="M360" s="101"/>
      <c r="N360" s="101">
        <v>59.655000000000001</v>
      </c>
      <c r="O360" s="7">
        <f t="shared" si="159"/>
        <v>1001.2939999999999</v>
      </c>
      <c r="P360" s="17">
        <f t="shared" si="156"/>
        <v>0</v>
      </c>
      <c r="R360" s="1">
        <f t="shared" si="170"/>
        <v>44527</v>
      </c>
      <c r="S360" s="43">
        <v>792.54524903225808</v>
      </c>
      <c r="T360" s="44">
        <v>162.93675247311828</v>
      </c>
      <c r="U360" s="4"/>
      <c r="V360" s="44">
        <v>66.244350967741937</v>
      </c>
      <c r="W360" s="7">
        <f t="shared" si="160"/>
        <v>1021.7263524731184</v>
      </c>
      <c r="X360" s="17">
        <f t="shared" si="165"/>
        <v>0</v>
      </c>
      <c r="Y360" s="17"/>
      <c r="Z360" s="1">
        <f t="shared" si="171"/>
        <v>44892</v>
      </c>
      <c r="AA360" s="115">
        <v>665.30828215053759</v>
      </c>
      <c r="AB360" s="115">
        <v>123.68607741935485</v>
      </c>
      <c r="AC360" s="101"/>
      <c r="AD360" s="115">
        <v>56.585225806451611</v>
      </c>
      <c r="AE360" s="101">
        <f t="shared" si="161"/>
        <v>845.57958537634408</v>
      </c>
      <c r="AF360" s="17">
        <f t="shared" si="166"/>
        <v>0</v>
      </c>
      <c r="AH360" s="1">
        <f t="shared" si="172"/>
        <v>45257</v>
      </c>
      <c r="AI360" s="119">
        <v>845.9111241935484</v>
      </c>
      <c r="AJ360" s="119">
        <v>183.94237688172043</v>
      </c>
      <c r="AK360" s="44"/>
      <c r="AL360" s="119">
        <v>62.567144516129034</v>
      </c>
      <c r="AM360" s="44">
        <f t="shared" si="162"/>
        <v>1092.4206455913979</v>
      </c>
      <c r="AN360" s="17">
        <f t="shared" si="167"/>
        <v>0</v>
      </c>
      <c r="AO360" s="17"/>
      <c r="AP360" s="1">
        <f t="shared" si="173"/>
        <v>45622</v>
      </c>
      <c r="AQ360" s="119">
        <v>777.28599999999994</v>
      </c>
      <c r="AR360" s="119">
        <v>163.53369760000001</v>
      </c>
      <c r="AS360" s="44"/>
      <c r="AT360" s="119">
        <v>65.906790967741941</v>
      </c>
      <c r="AU360" s="44">
        <f t="shared" si="163"/>
        <v>1006.7264885677419</v>
      </c>
      <c r="AV360" s="17">
        <f t="shared" si="168"/>
        <v>0</v>
      </c>
      <c r="AW360" s="17"/>
      <c r="AX360" s="1">
        <f t="shared" si="174"/>
        <v>45988</v>
      </c>
      <c r="AY360" s="119"/>
      <c r="AZ360" s="119"/>
      <c r="BA360" s="44"/>
      <c r="BB360" s="119"/>
      <c r="BC360" s="44">
        <f t="shared" si="164"/>
        <v>0</v>
      </c>
      <c r="BD360" s="17">
        <f t="shared" si="169"/>
        <v>0</v>
      </c>
    </row>
    <row r="361" spans="1:56" x14ac:dyDescent="0.3">
      <c r="A361" s="17"/>
      <c r="B361" s="1">
        <v>43797</v>
      </c>
      <c r="C361" s="4">
        <v>820</v>
      </c>
      <c r="D361" s="4">
        <v>169</v>
      </c>
      <c r="E361" s="4"/>
      <c r="F361" s="4">
        <v>56</v>
      </c>
      <c r="G361" s="7">
        <f t="shared" si="158"/>
        <v>1045</v>
      </c>
      <c r="H361" s="17">
        <f t="shared" si="157"/>
        <v>0</v>
      </c>
      <c r="J361" s="1">
        <v>44162</v>
      </c>
      <c r="K361" s="101">
        <v>923.37</v>
      </c>
      <c r="L361" s="101">
        <v>177.203</v>
      </c>
      <c r="M361" s="101"/>
      <c r="N361" s="101">
        <v>61.76</v>
      </c>
      <c r="O361" s="7">
        <f t="shared" si="159"/>
        <v>1162.3330000000001</v>
      </c>
      <c r="P361" s="17">
        <f t="shared" si="156"/>
        <v>0</v>
      </c>
      <c r="R361" s="1">
        <f t="shared" si="170"/>
        <v>44528</v>
      </c>
      <c r="S361" s="43">
        <v>785.82895548387091</v>
      </c>
      <c r="T361" s="44">
        <v>161.9983259139785</v>
      </c>
      <c r="U361" s="4"/>
      <c r="V361" s="44">
        <v>59.669202580645162</v>
      </c>
      <c r="W361" s="7">
        <f t="shared" si="160"/>
        <v>1007.4964839784946</v>
      </c>
      <c r="X361" s="17">
        <f t="shared" si="165"/>
        <v>0</v>
      </c>
      <c r="Y361" s="17"/>
      <c r="Z361" s="1">
        <f t="shared" si="171"/>
        <v>44893</v>
      </c>
      <c r="AA361" s="116">
        <v>703.37671956989243</v>
      </c>
      <c r="AB361" s="116">
        <v>141.79505096774193</v>
      </c>
      <c r="AC361" s="101"/>
      <c r="AD361" s="116">
        <v>61.381445806451616</v>
      </c>
      <c r="AE361" s="101">
        <f t="shared" si="161"/>
        <v>906.55321634408597</v>
      </c>
      <c r="AF361" s="17">
        <f t="shared" si="166"/>
        <v>0</v>
      </c>
      <c r="AH361" s="1">
        <f t="shared" si="172"/>
        <v>45258</v>
      </c>
      <c r="AI361" s="120">
        <v>805.15520752688167</v>
      </c>
      <c r="AJ361" s="120">
        <v>191.03138000000001</v>
      </c>
      <c r="AK361" s="44"/>
      <c r="AL361" s="120">
        <v>60.34690451612903</v>
      </c>
      <c r="AM361" s="44">
        <f t="shared" si="162"/>
        <v>1056.5334920430107</v>
      </c>
      <c r="AN361" s="17">
        <f t="shared" si="167"/>
        <v>0</v>
      </c>
      <c r="AO361" s="17"/>
      <c r="AP361" s="1">
        <f t="shared" si="173"/>
        <v>45623</v>
      </c>
      <c r="AQ361" s="120">
        <v>780.66099999999994</v>
      </c>
      <c r="AR361" s="120">
        <v>154.61920079999999</v>
      </c>
      <c r="AS361" s="44"/>
      <c r="AT361" s="120">
        <v>67.522201290322585</v>
      </c>
      <c r="AU361" s="44">
        <f t="shared" si="163"/>
        <v>1002.8024020903224</v>
      </c>
      <c r="AV361" s="17">
        <f t="shared" si="168"/>
        <v>0</v>
      </c>
      <c r="AW361" s="17"/>
      <c r="AX361" s="1">
        <f t="shared" si="174"/>
        <v>45989</v>
      </c>
      <c r="AY361" s="120"/>
      <c r="AZ361" s="120"/>
      <c r="BA361" s="44"/>
      <c r="BB361" s="120"/>
      <c r="BC361" s="44">
        <f t="shared" si="164"/>
        <v>0</v>
      </c>
      <c r="BD361" s="17">
        <f t="shared" si="169"/>
        <v>0</v>
      </c>
    </row>
    <row r="362" spans="1:56" x14ac:dyDescent="0.3">
      <c r="A362" s="17"/>
      <c r="B362" s="1">
        <v>43798</v>
      </c>
      <c r="C362" s="4">
        <v>817</v>
      </c>
      <c r="D362" s="4">
        <v>181</v>
      </c>
      <c r="E362" s="4"/>
      <c r="F362" s="4">
        <v>55</v>
      </c>
      <c r="G362" s="7">
        <f t="shared" si="158"/>
        <v>1053</v>
      </c>
      <c r="H362" s="17">
        <f t="shared" si="157"/>
        <v>0</v>
      </c>
      <c r="J362" s="1">
        <v>44163</v>
      </c>
      <c r="K362" s="101">
        <v>875.97</v>
      </c>
      <c r="L362" s="101">
        <v>182.096</v>
      </c>
      <c r="M362" s="101"/>
      <c r="N362" s="101">
        <v>62.932000000000002</v>
      </c>
      <c r="O362" s="7">
        <f t="shared" si="159"/>
        <v>1120.998</v>
      </c>
      <c r="P362" s="17">
        <f t="shared" si="156"/>
        <v>0</v>
      </c>
      <c r="R362" s="1">
        <f t="shared" si="170"/>
        <v>44529</v>
      </c>
      <c r="S362" s="43">
        <v>924.3182090322581</v>
      </c>
      <c r="T362" s="44">
        <v>191.82960086021507</v>
      </c>
      <c r="U362" s="4"/>
      <c r="V362" s="44">
        <v>73.977414193548384</v>
      </c>
      <c r="W362" s="7">
        <f t="shared" si="160"/>
        <v>1190.1252240860215</v>
      </c>
      <c r="X362" s="17">
        <f t="shared" si="165"/>
        <v>0</v>
      </c>
      <c r="Y362" s="17"/>
      <c r="Z362" s="1">
        <f t="shared" si="171"/>
        <v>44894</v>
      </c>
      <c r="AA362" s="115">
        <v>878.58724709677415</v>
      </c>
      <c r="AB362" s="115">
        <v>191.02901548387098</v>
      </c>
      <c r="AC362" s="101"/>
      <c r="AD362" s="115">
        <v>65.480899354838712</v>
      </c>
      <c r="AE362" s="101">
        <f t="shared" si="161"/>
        <v>1135.0971619354839</v>
      </c>
      <c r="AF362" s="17">
        <f t="shared" si="166"/>
        <v>0</v>
      </c>
      <c r="AH362" s="1">
        <f t="shared" si="172"/>
        <v>45259</v>
      </c>
      <c r="AI362" s="119">
        <v>866.50137956989249</v>
      </c>
      <c r="AJ362" s="119">
        <v>212.17346397849462</v>
      </c>
      <c r="AK362" s="44"/>
      <c r="AL362" s="119">
        <v>73.290708387096771</v>
      </c>
      <c r="AM362" s="44">
        <f t="shared" si="162"/>
        <v>1151.965551935484</v>
      </c>
      <c r="AN362" s="17">
        <f t="shared" si="167"/>
        <v>0</v>
      </c>
      <c r="AO362" s="17"/>
      <c r="AP362" s="1">
        <f t="shared" si="173"/>
        <v>45624</v>
      </c>
      <c r="AQ362" s="119">
        <v>757.69600000000003</v>
      </c>
      <c r="AR362" s="119">
        <v>174.08768040000001</v>
      </c>
      <c r="AS362" s="44"/>
      <c r="AT362" s="119">
        <v>63.652150537634405</v>
      </c>
      <c r="AU362" s="44">
        <f t="shared" si="163"/>
        <v>995.43583093763448</v>
      </c>
      <c r="AV362" s="17">
        <f t="shared" si="168"/>
        <v>0</v>
      </c>
      <c r="AW362" s="17"/>
      <c r="AX362" s="1">
        <f t="shared" si="174"/>
        <v>45990</v>
      </c>
      <c r="AY362" s="119"/>
      <c r="AZ362" s="119"/>
      <c r="BA362" s="44"/>
      <c r="BB362" s="119"/>
      <c r="BC362" s="44">
        <f t="shared" si="164"/>
        <v>0</v>
      </c>
      <c r="BD362" s="17">
        <f t="shared" si="169"/>
        <v>0</v>
      </c>
    </row>
    <row r="363" spans="1:56" s="52" customFormat="1" x14ac:dyDescent="0.3">
      <c r="A363" s="53"/>
      <c r="B363" s="51">
        <v>43799</v>
      </c>
      <c r="C363" s="55">
        <v>721</v>
      </c>
      <c r="D363" s="55">
        <v>163</v>
      </c>
      <c r="E363" s="55"/>
      <c r="F363" s="55">
        <v>55</v>
      </c>
      <c r="G363" s="54">
        <f t="shared" si="158"/>
        <v>939</v>
      </c>
      <c r="H363" s="53">
        <f t="shared" si="157"/>
        <v>0</v>
      </c>
      <c r="J363" s="51">
        <v>44164</v>
      </c>
      <c r="K363" s="102">
        <v>771.12</v>
      </c>
      <c r="L363" s="102">
        <v>152.87799999999999</v>
      </c>
      <c r="M363" s="102"/>
      <c r="N363" s="102">
        <v>55.597000000000001</v>
      </c>
      <c r="O363" s="7">
        <f t="shared" si="159"/>
        <v>979.59500000000003</v>
      </c>
      <c r="P363" s="17">
        <f t="shared" si="156"/>
        <v>0</v>
      </c>
      <c r="R363" s="38">
        <f t="shared" si="170"/>
        <v>44530</v>
      </c>
      <c r="S363" s="63">
        <v>745.41814258064517</v>
      </c>
      <c r="T363" s="86">
        <v>155.46120333333334</v>
      </c>
      <c r="U363" s="55"/>
      <c r="V363" s="86">
        <v>59.136518709677418</v>
      </c>
      <c r="W363" s="7">
        <f t="shared" si="160"/>
        <v>960.01586462365594</v>
      </c>
      <c r="X363" s="17">
        <f t="shared" si="165"/>
        <v>0</v>
      </c>
      <c r="Y363" s="17"/>
      <c r="Z363" s="38">
        <f t="shared" si="171"/>
        <v>44895</v>
      </c>
      <c r="AA363" s="116">
        <v>764.33366634408605</v>
      </c>
      <c r="AB363" s="116">
        <v>176.03685709677418</v>
      </c>
      <c r="AC363" s="101"/>
      <c r="AD363" s="116">
        <v>69.187610322580639</v>
      </c>
      <c r="AE363" s="101">
        <f t="shared" si="161"/>
        <v>1009.5581337634409</v>
      </c>
      <c r="AF363" s="17">
        <f t="shared" si="166"/>
        <v>0</v>
      </c>
      <c r="AH363" s="38">
        <f t="shared" si="172"/>
        <v>45260</v>
      </c>
      <c r="AI363" s="120">
        <v>935.7746720430107</v>
      </c>
      <c r="AJ363" s="120">
        <v>220.90083268817204</v>
      </c>
      <c r="AK363" s="44"/>
      <c r="AL363" s="120">
        <v>73.55331741935484</v>
      </c>
      <c r="AM363" s="44">
        <f t="shared" si="162"/>
        <v>1230.2288221505376</v>
      </c>
      <c r="AN363" s="17">
        <f t="shared" si="167"/>
        <v>0</v>
      </c>
      <c r="AO363" s="17"/>
      <c r="AP363" s="1">
        <f t="shared" si="173"/>
        <v>45625</v>
      </c>
      <c r="AQ363" s="120">
        <v>744.42499999999995</v>
      </c>
      <c r="AR363" s="120">
        <v>185.05651399999999</v>
      </c>
      <c r="AS363" s="44"/>
      <c r="AT363" s="120">
        <v>64.741008602150544</v>
      </c>
      <c r="AU363" s="44">
        <f t="shared" si="163"/>
        <v>994.22252260215055</v>
      </c>
      <c r="AV363" s="17">
        <f t="shared" si="168"/>
        <v>0</v>
      </c>
      <c r="AW363" s="17"/>
      <c r="AX363" s="38">
        <f t="shared" si="174"/>
        <v>45991</v>
      </c>
      <c r="AY363" s="120"/>
      <c r="AZ363" s="120"/>
      <c r="BA363" s="44"/>
      <c r="BB363" s="120"/>
      <c r="BC363" s="44">
        <f t="shared" si="164"/>
        <v>0</v>
      </c>
      <c r="BD363" s="17">
        <f t="shared" si="169"/>
        <v>0</v>
      </c>
    </row>
    <row r="364" spans="1:56" x14ac:dyDescent="0.3">
      <c r="A364" s="17"/>
      <c r="B364" s="1">
        <v>43800</v>
      </c>
      <c r="C364" s="4">
        <v>719</v>
      </c>
      <c r="D364" s="4">
        <v>133</v>
      </c>
      <c r="F364" s="4">
        <v>49</v>
      </c>
      <c r="G364" s="7">
        <f t="shared" ref="G364:G394" si="175">SUM(C364:F364)</f>
        <v>901</v>
      </c>
      <c r="H364" s="17">
        <f t="shared" si="157"/>
        <v>0</v>
      </c>
      <c r="J364" s="1">
        <v>44165</v>
      </c>
      <c r="K364" s="101">
        <v>714.89</v>
      </c>
      <c r="L364" s="101">
        <v>193.65700000000001</v>
      </c>
      <c r="M364" s="101"/>
      <c r="N364" s="101">
        <v>55.372</v>
      </c>
      <c r="O364" s="7">
        <f t="shared" si="159"/>
        <v>963.91899999999998</v>
      </c>
      <c r="P364" s="17">
        <f t="shared" si="156"/>
        <v>0</v>
      </c>
      <c r="R364" s="1">
        <f t="shared" si="170"/>
        <v>44531</v>
      </c>
      <c r="S364" s="43">
        <v>739.80205419354843</v>
      </c>
      <c r="T364" s="44">
        <v>164.98794752688173</v>
      </c>
      <c r="V364" s="44">
        <v>57.329933763440863</v>
      </c>
      <c r="W364" s="7">
        <f t="shared" si="160"/>
        <v>962.11993548387102</v>
      </c>
      <c r="X364" s="17">
        <f t="shared" si="165"/>
        <v>0</v>
      </c>
      <c r="Y364" s="17"/>
      <c r="Z364" s="1">
        <f t="shared" si="171"/>
        <v>44896</v>
      </c>
      <c r="AA364" s="115">
        <v>770.0211058064516</v>
      </c>
      <c r="AB364" s="115">
        <v>160.60652731182796</v>
      </c>
      <c r="AC364" s="101"/>
      <c r="AD364" s="115">
        <v>69.464924731182791</v>
      </c>
      <c r="AE364" s="101">
        <f t="shared" si="161"/>
        <v>1000.0925578494624</v>
      </c>
      <c r="AF364" s="17">
        <f t="shared" si="166"/>
        <v>0</v>
      </c>
      <c r="AH364" s="1">
        <f t="shared" si="172"/>
        <v>45261</v>
      </c>
      <c r="AI364" s="119">
        <v>958.99699999999996</v>
      </c>
      <c r="AJ364" s="119">
        <v>217.7984129032258</v>
      </c>
      <c r="AK364" s="44"/>
      <c r="AL364" s="119">
        <v>73.286084086021503</v>
      </c>
      <c r="AM364" s="44">
        <f t="shared" si="162"/>
        <v>1250.0814969892472</v>
      </c>
      <c r="AN364" s="17">
        <f t="shared" si="167"/>
        <v>0</v>
      </c>
      <c r="AO364" s="17"/>
      <c r="AP364" s="38">
        <f t="shared" si="173"/>
        <v>45626</v>
      </c>
      <c r="AQ364" s="119">
        <v>753.58600000000001</v>
      </c>
      <c r="AR364" s="119">
        <v>184.962481</v>
      </c>
      <c r="AS364" s="44"/>
      <c r="AT364" s="119">
        <v>64.706338494623651</v>
      </c>
      <c r="AU364" s="44">
        <f t="shared" si="163"/>
        <v>1003.2548194946237</v>
      </c>
      <c r="AV364" s="17">
        <f t="shared" si="168"/>
        <v>0</v>
      </c>
      <c r="AW364" s="17"/>
      <c r="AX364" s="1">
        <f t="shared" si="174"/>
        <v>45992</v>
      </c>
      <c r="AY364" s="119"/>
      <c r="AZ364" s="119"/>
      <c r="BA364" s="44"/>
      <c r="BB364" s="119"/>
      <c r="BC364" s="44">
        <f t="shared" si="164"/>
        <v>0</v>
      </c>
      <c r="BD364" s="17">
        <f t="shared" si="169"/>
        <v>0</v>
      </c>
    </row>
    <row r="365" spans="1:56" s="28" customFormat="1" ht="14.5" x14ac:dyDescent="0.3">
      <c r="A365" s="39"/>
      <c r="B365" s="38">
        <v>43801</v>
      </c>
      <c r="C365" s="41">
        <v>649</v>
      </c>
      <c r="D365" s="41">
        <v>141</v>
      </c>
      <c r="F365" s="41">
        <v>45</v>
      </c>
      <c r="G365" s="40">
        <f t="shared" si="175"/>
        <v>835</v>
      </c>
      <c r="H365" s="39">
        <f t="shared" si="157"/>
        <v>0</v>
      </c>
      <c r="J365" s="38">
        <v>44166</v>
      </c>
      <c r="K365" s="107">
        <v>840.41</v>
      </c>
      <c r="L365" s="107">
        <v>163.767</v>
      </c>
      <c r="M365" s="105"/>
      <c r="N365" s="105">
        <v>58.914999999999999</v>
      </c>
      <c r="O365" s="7">
        <f t="shared" si="159"/>
        <v>1063.0919999999999</v>
      </c>
      <c r="P365" s="17">
        <f t="shared" si="156"/>
        <v>0</v>
      </c>
      <c r="R365" s="1">
        <f t="shared" si="170"/>
        <v>44532</v>
      </c>
      <c r="S365" s="43">
        <v>817.41081806451609</v>
      </c>
      <c r="T365" s="44">
        <v>171.55253440860216</v>
      </c>
      <c r="V365" s="87">
        <v>60.40393634408602</v>
      </c>
      <c r="W365" s="7">
        <f t="shared" si="160"/>
        <v>1049.3672888172043</v>
      </c>
      <c r="X365" s="17">
        <f t="shared" si="165"/>
        <v>0</v>
      </c>
      <c r="Y365" s="17"/>
      <c r="Z365" s="1">
        <f t="shared" si="171"/>
        <v>44897</v>
      </c>
      <c r="AA365" s="116">
        <v>782.23764655913976</v>
      </c>
      <c r="AB365" s="116">
        <v>151.91751440860216</v>
      </c>
      <c r="AC365" s="101"/>
      <c r="AD365" s="116">
        <v>61.233204301075268</v>
      </c>
      <c r="AE365" s="101">
        <f t="shared" si="161"/>
        <v>995.38836526881721</v>
      </c>
      <c r="AF365" s="17">
        <f t="shared" si="166"/>
        <v>0</v>
      </c>
      <c r="AH365" s="1">
        <f t="shared" si="172"/>
        <v>45262</v>
      </c>
      <c r="AI365" s="120">
        <v>928.71600000000001</v>
      </c>
      <c r="AJ365" s="120">
        <v>223.14492903225806</v>
      </c>
      <c r="AK365" s="44"/>
      <c r="AL365" s="120">
        <v>72.66520774193549</v>
      </c>
      <c r="AM365" s="44">
        <f t="shared" si="162"/>
        <v>1224.5261367741937</v>
      </c>
      <c r="AN365" s="17">
        <f t="shared" si="167"/>
        <v>0</v>
      </c>
      <c r="AO365" s="17"/>
      <c r="AP365" s="1">
        <f t="shared" si="173"/>
        <v>45627</v>
      </c>
      <c r="AQ365" s="120">
        <v>869.65099999999995</v>
      </c>
      <c r="AR365" s="120">
        <v>212.78452139999999</v>
      </c>
      <c r="AS365" s="44"/>
      <c r="AT365" s="120">
        <v>62.008306236559143</v>
      </c>
      <c r="AU365" s="44">
        <f t="shared" si="163"/>
        <v>1144.443827636559</v>
      </c>
      <c r="AV365" s="17">
        <f t="shared" si="168"/>
        <v>0</v>
      </c>
      <c r="AW365" s="17"/>
      <c r="AX365" s="1">
        <f t="shared" si="174"/>
        <v>45993</v>
      </c>
      <c r="AY365" s="120"/>
      <c r="AZ365" s="120"/>
      <c r="BA365" s="44"/>
      <c r="BB365" s="120"/>
      <c r="BC365" s="44">
        <f t="shared" si="164"/>
        <v>0</v>
      </c>
      <c r="BD365" s="17">
        <f t="shared" si="169"/>
        <v>0</v>
      </c>
    </row>
    <row r="366" spans="1:56" ht="14.5" x14ac:dyDescent="0.3">
      <c r="A366" s="17"/>
      <c r="B366" s="1">
        <v>43802</v>
      </c>
      <c r="C366" s="4">
        <v>666</v>
      </c>
      <c r="D366" s="4">
        <v>143</v>
      </c>
      <c r="F366" s="4">
        <v>49</v>
      </c>
      <c r="G366" s="7">
        <f t="shared" si="175"/>
        <v>858</v>
      </c>
      <c r="H366" s="17">
        <f t="shared" si="157"/>
        <v>0</v>
      </c>
      <c r="J366" s="1">
        <v>44167</v>
      </c>
      <c r="K366" s="107">
        <v>852.26</v>
      </c>
      <c r="L366" s="107">
        <v>178.45</v>
      </c>
      <c r="M366" s="101"/>
      <c r="N366" s="101">
        <v>62.668999999999997</v>
      </c>
      <c r="O366" s="7">
        <f t="shared" si="159"/>
        <v>1093.3790000000001</v>
      </c>
      <c r="P366" s="17">
        <f t="shared" si="156"/>
        <v>0</v>
      </c>
      <c r="R366" s="1">
        <f t="shared" si="170"/>
        <v>44533</v>
      </c>
      <c r="S366" s="43">
        <v>795.18765677419356</v>
      </c>
      <c r="T366" s="44">
        <v>166.34810258064516</v>
      </c>
      <c r="V366" s="44">
        <v>61.686914408602149</v>
      </c>
      <c r="W366" s="7">
        <f t="shared" si="160"/>
        <v>1023.222673763441</v>
      </c>
      <c r="X366" s="17">
        <f t="shared" si="165"/>
        <v>0</v>
      </c>
      <c r="Y366" s="17"/>
      <c r="Z366" s="1">
        <f t="shared" si="171"/>
        <v>44898</v>
      </c>
      <c r="AA366" s="115">
        <v>804.49716376344088</v>
      </c>
      <c r="AB366" s="115">
        <v>173.23169376344086</v>
      </c>
      <c r="AC366" s="101"/>
      <c r="AD366" s="115">
        <v>68.243931182795706</v>
      </c>
      <c r="AE366" s="101">
        <f t="shared" si="161"/>
        <v>1045.9727887096774</v>
      </c>
      <c r="AF366" s="17">
        <f t="shared" si="166"/>
        <v>0</v>
      </c>
      <c r="AH366" s="1">
        <f t="shared" si="172"/>
        <v>45263</v>
      </c>
      <c r="AI366" s="119">
        <v>911.24300000000005</v>
      </c>
      <c r="AJ366" s="119">
        <v>204.75576774193547</v>
      </c>
      <c r="AK366" s="44"/>
      <c r="AL366" s="119">
        <v>66.86568279569893</v>
      </c>
      <c r="AM366" s="44">
        <f t="shared" si="162"/>
        <v>1182.8644505376344</v>
      </c>
      <c r="AN366" s="17">
        <f t="shared" si="167"/>
        <v>0</v>
      </c>
      <c r="AO366" s="17"/>
      <c r="AP366" s="1">
        <f t="shared" si="173"/>
        <v>45628</v>
      </c>
      <c r="AQ366" s="119">
        <v>838.09900000000005</v>
      </c>
      <c r="AR366" s="119">
        <v>228.38320999999999</v>
      </c>
      <c r="AS366" s="44"/>
      <c r="AT366" s="119">
        <v>71.233059784946235</v>
      </c>
      <c r="AU366" s="44">
        <f t="shared" si="163"/>
        <v>1137.7152697849463</v>
      </c>
      <c r="AV366" s="17">
        <f t="shared" si="168"/>
        <v>0</v>
      </c>
      <c r="AW366" s="17"/>
      <c r="AX366" s="1">
        <f t="shared" si="174"/>
        <v>45994</v>
      </c>
      <c r="AY366" s="119"/>
      <c r="AZ366" s="119"/>
      <c r="BA366" s="44"/>
      <c r="BB366" s="119"/>
      <c r="BC366" s="44">
        <f t="shared" si="164"/>
        <v>0</v>
      </c>
      <c r="BD366" s="17">
        <f t="shared" si="169"/>
        <v>0</v>
      </c>
    </row>
    <row r="367" spans="1:56" ht="14.5" x14ac:dyDescent="0.3">
      <c r="A367" s="17"/>
      <c r="B367" s="1">
        <v>43803</v>
      </c>
      <c r="C367" s="4">
        <v>715</v>
      </c>
      <c r="D367" s="4">
        <v>142</v>
      </c>
      <c r="F367" s="4">
        <v>53</v>
      </c>
      <c r="G367" s="7">
        <f t="shared" si="175"/>
        <v>910</v>
      </c>
      <c r="H367" s="17">
        <f t="shared" si="157"/>
        <v>0</v>
      </c>
      <c r="J367" s="1">
        <v>44168</v>
      </c>
      <c r="K367" s="107">
        <v>849.03</v>
      </c>
      <c r="L367" s="107">
        <v>175.11500000000001</v>
      </c>
      <c r="M367" s="101"/>
      <c r="N367" s="101">
        <v>64.307000000000002</v>
      </c>
      <c r="O367" s="7">
        <f t="shared" si="159"/>
        <v>1088.452</v>
      </c>
      <c r="P367" s="17">
        <f t="shared" si="156"/>
        <v>0</v>
      </c>
      <c r="R367" s="1">
        <f t="shared" si="170"/>
        <v>44534</v>
      </c>
      <c r="S367" s="43">
        <v>707.34330322580649</v>
      </c>
      <c r="T367" s="44">
        <v>150.97928279569894</v>
      </c>
      <c r="V367" s="44">
        <v>58.304225376344085</v>
      </c>
      <c r="W367" s="7">
        <f t="shared" si="160"/>
        <v>916.62681139784956</v>
      </c>
      <c r="X367" s="17">
        <f t="shared" si="165"/>
        <v>0</v>
      </c>
      <c r="Y367" s="17"/>
      <c r="Z367" s="1">
        <f t="shared" si="171"/>
        <v>44899</v>
      </c>
      <c r="AA367" s="116">
        <v>845.16829086021505</v>
      </c>
      <c r="AB367" s="116">
        <v>169.70082279569891</v>
      </c>
      <c r="AC367" s="101"/>
      <c r="AD367" s="116">
        <v>60.129883870967745</v>
      </c>
      <c r="AE367" s="101">
        <f t="shared" si="161"/>
        <v>1074.9989975268816</v>
      </c>
      <c r="AF367" s="17">
        <f t="shared" si="166"/>
        <v>0</v>
      </c>
      <c r="AH367" s="1">
        <f t="shared" si="172"/>
        <v>45264</v>
      </c>
      <c r="AI367" s="120">
        <v>803.37599999999998</v>
      </c>
      <c r="AJ367" s="120">
        <v>168.88263225806452</v>
      </c>
      <c r="AK367" s="44"/>
      <c r="AL367" s="120">
        <v>65.838807311827964</v>
      </c>
      <c r="AM367" s="44">
        <f t="shared" si="162"/>
        <v>1038.0974395698925</v>
      </c>
      <c r="AN367" s="17">
        <f t="shared" si="167"/>
        <v>0</v>
      </c>
      <c r="AO367" s="17"/>
      <c r="AP367" s="1">
        <f t="shared" si="173"/>
        <v>45629</v>
      </c>
      <c r="AQ367" s="120">
        <v>792.00699999999995</v>
      </c>
      <c r="AR367" s="120">
        <v>211.4083928</v>
      </c>
      <c r="AS367" s="44"/>
      <c r="AT367" s="120">
        <v>69.821729032258062</v>
      </c>
      <c r="AU367" s="44">
        <f t="shared" si="163"/>
        <v>1073.237121832258</v>
      </c>
      <c r="AV367" s="17">
        <f t="shared" si="168"/>
        <v>0</v>
      </c>
      <c r="AW367" s="17"/>
      <c r="AX367" s="1">
        <f t="shared" si="174"/>
        <v>45995</v>
      </c>
      <c r="AY367" s="120"/>
      <c r="AZ367" s="120"/>
      <c r="BA367" s="44"/>
      <c r="BB367" s="120"/>
      <c r="BC367" s="44">
        <f t="shared" si="164"/>
        <v>0</v>
      </c>
      <c r="BD367" s="17">
        <f t="shared" si="169"/>
        <v>0</v>
      </c>
    </row>
    <row r="368" spans="1:56" ht="14.5" x14ac:dyDescent="0.3">
      <c r="A368" s="17"/>
      <c r="B368" s="1">
        <v>43804</v>
      </c>
      <c r="C368" s="4">
        <v>815</v>
      </c>
      <c r="D368" s="4">
        <v>149</v>
      </c>
      <c r="F368" s="4">
        <v>60</v>
      </c>
      <c r="G368" s="7">
        <f t="shared" si="175"/>
        <v>1024</v>
      </c>
      <c r="H368" s="17">
        <f t="shared" si="157"/>
        <v>0</v>
      </c>
      <c r="J368" s="1">
        <v>44169</v>
      </c>
      <c r="K368" s="107">
        <v>662.96</v>
      </c>
      <c r="L368" s="108">
        <v>138.43799999999999</v>
      </c>
      <c r="M368" s="101"/>
      <c r="N368" s="101">
        <v>55.52</v>
      </c>
      <c r="O368" s="7">
        <f t="shared" si="159"/>
        <v>856.91800000000001</v>
      </c>
      <c r="P368" s="17">
        <f t="shared" ref="P368:P395" si="176">IF(O368&gt;1476,1,0)</f>
        <v>0</v>
      </c>
      <c r="R368" s="1">
        <f t="shared" si="170"/>
        <v>44535</v>
      </c>
      <c r="S368" s="43">
        <v>694.10771612903227</v>
      </c>
      <c r="T368" s="44">
        <v>147.5338329032258</v>
      </c>
      <c r="V368" s="44">
        <v>54.953691182795701</v>
      </c>
      <c r="W368" s="7">
        <f t="shared" si="160"/>
        <v>896.59524021505388</v>
      </c>
      <c r="X368" s="17">
        <f t="shared" si="165"/>
        <v>0</v>
      </c>
      <c r="Y368" s="17"/>
      <c r="Z368" s="1">
        <f t="shared" si="171"/>
        <v>44900</v>
      </c>
      <c r="AA368" s="115">
        <v>929.74623860215058</v>
      </c>
      <c r="AB368" s="115">
        <v>203.59513720430107</v>
      </c>
      <c r="AC368" s="101"/>
      <c r="AD368" s="115">
        <v>58.147793548387099</v>
      </c>
      <c r="AE368" s="101">
        <f t="shared" si="161"/>
        <v>1191.4891693548389</v>
      </c>
      <c r="AF368" s="17">
        <f t="shared" si="166"/>
        <v>0</v>
      </c>
      <c r="AH368" s="1">
        <f t="shared" si="172"/>
        <v>45265</v>
      </c>
      <c r="AI368" s="119">
        <v>890.32799999999997</v>
      </c>
      <c r="AJ368" s="119">
        <v>177.8346064516129</v>
      </c>
      <c r="AK368" s="44"/>
      <c r="AL368" s="119">
        <v>73.431855053763442</v>
      </c>
      <c r="AM368" s="44">
        <f t="shared" si="162"/>
        <v>1141.5944615053763</v>
      </c>
      <c r="AN368" s="17">
        <f t="shared" si="167"/>
        <v>0</v>
      </c>
      <c r="AO368" s="17"/>
      <c r="AP368" s="1">
        <f t="shared" si="173"/>
        <v>45630</v>
      </c>
      <c r="AQ368" s="119">
        <v>886.95100000000002</v>
      </c>
      <c r="AR368" s="119">
        <v>203.85038080000001</v>
      </c>
      <c r="AS368" s="44"/>
      <c r="AT368" s="119">
        <v>73.905672258064513</v>
      </c>
      <c r="AU368" s="44">
        <f t="shared" si="163"/>
        <v>1164.7070530580645</v>
      </c>
      <c r="AV368" s="17">
        <f t="shared" si="168"/>
        <v>0</v>
      </c>
      <c r="AW368" s="17"/>
      <c r="AX368" s="1">
        <f t="shared" si="174"/>
        <v>45996</v>
      </c>
      <c r="AY368" s="119"/>
      <c r="AZ368" s="119"/>
      <c r="BA368" s="44"/>
      <c r="BB368" s="119"/>
      <c r="BC368" s="44">
        <f t="shared" si="164"/>
        <v>0</v>
      </c>
      <c r="BD368" s="17">
        <f t="shared" si="169"/>
        <v>0</v>
      </c>
    </row>
    <row r="369" spans="1:56" ht="14.5" x14ac:dyDescent="0.3">
      <c r="A369" s="17"/>
      <c r="B369" s="1">
        <v>43805</v>
      </c>
      <c r="C369" s="4">
        <v>686</v>
      </c>
      <c r="D369" s="4">
        <v>144</v>
      </c>
      <c r="F369" s="4">
        <v>56</v>
      </c>
      <c r="G369" s="7">
        <f t="shared" si="175"/>
        <v>886</v>
      </c>
      <c r="H369" s="17">
        <f t="shared" si="157"/>
        <v>0</v>
      </c>
      <c r="J369" s="1">
        <v>44170</v>
      </c>
      <c r="K369" s="107">
        <v>641.61</v>
      </c>
      <c r="L369" s="108">
        <v>108.889</v>
      </c>
      <c r="M369" s="101"/>
      <c r="N369" s="101">
        <v>54.115000000000002</v>
      </c>
      <c r="O369" s="7">
        <f t="shared" si="159"/>
        <v>804.61400000000003</v>
      </c>
      <c r="P369" s="17">
        <f t="shared" si="176"/>
        <v>0</v>
      </c>
      <c r="R369" s="1">
        <f t="shared" si="170"/>
        <v>44536</v>
      </c>
      <c r="S369" s="43">
        <v>785.07210838709682</v>
      </c>
      <c r="T369" s="44">
        <v>155.66057806451613</v>
      </c>
      <c r="V369" s="44">
        <v>60.305328172043012</v>
      </c>
      <c r="W369" s="7">
        <f t="shared" si="160"/>
        <v>1001.038014623656</v>
      </c>
      <c r="X369" s="17">
        <f t="shared" si="165"/>
        <v>0</v>
      </c>
      <c r="Y369" s="17"/>
      <c r="Z369" s="1">
        <f t="shared" si="171"/>
        <v>44901</v>
      </c>
      <c r="AA369" s="116">
        <v>943.11427537634404</v>
      </c>
      <c r="AB369" s="116">
        <v>209.01220967741935</v>
      </c>
      <c r="AC369" s="101"/>
      <c r="AD369" s="116">
        <v>65.749045161290326</v>
      </c>
      <c r="AE369" s="101">
        <f t="shared" si="161"/>
        <v>1217.8755302150537</v>
      </c>
      <c r="AF369" s="17">
        <f t="shared" si="166"/>
        <v>0</v>
      </c>
      <c r="AH369" s="1">
        <f t="shared" si="172"/>
        <v>45266</v>
      </c>
      <c r="AI369" s="120">
        <v>887.23699999999997</v>
      </c>
      <c r="AJ369" s="120">
        <v>193.05153548387096</v>
      </c>
      <c r="AK369" s="44"/>
      <c r="AL369" s="120">
        <v>77.039416559139781</v>
      </c>
      <c r="AM369" s="44">
        <f t="shared" si="162"/>
        <v>1157.3279520430106</v>
      </c>
      <c r="AN369" s="17">
        <f t="shared" si="167"/>
        <v>0</v>
      </c>
      <c r="AO369" s="17"/>
      <c r="AP369" s="1">
        <f t="shared" si="173"/>
        <v>45631</v>
      </c>
      <c r="AQ369" s="120">
        <v>952.21100000000001</v>
      </c>
      <c r="AR369" s="120">
        <v>207.926433</v>
      </c>
      <c r="AS369" s="44"/>
      <c r="AT369" s="120">
        <v>73.109759999999994</v>
      </c>
      <c r="AU369" s="44">
        <f t="shared" si="163"/>
        <v>1233.2471930000002</v>
      </c>
      <c r="AV369" s="17">
        <f t="shared" si="168"/>
        <v>0</v>
      </c>
      <c r="AW369" s="17"/>
      <c r="AX369" s="1">
        <f t="shared" si="174"/>
        <v>45997</v>
      </c>
      <c r="AY369" s="120"/>
      <c r="AZ369" s="120"/>
      <c r="BA369" s="44"/>
      <c r="BB369" s="120"/>
      <c r="BC369" s="44">
        <f t="shared" si="164"/>
        <v>0</v>
      </c>
      <c r="BD369" s="17">
        <f t="shared" si="169"/>
        <v>0</v>
      </c>
    </row>
    <row r="370" spans="1:56" ht="14.5" x14ac:dyDescent="0.3">
      <c r="A370" s="17"/>
      <c r="B370" s="1">
        <v>43806</v>
      </c>
      <c r="C370" s="4">
        <v>742</v>
      </c>
      <c r="D370" s="4">
        <v>141</v>
      </c>
      <c r="F370" s="4">
        <v>54</v>
      </c>
      <c r="G370" s="7">
        <f t="shared" si="175"/>
        <v>937</v>
      </c>
      <c r="H370" s="17">
        <f t="shared" si="157"/>
        <v>0</v>
      </c>
      <c r="J370" s="1">
        <v>44171</v>
      </c>
      <c r="K370" s="107">
        <v>498.82</v>
      </c>
      <c r="L370" s="108">
        <v>98.162000000000006</v>
      </c>
      <c r="M370" s="101"/>
      <c r="N370" s="101">
        <v>48.475000000000001</v>
      </c>
      <c r="O370" s="7">
        <f t="shared" si="159"/>
        <v>645.45699999999999</v>
      </c>
      <c r="P370" s="17">
        <f t="shared" si="176"/>
        <v>0</v>
      </c>
      <c r="R370" s="1">
        <f t="shared" si="170"/>
        <v>44537</v>
      </c>
      <c r="S370" s="43">
        <v>803.7571561290323</v>
      </c>
      <c r="T370" s="44">
        <v>179.90925247311827</v>
      </c>
      <c r="V370" s="44">
        <v>62.163877849462366</v>
      </c>
      <c r="W370" s="7">
        <f t="shared" si="160"/>
        <v>1045.8302864516129</v>
      </c>
      <c r="X370" s="17">
        <f t="shared" si="165"/>
        <v>0</v>
      </c>
      <c r="Y370" s="17"/>
      <c r="Z370" s="1">
        <f t="shared" si="171"/>
        <v>44902</v>
      </c>
      <c r="AA370" s="115">
        <v>880.94787107526884</v>
      </c>
      <c r="AB370" s="115">
        <v>185.35128043010752</v>
      </c>
      <c r="AC370" s="101"/>
      <c r="AD370" s="115">
        <v>64.411458064516125</v>
      </c>
      <c r="AE370" s="101">
        <f t="shared" si="161"/>
        <v>1130.7106095698925</v>
      </c>
      <c r="AF370" s="17">
        <f t="shared" si="166"/>
        <v>0</v>
      </c>
      <c r="AH370" s="1">
        <f t="shared" si="172"/>
        <v>45267</v>
      </c>
      <c r="AI370" s="119">
        <v>757.99</v>
      </c>
      <c r="AJ370" s="119">
        <v>167.01313548387097</v>
      </c>
      <c r="AK370" s="44"/>
      <c r="AL370" s="119">
        <v>66.613013118279568</v>
      </c>
      <c r="AM370" s="44">
        <f t="shared" si="162"/>
        <v>991.61614860215059</v>
      </c>
      <c r="AN370" s="17">
        <f t="shared" si="167"/>
        <v>0</v>
      </c>
      <c r="AO370" s="17"/>
      <c r="AP370" s="1">
        <f t="shared" si="173"/>
        <v>45632</v>
      </c>
      <c r="AQ370" s="119">
        <v>832.62099999999998</v>
      </c>
      <c r="AR370" s="119">
        <v>187.99837059999999</v>
      </c>
      <c r="AS370" s="44"/>
      <c r="AT370" s="119">
        <v>66.958836989247317</v>
      </c>
      <c r="AU370" s="44">
        <f t="shared" si="163"/>
        <v>1087.5782075892473</v>
      </c>
      <c r="AV370" s="17">
        <f t="shared" si="168"/>
        <v>0</v>
      </c>
      <c r="AW370" s="17"/>
      <c r="AX370" s="1">
        <f t="shared" si="174"/>
        <v>45998</v>
      </c>
      <c r="AY370" s="119"/>
      <c r="AZ370" s="119"/>
      <c r="BA370" s="44"/>
      <c r="BB370" s="119"/>
      <c r="BC370" s="44">
        <f t="shared" si="164"/>
        <v>0</v>
      </c>
      <c r="BD370" s="17">
        <f t="shared" si="169"/>
        <v>0</v>
      </c>
    </row>
    <row r="371" spans="1:56" ht="14.5" x14ac:dyDescent="0.3">
      <c r="A371" s="17"/>
      <c r="B371" s="1">
        <v>43807</v>
      </c>
      <c r="C371" s="4">
        <v>685</v>
      </c>
      <c r="D371" s="4">
        <v>125</v>
      </c>
      <c r="F371" s="4">
        <v>47</v>
      </c>
      <c r="G371" s="7">
        <f t="shared" si="175"/>
        <v>857</v>
      </c>
      <c r="H371" s="17">
        <f t="shared" si="157"/>
        <v>0</v>
      </c>
      <c r="J371" s="1">
        <v>44172</v>
      </c>
      <c r="K371" s="107">
        <v>553.96</v>
      </c>
      <c r="L371" s="107">
        <v>98.986000000000004</v>
      </c>
      <c r="M371" s="101"/>
      <c r="N371" s="101">
        <v>48.679000000000002</v>
      </c>
      <c r="O371" s="7">
        <f t="shared" si="159"/>
        <v>701.625</v>
      </c>
      <c r="P371" s="17">
        <f t="shared" si="176"/>
        <v>0</v>
      </c>
      <c r="R371" s="1">
        <f t="shared" si="170"/>
        <v>44538</v>
      </c>
      <c r="S371" s="43">
        <v>752.49849032258066</v>
      </c>
      <c r="T371" s="44">
        <v>143.48030150537633</v>
      </c>
      <c r="V371" s="44">
        <v>59.118814623655915</v>
      </c>
      <c r="W371" s="7">
        <f t="shared" si="160"/>
        <v>955.09760645161293</v>
      </c>
      <c r="X371" s="17">
        <f t="shared" si="165"/>
        <v>0</v>
      </c>
      <c r="Y371" s="17"/>
      <c r="Z371" s="1">
        <f t="shared" si="171"/>
        <v>44903</v>
      </c>
      <c r="AA371" s="116">
        <v>764.99704956989251</v>
      </c>
      <c r="AB371" s="116">
        <v>170.44793462365593</v>
      </c>
      <c r="AC371" s="101"/>
      <c r="AD371" s="116">
        <v>59.148554838709678</v>
      </c>
      <c r="AE371" s="101">
        <f t="shared" si="161"/>
        <v>994.59353903225804</v>
      </c>
      <c r="AF371" s="17">
        <f t="shared" si="166"/>
        <v>0</v>
      </c>
      <c r="AH371" s="1">
        <f t="shared" si="172"/>
        <v>45268</v>
      </c>
      <c r="AI371" s="120">
        <v>641.26800000000003</v>
      </c>
      <c r="AJ371" s="120">
        <v>125.82814193548387</v>
      </c>
      <c r="AK371" s="44"/>
      <c r="AL371" s="120">
        <v>53.59728537634409</v>
      </c>
      <c r="AM371" s="44">
        <f t="shared" si="162"/>
        <v>820.69342731182803</v>
      </c>
      <c r="AN371" s="17">
        <f t="shared" si="167"/>
        <v>0</v>
      </c>
      <c r="AO371" s="17"/>
      <c r="AP371" s="1">
        <f t="shared" si="173"/>
        <v>45633</v>
      </c>
      <c r="AQ371" s="120">
        <v>761.60900000000004</v>
      </c>
      <c r="AR371" s="120">
        <v>183.781576</v>
      </c>
      <c r="AS371" s="44"/>
      <c r="AT371" s="120">
        <v>63.135848602150539</v>
      </c>
      <c r="AU371" s="44">
        <f t="shared" si="163"/>
        <v>1008.5264246021505</v>
      </c>
      <c r="AV371" s="17">
        <f t="shared" si="168"/>
        <v>0</v>
      </c>
      <c r="AW371" s="17"/>
      <c r="AX371" s="1">
        <f t="shared" si="174"/>
        <v>45999</v>
      </c>
      <c r="AY371" s="120"/>
      <c r="AZ371" s="120"/>
      <c r="BA371" s="44"/>
      <c r="BB371" s="120"/>
      <c r="BC371" s="44">
        <f t="shared" si="164"/>
        <v>0</v>
      </c>
      <c r="BD371" s="17">
        <f t="shared" si="169"/>
        <v>0</v>
      </c>
    </row>
    <row r="372" spans="1:56" ht="14.5" x14ac:dyDescent="0.3">
      <c r="A372" s="17"/>
      <c r="B372" s="1">
        <v>43808</v>
      </c>
      <c r="C372" s="4">
        <v>709</v>
      </c>
      <c r="D372" s="4">
        <v>135</v>
      </c>
      <c r="F372" s="4">
        <v>51</v>
      </c>
      <c r="G372" s="7">
        <f t="shared" si="175"/>
        <v>895</v>
      </c>
      <c r="H372" s="17">
        <f t="shared" si="157"/>
        <v>0</v>
      </c>
      <c r="J372" s="1">
        <v>44173</v>
      </c>
      <c r="K372" s="107">
        <v>695.93</v>
      </c>
      <c r="L372" s="107">
        <v>106.526</v>
      </c>
      <c r="M372" s="101"/>
      <c r="N372" s="101">
        <v>50.085000000000001</v>
      </c>
      <c r="O372" s="7">
        <f t="shared" si="159"/>
        <v>852.54099999999994</v>
      </c>
      <c r="P372" s="17">
        <f t="shared" si="176"/>
        <v>0</v>
      </c>
      <c r="R372" s="1">
        <f t="shared" si="170"/>
        <v>44539</v>
      </c>
      <c r="S372" s="43">
        <v>621.59760258064512</v>
      </c>
      <c r="T372" s="44">
        <v>128.46783612903226</v>
      </c>
      <c r="V372" s="44">
        <v>52.956875698924733</v>
      </c>
      <c r="W372" s="7">
        <f t="shared" si="160"/>
        <v>803.02231440860214</v>
      </c>
      <c r="X372" s="17">
        <f t="shared" si="165"/>
        <v>0</v>
      </c>
      <c r="Y372" s="17"/>
      <c r="Z372" s="1">
        <f t="shared" si="171"/>
        <v>44904</v>
      </c>
      <c r="AA372" s="115">
        <v>773.36979182795699</v>
      </c>
      <c r="AB372" s="115">
        <v>167.94152795698923</v>
      </c>
      <c r="AC372" s="101"/>
      <c r="AD372" s="115">
        <v>62.840683870967744</v>
      </c>
      <c r="AE372" s="101">
        <f t="shared" si="161"/>
        <v>1004.152003655914</v>
      </c>
      <c r="AF372" s="17">
        <f t="shared" si="166"/>
        <v>0</v>
      </c>
      <c r="AH372" s="1">
        <f t="shared" si="172"/>
        <v>45269</v>
      </c>
      <c r="AI372" s="119">
        <v>664.35900000000004</v>
      </c>
      <c r="AJ372" s="119">
        <v>156.81245161290323</v>
      </c>
      <c r="AK372" s="44"/>
      <c r="AL372" s="119">
        <v>58.129142795698925</v>
      </c>
      <c r="AM372" s="44">
        <f t="shared" si="162"/>
        <v>879.30059440860225</v>
      </c>
      <c r="AN372" s="17">
        <f t="shared" si="167"/>
        <v>0</v>
      </c>
      <c r="AO372" s="17"/>
      <c r="AP372" s="1">
        <f t="shared" si="173"/>
        <v>45634</v>
      </c>
      <c r="AQ372" s="119">
        <v>775.82899999999995</v>
      </c>
      <c r="AR372" s="119">
        <v>182.86009060000001</v>
      </c>
      <c r="AS372" s="44"/>
      <c r="AT372" s="119">
        <v>53.855642150537633</v>
      </c>
      <c r="AU372" s="44">
        <f t="shared" si="163"/>
        <v>1012.5447327505376</v>
      </c>
      <c r="AV372" s="17">
        <f t="shared" si="168"/>
        <v>0</v>
      </c>
      <c r="AW372" s="17"/>
      <c r="AX372" s="1">
        <f t="shared" si="174"/>
        <v>46000</v>
      </c>
      <c r="AY372" s="119"/>
      <c r="AZ372" s="119"/>
      <c r="BA372" s="44"/>
      <c r="BB372" s="119"/>
      <c r="BC372" s="44">
        <f t="shared" si="164"/>
        <v>0</v>
      </c>
      <c r="BD372" s="17">
        <f t="shared" si="169"/>
        <v>0</v>
      </c>
    </row>
    <row r="373" spans="1:56" ht="14.5" x14ac:dyDescent="0.3">
      <c r="A373" s="17"/>
      <c r="B373" s="1">
        <v>43809</v>
      </c>
      <c r="C373" s="4">
        <v>738</v>
      </c>
      <c r="D373" s="4">
        <v>135</v>
      </c>
      <c r="F373" s="4">
        <v>55</v>
      </c>
      <c r="G373" s="7">
        <f t="shared" si="175"/>
        <v>928</v>
      </c>
      <c r="H373" s="17">
        <f t="shared" si="157"/>
        <v>0</v>
      </c>
      <c r="J373" s="1">
        <v>44174</v>
      </c>
      <c r="K373" s="107">
        <v>652.54</v>
      </c>
      <c r="L373" s="107">
        <v>131.36000000000001</v>
      </c>
      <c r="M373" s="101"/>
      <c r="N373" s="101">
        <v>50.542000000000002</v>
      </c>
      <c r="O373" s="7">
        <f t="shared" si="159"/>
        <v>834.44200000000001</v>
      </c>
      <c r="P373" s="17">
        <f t="shared" si="176"/>
        <v>0</v>
      </c>
      <c r="R373" s="1">
        <f t="shared" si="170"/>
        <v>44540</v>
      </c>
      <c r="S373" s="43">
        <v>662.51719483870966</v>
      </c>
      <c r="T373" s="44">
        <v>136.13670731182796</v>
      </c>
      <c r="V373" s="44">
        <v>50.286952258064517</v>
      </c>
      <c r="W373" s="7">
        <f t="shared" si="160"/>
        <v>848.94085440860215</v>
      </c>
      <c r="X373" s="17">
        <f t="shared" si="165"/>
        <v>0</v>
      </c>
      <c r="Y373" s="17"/>
      <c r="Z373" s="1">
        <f t="shared" si="171"/>
        <v>44905</v>
      </c>
      <c r="AA373" s="116">
        <v>709.46227623655909</v>
      </c>
      <c r="AB373" s="116">
        <v>150.28103247311827</v>
      </c>
      <c r="AC373" s="101"/>
      <c r="AD373" s="116">
        <v>61.597019354838707</v>
      </c>
      <c r="AE373" s="101">
        <f t="shared" si="161"/>
        <v>921.34032806451614</v>
      </c>
      <c r="AF373" s="17">
        <f t="shared" si="166"/>
        <v>0</v>
      </c>
      <c r="AH373" s="1">
        <f t="shared" si="172"/>
        <v>45270</v>
      </c>
      <c r="AI373" s="120">
        <v>681.88499999999999</v>
      </c>
      <c r="AJ373" s="120">
        <v>148.76362580645161</v>
      </c>
      <c r="AK373" s="44"/>
      <c r="AL373" s="120">
        <v>53.749535053763438</v>
      </c>
      <c r="AM373" s="44">
        <f t="shared" si="162"/>
        <v>884.39816086021506</v>
      </c>
      <c r="AN373" s="17">
        <f t="shared" si="167"/>
        <v>0</v>
      </c>
      <c r="AO373" s="17"/>
      <c r="AP373" s="1">
        <f t="shared" si="173"/>
        <v>45635</v>
      </c>
      <c r="AQ373" s="120">
        <v>806.87099999999998</v>
      </c>
      <c r="AR373" s="120">
        <v>189.3069969</v>
      </c>
      <c r="AS373" s="44"/>
      <c r="AT373" s="120">
        <v>64.173144086021509</v>
      </c>
      <c r="AU373" s="44">
        <f t="shared" si="163"/>
        <v>1060.3511409860214</v>
      </c>
      <c r="AV373" s="17">
        <f t="shared" si="168"/>
        <v>0</v>
      </c>
      <c r="AW373" s="17"/>
      <c r="AX373" s="1">
        <f t="shared" si="174"/>
        <v>46001</v>
      </c>
      <c r="AY373" s="120"/>
      <c r="AZ373" s="120"/>
      <c r="BA373" s="44"/>
      <c r="BB373" s="120"/>
      <c r="BC373" s="44">
        <f t="shared" si="164"/>
        <v>0</v>
      </c>
      <c r="BD373" s="17">
        <f t="shared" si="169"/>
        <v>0</v>
      </c>
    </row>
    <row r="374" spans="1:56" ht="14.5" x14ac:dyDescent="0.3">
      <c r="A374" s="17"/>
      <c r="B374" s="1">
        <v>43810</v>
      </c>
      <c r="C374" s="4">
        <v>704</v>
      </c>
      <c r="D374" s="4">
        <v>150</v>
      </c>
      <c r="F374" s="4">
        <v>54</v>
      </c>
      <c r="G374" s="7">
        <f t="shared" si="175"/>
        <v>908</v>
      </c>
      <c r="H374" s="17">
        <f t="shared" si="157"/>
        <v>0</v>
      </c>
      <c r="J374" s="1">
        <v>44175</v>
      </c>
      <c r="K374" s="107">
        <v>576.29</v>
      </c>
      <c r="L374" s="107">
        <v>125.214</v>
      </c>
      <c r="M374" s="101"/>
      <c r="N374" s="101">
        <v>47.904000000000003</v>
      </c>
      <c r="O374" s="7">
        <f t="shared" si="159"/>
        <v>749.4079999999999</v>
      </c>
      <c r="P374" s="17">
        <f t="shared" si="176"/>
        <v>0</v>
      </c>
      <c r="R374" s="1">
        <f t="shared" si="170"/>
        <v>44541</v>
      </c>
      <c r="S374" s="43">
        <v>609.60899612903222</v>
      </c>
      <c r="T374" s="44">
        <v>135.46336322580646</v>
      </c>
      <c r="V374" s="44">
        <v>47.588089462365595</v>
      </c>
      <c r="W374" s="7">
        <f t="shared" si="160"/>
        <v>792.66044881720427</v>
      </c>
      <c r="X374" s="17">
        <f t="shared" si="165"/>
        <v>0</v>
      </c>
      <c r="Y374" s="17"/>
      <c r="Z374" s="1">
        <f t="shared" si="171"/>
        <v>44906</v>
      </c>
      <c r="AA374" s="115">
        <v>698.1784369892473</v>
      </c>
      <c r="AB374" s="115">
        <v>149.20539612903227</v>
      </c>
      <c r="AC374" s="101"/>
      <c r="AD374" s="115">
        <v>55.128236559139786</v>
      </c>
      <c r="AE374" s="101">
        <f t="shared" si="161"/>
        <v>902.51206967741928</v>
      </c>
      <c r="AF374" s="17">
        <f t="shared" si="166"/>
        <v>0</v>
      </c>
      <c r="AH374" s="1">
        <f t="shared" si="172"/>
        <v>45271</v>
      </c>
      <c r="AI374" s="119">
        <v>889.19</v>
      </c>
      <c r="AJ374" s="119">
        <v>171.65119999999999</v>
      </c>
      <c r="AK374" s="44"/>
      <c r="AL374" s="119">
        <v>66.697236344086022</v>
      </c>
      <c r="AM374" s="44">
        <f t="shared" si="162"/>
        <v>1127.538436344086</v>
      </c>
      <c r="AN374" s="17">
        <f t="shared" si="167"/>
        <v>0</v>
      </c>
      <c r="AO374" s="17"/>
      <c r="AP374" s="1">
        <f t="shared" si="173"/>
        <v>45636</v>
      </c>
      <c r="AQ374" s="119">
        <v>747.91</v>
      </c>
      <c r="AR374" s="119">
        <v>198.10488720000001</v>
      </c>
      <c r="AS374" s="44"/>
      <c r="AT374" s="119">
        <v>65.738873118279571</v>
      </c>
      <c r="AU374" s="44">
        <f t="shared" si="163"/>
        <v>1011.7537603182795</v>
      </c>
      <c r="AV374" s="17">
        <f t="shared" si="168"/>
        <v>0</v>
      </c>
      <c r="AW374" s="17"/>
      <c r="AX374" s="1">
        <f t="shared" si="174"/>
        <v>46002</v>
      </c>
      <c r="AY374" s="119"/>
      <c r="AZ374" s="119"/>
      <c r="BA374" s="44"/>
      <c r="BB374" s="119"/>
      <c r="BC374" s="44">
        <f t="shared" si="164"/>
        <v>0</v>
      </c>
      <c r="BD374" s="17">
        <f t="shared" si="169"/>
        <v>0</v>
      </c>
    </row>
    <row r="375" spans="1:56" ht="14.5" x14ac:dyDescent="0.3">
      <c r="A375" s="17"/>
      <c r="B375" s="1">
        <v>43811</v>
      </c>
      <c r="C375" s="4">
        <v>709</v>
      </c>
      <c r="D375" s="4">
        <v>147</v>
      </c>
      <c r="F375" s="4">
        <v>53</v>
      </c>
      <c r="G375" s="7">
        <f t="shared" si="175"/>
        <v>909</v>
      </c>
      <c r="H375" s="17">
        <f t="shared" si="157"/>
        <v>0</v>
      </c>
      <c r="J375" s="1">
        <v>44176</v>
      </c>
      <c r="K375" s="107">
        <v>675.37</v>
      </c>
      <c r="L375" s="107">
        <v>129.38900000000001</v>
      </c>
      <c r="M375" s="101"/>
      <c r="N375" s="101">
        <v>53.445999999999998</v>
      </c>
      <c r="O375" s="7">
        <f t="shared" si="159"/>
        <v>858.20500000000004</v>
      </c>
      <c r="P375" s="17">
        <f t="shared" si="176"/>
        <v>0</v>
      </c>
      <c r="R375" s="1">
        <f t="shared" si="170"/>
        <v>44542</v>
      </c>
      <c r="S375" s="43">
        <v>646.27954064516132</v>
      </c>
      <c r="T375" s="44">
        <v>144.27899118279569</v>
      </c>
      <c r="V375" s="44">
        <v>52.693206021505375</v>
      </c>
      <c r="W375" s="7">
        <f t="shared" si="160"/>
        <v>843.25173784946242</v>
      </c>
      <c r="X375" s="17">
        <f t="shared" si="165"/>
        <v>0</v>
      </c>
      <c r="Y375" s="17"/>
      <c r="Z375" s="1">
        <f t="shared" si="171"/>
        <v>44907</v>
      </c>
      <c r="AA375" s="116">
        <v>847.13641430107532</v>
      </c>
      <c r="AB375" s="116">
        <v>163.32785655913978</v>
      </c>
      <c r="AC375" s="101"/>
      <c r="AD375" s="116">
        <v>58.595815053763438</v>
      </c>
      <c r="AE375" s="101">
        <f t="shared" si="161"/>
        <v>1069.0600859139786</v>
      </c>
      <c r="AF375" s="17">
        <f t="shared" si="166"/>
        <v>0</v>
      </c>
      <c r="AH375" s="1">
        <f t="shared" si="172"/>
        <v>45272</v>
      </c>
      <c r="AI375" s="120">
        <v>820.18100000000004</v>
      </c>
      <c r="AJ375" s="120">
        <v>192.65704516129031</v>
      </c>
      <c r="AK375" s="44"/>
      <c r="AL375" s="120">
        <v>69.480921935483877</v>
      </c>
      <c r="AM375" s="44">
        <f t="shared" si="162"/>
        <v>1082.3189670967743</v>
      </c>
      <c r="AN375" s="17">
        <f t="shared" si="167"/>
        <v>0</v>
      </c>
      <c r="AO375" s="17"/>
      <c r="AP375" s="1">
        <f t="shared" si="173"/>
        <v>45637</v>
      </c>
      <c r="AQ375" s="120">
        <v>753.65</v>
      </c>
      <c r="AR375" s="120">
        <v>176.110713</v>
      </c>
      <c r="AS375" s="44"/>
      <c r="AT375" s="120">
        <v>66.244473118279572</v>
      </c>
      <c r="AU375" s="44">
        <f t="shared" si="163"/>
        <v>996.00518611827954</v>
      </c>
      <c r="AV375" s="17">
        <f t="shared" si="168"/>
        <v>0</v>
      </c>
      <c r="AW375" s="17"/>
      <c r="AX375" s="1">
        <f t="shared" si="174"/>
        <v>46003</v>
      </c>
      <c r="AY375" s="120"/>
      <c r="AZ375" s="120"/>
      <c r="BA375" s="44"/>
      <c r="BB375" s="120"/>
      <c r="BC375" s="44">
        <f t="shared" si="164"/>
        <v>0</v>
      </c>
      <c r="BD375" s="17">
        <f t="shared" si="169"/>
        <v>0</v>
      </c>
    </row>
    <row r="376" spans="1:56" ht="14.5" x14ac:dyDescent="0.3">
      <c r="A376" s="17"/>
      <c r="B376" s="1">
        <v>43812</v>
      </c>
      <c r="C376" s="4">
        <v>732</v>
      </c>
      <c r="D376" s="4">
        <v>138</v>
      </c>
      <c r="F376" s="4">
        <v>53</v>
      </c>
      <c r="G376" s="7">
        <f t="shared" si="175"/>
        <v>923</v>
      </c>
      <c r="H376" s="17">
        <f t="shared" si="157"/>
        <v>0</v>
      </c>
      <c r="J376" s="1">
        <v>44177</v>
      </c>
      <c r="K376" s="107">
        <v>670.42</v>
      </c>
      <c r="L376" s="107">
        <v>156.84399999999999</v>
      </c>
      <c r="M376" s="101"/>
      <c r="N376" s="101">
        <v>55.731999999999999</v>
      </c>
      <c r="O376" s="7">
        <f t="shared" si="159"/>
        <v>882.99599999999987</v>
      </c>
      <c r="P376" s="17">
        <f t="shared" si="176"/>
        <v>0</v>
      </c>
      <c r="R376" s="1">
        <f t="shared" si="170"/>
        <v>44543</v>
      </c>
      <c r="S376" s="43">
        <v>849.59740645161287</v>
      </c>
      <c r="T376" s="44">
        <v>175.08914473118278</v>
      </c>
      <c r="V376" s="44">
        <v>64.804861935483871</v>
      </c>
      <c r="W376" s="7">
        <f t="shared" si="160"/>
        <v>1089.4914131182795</v>
      </c>
      <c r="X376" s="17">
        <f t="shared" si="165"/>
        <v>0</v>
      </c>
      <c r="Y376" s="17"/>
      <c r="Z376" s="1">
        <f t="shared" si="171"/>
        <v>44908</v>
      </c>
      <c r="AA376" s="115">
        <v>855.07259473118279</v>
      </c>
      <c r="AB376" s="115">
        <v>182.7793735483871</v>
      </c>
      <c r="AC376" s="101"/>
      <c r="AD376" s="115">
        <v>58.73507956989247</v>
      </c>
      <c r="AE376" s="101">
        <f t="shared" si="161"/>
        <v>1096.5870478494624</v>
      </c>
      <c r="AF376" s="17">
        <f t="shared" si="166"/>
        <v>0</v>
      </c>
      <c r="AH376" s="1">
        <f t="shared" si="172"/>
        <v>45273</v>
      </c>
      <c r="AI376" s="119">
        <v>873.66399999999999</v>
      </c>
      <c r="AJ376" s="119">
        <v>195.06883870967741</v>
      </c>
      <c r="AK376" s="44"/>
      <c r="AL376" s="119">
        <v>68.314754193548382</v>
      </c>
      <c r="AM376" s="44">
        <f t="shared" si="162"/>
        <v>1137.0475929032259</v>
      </c>
      <c r="AN376" s="17">
        <f t="shared" si="167"/>
        <v>0</v>
      </c>
      <c r="AO376" s="17"/>
      <c r="AP376" s="1">
        <f t="shared" si="173"/>
        <v>45638</v>
      </c>
      <c r="AQ376" s="119">
        <v>700.48599999999999</v>
      </c>
      <c r="AR376" s="119">
        <v>171.09819999999999</v>
      </c>
      <c r="AS376" s="44"/>
      <c r="AT376" s="119">
        <v>60.229464086021508</v>
      </c>
      <c r="AU376" s="44">
        <f t="shared" si="163"/>
        <v>931.8136640860215</v>
      </c>
      <c r="AV376" s="17">
        <f t="shared" si="168"/>
        <v>0</v>
      </c>
      <c r="AW376" s="17"/>
      <c r="AX376" s="1">
        <f t="shared" si="174"/>
        <v>46004</v>
      </c>
      <c r="AY376" s="119"/>
      <c r="AZ376" s="119"/>
      <c r="BA376" s="44"/>
      <c r="BB376" s="119"/>
      <c r="BC376" s="44">
        <f t="shared" si="164"/>
        <v>0</v>
      </c>
      <c r="BD376" s="17">
        <f t="shared" si="169"/>
        <v>0</v>
      </c>
    </row>
    <row r="377" spans="1:56" ht="14.5" x14ac:dyDescent="0.3">
      <c r="A377" s="17"/>
      <c r="B377" s="1">
        <v>43813</v>
      </c>
      <c r="C377" s="4">
        <v>679</v>
      </c>
      <c r="D377" s="4">
        <v>134</v>
      </c>
      <c r="F377" s="4">
        <v>56</v>
      </c>
      <c r="G377" s="7">
        <f t="shared" si="175"/>
        <v>869</v>
      </c>
      <c r="H377" s="17">
        <f t="shared" si="157"/>
        <v>0</v>
      </c>
      <c r="J377" s="1">
        <v>44178</v>
      </c>
      <c r="K377" s="107">
        <v>683.34</v>
      </c>
      <c r="L377" s="107">
        <v>158.517</v>
      </c>
      <c r="M377" s="101"/>
      <c r="N377" s="101">
        <v>55.243000000000002</v>
      </c>
      <c r="O377" s="7">
        <f t="shared" si="159"/>
        <v>897.1</v>
      </c>
      <c r="P377" s="17">
        <f t="shared" si="176"/>
        <v>0</v>
      </c>
      <c r="R377" s="1">
        <f t="shared" si="170"/>
        <v>44544</v>
      </c>
      <c r="S377" s="43">
        <v>720.60165677419354</v>
      </c>
      <c r="T377" s="44">
        <v>157.08392387096774</v>
      </c>
      <c r="V377" s="44">
        <v>56.195939784946233</v>
      </c>
      <c r="W377" s="7">
        <f t="shared" si="160"/>
        <v>933.88152043010746</v>
      </c>
      <c r="X377" s="17">
        <f t="shared" si="165"/>
        <v>0</v>
      </c>
      <c r="Y377" s="17"/>
      <c r="Z377" s="1">
        <f t="shared" si="171"/>
        <v>44909</v>
      </c>
      <c r="AA377" s="116">
        <v>818.02133559139781</v>
      </c>
      <c r="AB377" s="116">
        <v>188.32335268817204</v>
      </c>
      <c r="AC377" s="101"/>
      <c r="AD377" s="116">
        <v>63.348081720430109</v>
      </c>
      <c r="AE377" s="101">
        <f t="shared" si="161"/>
        <v>1069.6927699999999</v>
      </c>
      <c r="AF377" s="17">
        <f t="shared" si="166"/>
        <v>0</v>
      </c>
      <c r="AH377" s="1">
        <f t="shared" si="172"/>
        <v>45274</v>
      </c>
      <c r="AI377" s="120">
        <v>895.37599999999998</v>
      </c>
      <c r="AJ377" s="120">
        <v>183.24941935483872</v>
      </c>
      <c r="AK377" s="44"/>
      <c r="AL377" s="120">
        <v>69.735751182795696</v>
      </c>
      <c r="AM377" s="44">
        <f t="shared" si="162"/>
        <v>1148.3611705376343</v>
      </c>
      <c r="AN377" s="17">
        <f t="shared" si="167"/>
        <v>0</v>
      </c>
      <c r="AO377" s="17"/>
      <c r="AP377" s="1">
        <f t="shared" si="173"/>
        <v>45639</v>
      </c>
      <c r="AQ377" s="120">
        <v>757.45399999999995</v>
      </c>
      <c r="AR377" s="120">
        <v>180.9298436</v>
      </c>
      <c r="AS377" s="44"/>
      <c r="AT377" s="120">
        <v>63.509883870967741</v>
      </c>
      <c r="AU377" s="44">
        <f t="shared" si="163"/>
        <v>1001.8937274709677</v>
      </c>
      <c r="AV377" s="17">
        <f t="shared" si="168"/>
        <v>0</v>
      </c>
      <c r="AW377" s="17"/>
      <c r="AX377" s="1">
        <f t="shared" si="174"/>
        <v>46005</v>
      </c>
      <c r="AY377" s="120"/>
      <c r="AZ377" s="120"/>
      <c r="BA377" s="44"/>
      <c r="BB377" s="120"/>
      <c r="BC377" s="44">
        <f t="shared" si="164"/>
        <v>0</v>
      </c>
      <c r="BD377" s="17">
        <f t="shared" si="169"/>
        <v>0</v>
      </c>
    </row>
    <row r="378" spans="1:56" ht="14.5" x14ac:dyDescent="0.3">
      <c r="A378" s="17"/>
      <c r="B378" s="1">
        <v>43814</v>
      </c>
      <c r="C378" s="4">
        <v>693</v>
      </c>
      <c r="D378" s="4">
        <v>137</v>
      </c>
      <c r="F378" s="4">
        <v>47</v>
      </c>
      <c r="G378" s="7">
        <f t="shared" si="175"/>
        <v>877</v>
      </c>
      <c r="H378" s="17">
        <f t="shared" si="157"/>
        <v>0</v>
      </c>
      <c r="J378" s="1">
        <v>44179</v>
      </c>
      <c r="K378" s="107">
        <v>807.46</v>
      </c>
      <c r="L378" s="107">
        <v>187.87700000000001</v>
      </c>
      <c r="M378" s="101"/>
      <c r="N378" s="101">
        <v>63.768999999999998</v>
      </c>
      <c r="O378" s="7">
        <f t="shared" si="159"/>
        <v>1059.106</v>
      </c>
      <c r="P378" s="17">
        <f t="shared" si="176"/>
        <v>0</v>
      </c>
      <c r="R378" s="1">
        <f t="shared" si="170"/>
        <v>44545</v>
      </c>
      <c r="S378" s="43">
        <v>684.4319741935484</v>
      </c>
      <c r="T378" s="44">
        <v>152.24931333333333</v>
      </c>
      <c r="V378" s="44">
        <v>56.593587956989246</v>
      </c>
      <c r="W378" s="7">
        <f t="shared" si="160"/>
        <v>893.27487548387103</v>
      </c>
      <c r="X378" s="17">
        <f t="shared" si="165"/>
        <v>0</v>
      </c>
      <c r="Y378" s="17"/>
      <c r="Z378" s="1">
        <f t="shared" si="171"/>
        <v>44910</v>
      </c>
      <c r="AA378" s="115">
        <v>750.81752139784942</v>
      </c>
      <c r="AB378" s="115">
        <v>161.88378150537633</v>
      </c>
      <c r="AC378" s="101"/>
      <c r="AD378" s="115">
        <v>58.873264516129034</v>
      </c>
      <c r="AE378" s="101">
        <f t="shared" si="161"/>
        <v>971.57456741935471</v>
      </c>
      <c r="AF378" s="17">
        <f t="shared" si="166"/>
        <v>0</v>
      </c>
      <c r="AH378" s="1">
        <f t="shared" si="172"/>
        <v>45275</v>
      </c>
      <c r="AI378" s="119">
        <v>756.60299999999995</v>
      </c>
      <c r="AJ378" s="119">
        <v>168.4687741935484</v>
      </c>
      <c r="AK378" s="44"/>
      <c r="AL378" s="119">
        <v>62.939584731182798</v>
      </c>
      <c r="AM378" s="44">
        <f t="shared" si="162"/>
        <v>988.0113589247311</v>
      </c>
      <c r="AN378" s="17">
        <f t="shared" si="167"/>
        <v>0</v>
      </c>
      <c r="AO378" s="17"/>
      <c r="AP378" s="1">
        <f t="shared" si="173"/>
        <v>45640</v>
      </c>
      <c r="AQ378" s="119">
        <v>672.43700000000001</v>
      </c>
      <c r="AR378" s="119">
        <v>165.81344530000001</v>
      </c>
      <c r="AS378" s="44"/>
      <c r="AT378" s="119">
        <v>61.136282150537632</v>
      </c>
      <c r="AU378" s="44">
        <f t="shared" si="163"/>
        <v>899.38672745053771</v>
      </c>
      <c r="AV378" s="17">
        <f t="shared" si="168"/>
        <v>0</v>
      </c>
      <c r="AW378" s="17"/>
      <c r="AX378" s="1">
        <f t="shared" si="174"/>
        <v>46006</v>
      </c>
      <c r="AY378" s="119"/>
      <c r="AZ378" s="119"/>
      <c r="BA378" s="44"/>
      <c r="BB378" s="119"/>
      <c r="BC378" s="44">
        <f t="shared" si="164"/>
        <v>0</v>
      </c>
      <c r="BD378" s="17">
        <f t="shared" si="169"/>
        <v>0</v>
      </c>
    </row>
    <row r="379" spans="1:56" ht="14.5" x14ac:dyDescent="0.3">
      <c r="A379" s="17"/>
      <c r="B379" s="1">
        <v>43815</v>
      </c>
      <c r="C379" s="4">
        <v>782</v>
      </c>
      <c r="D379" s="4">
        <v>149</v>
      </c>
      <c r="F379" s="4">
        <v>57</v>
      </c>
      <c r="G379" s="7">
        <f t="shared" si="175"/>
        <v>988</v>
      </c>
      <c r="H379" s="17">
        <f t="shared" si="157"/>
        <v>0</v>
      </c>
      <c r="J379" s="1">
        <v>44180</v>
      </c>
      <c r="K379" s="107">
        <v>780.29</v>
      </c>
      <c r="L379" s="107">
        <v>163.14699999999999</v>
      </c>
      <c r="M379" s="101"/>
      <c r="N379" s="101">
        <v>63.024000000000001</v>
      </c>
      <c r="O379" s="7">
        <f t="shared" si="159"/>
        <v>1006.4609999999999</v>
      </c>
      <c r="P379" s="17">
        <f t="shared" si="176"/>
        <v>0</v>
      </c>
      <c r="R379" s="1">
        <f t="shared" si="170"/>
        <v>44546</v>
      </c>
      <c r="S379" s="43">
        <v>667.54237161290325</v>
      </c>
      <c r="T379" s="44">
        <v>138.88498709677418</v>
      </c>
      <c r="V379" s="44">
        <v>55.847595698924728</v>
      </c>
      <c r="W379" s="7">
        <f t="shared" si="160"/>
        <v>862.27495440860218</v>
      </c>
      <c r="X379" s="17">
        <f t="shared" si="165"/>
        <v>0</v>
      </c>
      <c r="Y379" s="17"/>
      <c r="Z379" s="1">
        <f t="shared" si="171"/>
        <v>44911</v>
      </c>
      <c r="AA379" s="116">
        <v>698.60883559139791</v>
      </c>
      <c r="AB379" s="116">
        <v>145.35418817204302</v>
      </c>
      <c r="AC379" s="101"/>
      <c r="AD379" s="116">
        <v>54.092929032258063</v>
      </c>
      <c r="AE379" s="101">
        <f t="shared" si="161"/>
        <v>898.055952795699</v>
      </c>
      <c r="AF379" s="17">
        <f t="shared" si="166"/>
        <v>0</v>
      </c>
      <c r="AH379" s="1">
        <f t="shared" si="172"/>
        <v>45276</v>
      </c>
      <c r="AI379" s="120">
        <v>744.03700000000003</v>
      </c>
      <c r="AJ379" s="120">
        <v>174.62669677419356</v>
      </c>
      <c r="AK379" s="44"/>
      <c r="AL379" s="120">
        <v>61.291832903225803</v>
      </c>
      <c r="AM379" s="44">
        <f t="shared" si="162"/>
        <v>979.95552967741935</v>
      </c>
      <c r="AN379" s="17">
        <f t="shared" si="167"/>
        <v>0</v>
      </c>
      <c r="AO379" s="17"/>
      <c r="AP379" s="1">
        <f t="shared" si="173"/>
        <v>45641</v>
      </c>
      <c r="AQ379" s="120">
        <v>602.46600000000001</v>
      </c>
      <c r="AR379" s="120">
        <v>150.22259550000001</v>
      </c>
      <c r="AS379" s="44"/>
      <c r="AT379" s="120">
        <v>48.982310537634412</v>
      </c>
      <c r="AU379" s="44">
        <f t="shared" si="163"/>
        <v>801.67090603763438</v>
      </c>
      <c r="AV379" s="17">
        <f t="shared" si="168"/>
        <v>0</v>
      </c>
      <c r="AW379" s="17"/>
      <c r="AX379" s="1">
        <f t="shared" si="174"/>
        <v>46007</v>
      </c>
      <c r="AY379" s="120"/>
      <c r="AZ379" s="120"/>
      <c r="BA379" s="44"/>
      <c r="BB379" s="120"/>
      <c r="BC379" s="44">
        <f t="shared" si="164"/>
        <v>0</v>
      </c>
      <c r="BD379" s="17">
        <f t="shared" si="169"/>
        <v>0</v>
      </c>
    </row>
    <row r="380" spans="1:56" ht="14.5" x14ac:dyDescent="0.3">
      <c r="A380" s="17"/>
      <c r="B380" s="1">
        <v>43816</v>
      </c>
      <c r="C380" s="4">
        <v>712</v>
      </c>
      <c r="D380" s="4">
        <v>148</v>
      </c>
      <c r="F380" s="4">
        <v>56</v>
      </c>
      <c r="G380" s="7">
        <f t="shared" si="175"/>
        <v>916</v>
      </c>
      <c r="H380" s="17">
        <f t="shared" si="157"/>
        <v>0</v>
      </c>
      <c r="J380" s="1">
        <v>44181</v>
      </c>
      <c r="K380" s="107">
        <v>736.02</v>
      </c>
      <c r="L380" s="107">
        <v>146.054</v>
      </c>
      <c r="M380" s="101"/>
      <c r="N380" s="101">
        <v>58.795999999999999</v>
      </c>
      <c r="O380" s="7">
        <f t="shared" si="159"/>
        <v>940.87</v>
      </c>
      <c r="P380" s="17">
        <f t="shared" si="176"/>
        <v>0</v>
      </c>
      <c r="R380" s="1">
        <f t="shared" si="170"/>
        <v>44547</v>
      </c>
      <c r="S380" s="43">
        <v>679.16050580645162</v>
      </c>
      <c r="T380" s="44">
        <v>128.99925999999999</v>
      </c>
      <c r="V380" s="44">
        <v>50.325538064516131</v>
      </c>
      <c r="W380" s="7">
        <f t="shared" si="160"/>
        <v>858.48530387096764</v>
      </c>
      <c r="X380" s="17">
        <f t="shared" si="165"/>
        <v>0</v>
      </c>
      <c r="Y380" s="17"/>
      <c r="Z380" s="1">
        <f t="shared" si="171"/>
        <v>44912</v>
      </c>
      <c r="AA380" s="115">
        <v>684.50532053763436</v>
      </c>
      <c r="AB380" s="115">
        <v>167.00098580645161</v>
      </c>
      <c r="AC380" s="101"/>
      <c r="AD380" s="115">
        <v>58.443595698924732</v>
      </c>
      <c r="AE380" s="101">
        <f t="shared" si="161"/>
        <v>909.94990204301064</v>
      </c>
      <c r="AF380" s="17">
        <f t="shared" si="166"/>
        <v>0</v>
      </c>
      <c r="AH380" s="1">
        <f t="shared" si="172"/>
        <v>45277</v>
      </c>
      <c r="AI380" s="119">
        <v>723.33900000000006</v>
      </c>
      <c r="AJ380" s="119">
        <v>162.6248129032258</v>
      </c>
      <c r="AK380" s="44"/>
      <c r="AL380" s="119">
        <v>54.225720215053762</v>
      </c>
      <c r="AM380" s="44">
        <f t="shared" si="162"/>
        <v>940.18953311827966</v>
      </c>
      <c r="AN380" s="17">
        <f t="shared" si="167"/>
        <v>0</v>
      </c>
      <c r="AO380" s="17"/>
      <c r="AP380" s="1">
        <f t="shared" si="173"/>
        <v>45642</v>
      </c>
      <c r="AQ380" s="119">
        <v>607.83699999999999</v>
      </c>
      <c r="AR380" s="119">
        <v>141.2156482</v>
      </c>
      <c r="AS380" s="44"/>
      <c r="AT380" s="119">
        <v>57.568812043010752</v>
      </c>
      <c r="AU380" s="44">
        <f t="shared" si="163"/>
        <v>806.6214602430108</v>
      </c>
      <c r="AV380" s="17">
        <f t="shared" si="168"/>
        <v>0</v>
      </c>
      <c r="AW380" s="17"/>
      <c r="AX380" s="1">
        <f t="shared" si="174"/>
        <v>46008</v>
      </c>
      <c r="AY380" s="119"/>
      <c r="AZ380" s="119"/>
      <c r="BA380" s="44"/>
      <c r="BB380" s="119"/>
      <c r="BC380" s="44">
        <f t="shared" si="164"/>
        <v>0</v>
      </c>
      <c r="BD380" s="17">
        <f t="shared" si="169"/>
        <v>0</v>
      </c>
    </row>
    <row r="381" spans="1:56" ht="14.5" x14ac:dyDescent="0.3">
      <c r="A381" s="17"/>
      <c r="B381" s="1">
        <v>43817</v>
      </c>
      <c r="C381" s="4">
        <v>761</v>
      </c>
      <c r="D381" s="4">
        <v>157</v>
      </c>
      <c r="F381" s="4">
        <v>56</v>
      </c>
      <c r="G381" s="7">
        <f t="shared" si="175"/>
        <v>974</v>
      </c>
      <c r="H381" s="17">
        <f t="shared" si="157"/>
        <v>0</v>
      </c>
      <c r="J381" s="1">
        <v>44182</v>
      </c>
      <c r="K381" s="107">
        <v>710.99</v>
      </c>
      <c r="L381" s="107">
        <v>159.61799999999999</v>
      </c>
      <c r="M381" s="101"/>
      <c r="N381" s="101">
        <v>60.753999999999998</v>
      </c>
      <c r="O381" s="7">
        <f t="shared" si="159"/>
        <v>931.36199999999997</v>
      </c>
      <c r="P381" s="17">
        <f t="shared" si="176"/>
        <v>0</v>
      </c>
      <c r="R381" s="1">
        <f t="shared" si="170"/>
        <v>44548</v>
      </c>
      <c r="S381" s="43">
        <v>555.77875612903222</v>
      </c>
      <c r="T381" s="44">
        <v>118.05068516129032</v>
      </c>
      <c r="V381" s="44">
        <v>44.853856344086019</v>
      </c>
      <c r="W381" s="7">
        <f t="shared" si="160"/>
        <v>718.68329763440852</v>
      </c>
      <c r="X381" s="17">
        <f t="shared" si="165"/>
        <v>0</v>
      </c>
      <c r="Y381" s="17"/>
      <c r="Z381" s="1">
        <f t="shared" si="171"/>
        <v>44913</v>
      </c>
      <c r="AA381" s="116">
        <v>664.28480387096772</v>
      </c>
      <c r="AB381" s="116">
        <v>145.04817935483871</v>
      </c>
      <c r="AC381" s="101"/>
      <c r="AD381" s="116">
        <v>49.707716129032256</v>
      </c>
      <c r="AE381" s="101">
        <f t="shared" si="161"/>
        <v>859.04069935483869</v>
      </c>
      <c r="AF381" s="17">
        <f t="shared" si="166"/>
        <v>0</v>
      </c>
      <c r="AH381" s="1">
        <f t="shared" si="172"/>
        <v>45278</v>
      </c>
      <c r="AI381" s="120">
        <v>655.02700000000004</v>
      </c>
      <c r="AJ381" s="120">
        <v>156.50460645161291</v>
      </c>
      <c r="AK381" s="44"/>
      <c r="AL381" s="120">
        <v>57.127102365591398</v>
      </c>
      <c r="AM381" s="44">
        <f t="shared" si="162"/>
        <v>868.65870881720446</v>
      </c>
      <c r="AN381" s="17">
        <f t="shared" si="167"/>
        <v>0</v>
      </c>
      <c r="AO381" s="17"/>
      <c r="AP381" s="1">
        <f t="shared" si="173"/>
        <v>45643</v>
      </c>
      <c r="AQ381" s="120">
        <v>650.11199999999997</v>
      </c>
      <c r="AR381" s="120">
        <v>159.02958599999999</v>
      </c>
      <c r="AS381" s="44"/>
      <c r="AT381" s="120">
        <v>57.33069075268817</v>
      </c>
      <c r="AU381" s="44">
        <f t="shared" si="163"/>
        <v>866.47227675268812</v>
      </c>
      <c r="AV381" s="17">
        <f t="shared" si="168"/>
        <v>0</v>
      </c>
      <c r="AW381" s="17"/>
      <c r="AX381" s="1">
        <f t="shared" si="174"/>
        <v>46009</v>
      </c>
      <c r="AY381" s="120"/>
      <c r="AZ381" s="120"/>
      <c r="BA381" s="44"/>
      <c r="BB381" s="120"/>
      <c r="BC381" s="44">
        <f t="shared" si="164"/>
        <v>0</v>
      </c>
      <c r="BD381" s="17">
        <f t="shared" si="169"/>
        <v>0</v>
      </c>
    </row>
    <row r="382" spans="1:56" ht="14.5" x14ac:dyDescent="0.3">
      <c r="A382" s="17"/>
      <c r="B382" s="1">
        <v>43818</v>
      </c>
      <c r="C382" s="4">
        <v>709</v>
      </c>
      <c r="D382" s="4">
        <v>148</v>
      </c>
      <c r="F382" s="4">
        <v>57</v>
      </c>
      <c r="G382" s="7">
        <f t="shared" si="175"/>
        <v>914</v>
      </c>
      <c r="H382" s="17">
        <f t="shared" si="157"/>
        <v>0</v>
      </c>
      <c r="J382" s="1">
        <v>44183</v>
      </c>
      <c r="K382" s="107">
        <v>733.39</v>
      </c>
      <c r="L382" s="107">
        <v>143.57599999999999</v>
      </c>
      <c r="M382" s="101"/>
      <c r="N382" s="101">
        <v>57.805</v>
      </c>
      <c r="O382" s="7">
        <f t="shared" si="159"/>
        <v>934.77099999999996</v>
      </c>
      <c r="P382" s="17">
        <f t="shared" si="176"/>
        <v>0</v>
      </c>
      <c r="R382" s="1">
        <f t="shared" si="170"/>
        <v>44549</v>
      </c>
      <c r="S382" s="43">
        <v>638.44788129032258</v>
      </c>
      <c r="T382" s="44">
        <v>133.74063827956988</v>
      </c>
      <c r="V382" s="44">
        <v>50.527041720430105</v>
      </c>
      <c r="W382" s="7">
        <f t="shared" si="160"/>
        <v>822.71556129032263</v>
      </c>
      <c r="X382" s="17">
        <f t="shared" si="165"/>
        <v>0</v>
      </c>
      <c r="Y382" s="17"/>
      <c r="Z382" s="1">
        <f t="shared" si="171"/>
        <v>44914</v>
      </c>
      <c r="AA382" s="115">
        <v>681.44836053763436</v>
      </c>
      <c r="AB382" s="115">
        <v>139.13576150537634</v>
      </c>
      <c r="AC382" s="101"/>
      <c r="AD382" s="115">
        <v>52.013677419354842</v>
      </c>
      <c r="AE382" s="101">
        <f t="shared" si="161"/>
        <v>872.59779946236551</v>
      </c>
      <c r="AF382" s="17">
        <f t="shared" si="166"/>
        <v>0</v>
      </c>
      <c r="AH382" s="1">
        <f t="shared" si="172"/>
        <v>45279</v>
      </c>
      <c r="AI382" s="119">
        <v>653.45500000000004</v>
      </c>
      <c r="AJ382" s="119">
        <v>141.27034838709676</v>
      </c>
      <c r="AK382" s="44"/>
      <c r="AL382" s="119">
        <v>55.690988387096773</v>
      </c>
      <c r="AM382" s="44">
        <f t="shared" si="162"/>
        <v>850.41633677419361</v>
      </c>
      <c r="AN382" s="17">
        <f t="shared" si="167"/>
        <v>0</v>
      </c>
      <c r="AO382" s="17"/>
      <c r="AP382" s="1">
        <f t="shared" si="173"/>
        <v>45644</v>
      </c>
      <c r="AQ382" s="119">
        <v>890.44600000000003</v>
      </c>
      <c r="AR382" s="119">
        <v>214.9642542</v>
      </c>
      <c r="AS382" s="44"/>
      <c r="AT382" s="119">
        <v>64.31232</v>
      </c>
      <c r="AU382" s="44">
        <f t="shared" si="163"/>
        <v>1169.7225742000001</v>
      </c>
      <c r="AV382" s="17">
        <f t="shared" si="168"/>
        <v>0</v>
      </c>
      <c r="AW382" s="17"/>
      <c r="AX382" s="1">
        <f t="shared" si="174"/>
        <v>46010</v>
      </c>
      <c r="AY382" s="119"/>
      <c r="AZ382" s="119"/>
      <c r="BA382" s="44"/>
      <c r="BB382" s="119"/>
      <c r="BC382" s="44">
        <f t="shared" si="164"/>
        <v>0</v>
      </c>
      <c r="BD382" s="17">
        <f t="shared" si="169"/>
        <v>0</v>
      </c>
    </row>
    <row r="383" spans="1:56" ht="14.5" x14ac:dyDescent="0.3">
      <c r="A383" s="17"/>
      <c r="B383" s="1">
        <v>43819</v>
      </c>
      <c r="C383" s="4">
        <v>695</v>
      </c>
      <c r="D383" s="4">
        <v>144</v>
      </c>
      <c r="F383" s="4">
        <v>56</v>
      </c>
      <c r="G383" s="7">
        <f t="shared" si="175"/>
        <v>895</v>
      </c>
      <c r="H383" s="17">
        <f t="shared" si="157"/>
        <v>0</v>
      </c>
      <c r="J383" s="1">
        <v>44184</v>
      </c>
      <c r="K383" s="107">
        <v>666.54</v>
      </c>
      <c r="L383" s="109">
        <v>128.02199999999999</v>
      </c>
      <c r="M383" s="101"/>
      <c r="N383" s="101">
        <v>54.77</v>
      </c>
      <c r="O383" s="7">
        <f t="shared" si="159"/>
        <v>849.33199999999988</v>
      </c>
      <c r="P383" s="17">
        <f t="shared" si="176"/>
        <v>0</v>
      </c>
      <c r="R383" s="1">
        <f t="shared" si="170"/>
        <v>44550</v>
      </c>
      <c r="S383" s="43">
        <v>755.97554838709675</v>
      </c>
      <c r="T383" s="44">
        <v>161.65334043010753</v>
      </c>
      <c r="V383" s="44">
        <v>59.194914408602152</v>
      </c>
      <c r="W383" s="7">
        <f t="shared" si="160"/>
        <v>976.82380322580639</v>
      </c>
      <c r="X383" s="17">
        <f t="shared" si="165"/>
        <v>0</v>
      </c>
      <c r="Y383" s="17"/>
      <c r="Z383" s="1">
        <f t="shared" si="171"/>
        <v>44915</v>
      </c>
      <c r="AA383" s="116">
        <v>581.57534075268813</v>
      </c>
      <c r="AB383" s="116">
        <v>126.21584408602151</v>
      </c>
      <c r="AC383" s="101"/>
      <c r="AD383" s="116">
        <v>47.778524731182799</v>
      </c>
      <c r="AE383" s="101">
        <f t="shared" si="161"/>
        <v>755.56970956989244</v>
      </c>
      <c r="AF383" s="17">
        <f t="shared" si="166"/>
        <v>0</v>
      </c>
      <c r="AH383" s="1">
        <f t="shared" si="172"/>
        <v>45280</v>
      </c>
      <c r="AI383" s="120">
        <v>572.471</v>
      </c>
      <c r="AJ383" s="120">
        <v>133.1420129032258</v>
      </c>
      <c r="AK383" s="44"/>
      <c r="AL383" s="120">
        <v>53.545455698924734</v>
      </c>
      <c r="AM383" s="44">
        <f t="shared" si="162"/>
        <v>759.15846860215049</v>
      </c>
      <c r="AN383" s="17">
        <f t="shared" si="167"/>
        <v>0</v>
      </c>
      <c r="AO383" s="17"/>
      <c r="AP383" s="1">
        <f t="shared" si="173"/>
        <v>45645</v>
      </c>
      <c r="AQ383" s="120">
        <v>859.01499999999999</v>
      </c>
      <c r="AR383" s="120">
        <v>232.49166</v>
      </c>
      <c r="AS383" s="44"/>
      <c r="AT383" s="120">
        <v>68.412572903225808</v>
      </c>
      <c r="AU383" s="44">
        <f t="shared" si="163"/>
        <v>1159.9192329032257</v>
      </c>
      <c r="AV383" s="17">
        <f t="shared" si="168"/>
        <v>0</v>
      </c>
      <c r="AW383" s="17"/>
      <c r="AX383" s="1">
        <f t="shared" si="174"/>
        <v>46011</v>
      </c>
      <c r="AY383" s="120"/>
      <c r="AZ383" s="120"/>
      <c r="BA383" s="44"/>
      <c r="BB383" s="120"/>
      <c r="BC383" s="44">
        <f t="shared" si="164"/>
        <v>0</v>
      </c>
      <c r="BD383" s="17">
        <f t="shared" si="169"/>
        <v>0</v>
      </c>
    </row>
    <row r="384" spans="1:56" ht="14.5" x14ac:dyDescent="0.3">
      <c r="A384" s="17"/>
      <c r="B384" s="1">
        <v>43820</v>
      </c>
      <c r="C384" s="4">
        <v>661</v>
      </c>
      <c r="D384" s="4">
        <v>137</v>
      </c>
      <c r="F384" s="4">
        <v>52</v>
      </c>
      <c r="G384" s="7">
        <f t="shared" si="175"/>
        <v>850</v>
      </c>
      <c r="H384" s="17">
        <f t="shared" si="157"/>
        <v>0</v>
      </c>
      <c r="J384" s="1">
        <v>44185</v>
      </c>
      <c r="K384" s="107">
        <v>626.33000000000004</v>
      </c>
      <c r="L384" s="109">
        <v>119.223</v>
      </c>
      <c r="M384" s="101"/>
      <c r="N384" s="101">
        <v>52.4</v>
      </c>
      <c r="O384" s="7">
        <f t="shared" si="159"/>
        <v>797.95299999999997</v>
      </c>
      <c r="P384" s="17">
        <f t="shared" si="176"/>
        <v>0</v>
      </c>
      <c r="R384" s="1">
        <f t="shared" si="170"/>
        <v>44551</v>
      </c>
      <c r="S384" s="43">
        <v>634.57551483870964</v>
      </c>
      <c r="T384" s="44">
        <v>141.03036494623655</v>
      </c>
      <c r="V384" s="44">
        <v>56.419951827956986</v>
      </c>
      <c r="W384" s="7">
        <f t="shared" si="160"/>
        <v>832.02583161290318</v>
      </c>
      <c r="X384" s="17">
        <f t="shared" si="165"/>
        <v>0</v>
      </c>
      <c r="Y384" s="17"/>
      <c r="Z384" s="1">
        <f t="shared" si="171"/>
        <v>44916</v>
      </c>
      <c r="AA384" s="115">
        <v>617.48640311827955</v>
      </c>
      <c r="AB384" s="115">
        <v>123.88956301075268</v>
      </c>
      <c r="AC384" s="101"/>
      <c r="AD384" s="115">
        <v>52.663578494623657</v>
      </c>
      <c r="AE384" s="101">
        <f t="shared" si="161"/>
        <v>794.03954462365584</v>
      </c>
      <c r="AF384" s="17">
        <f t="shared" si="166"/>
        <v>0</v>
      </c>
      <c r="AH384" s="1">
        <f t="shared" si="172"/>
        <v>45281</v>
      </c>
      <c r="AI384" s="119">
        <v>802.84799999999996</v>
      </c>
      <c r="AJ384" s="119">
        <v>152.30588387096773</v>
      </c>
      <c r="AK384" s="44"/>
      <c r="AL384" s="119">
        <v>59.711027741935482</v>
      </c>
      <c r="AM384" s="44">
        <f t="shared" si="162"/>
        <v>1014.8649116129031</v>
      </c>
      <c r="AN384" s="17">
        <f t="shared" si="167"/>
        <v>0</v>
      </c>
      <c r="AO384" s="17"/>
      <c r="AP384" s="1">
        <f t="shared" si="173"/>
        <v>45646</v>
      </c>
      <c r="AQ384" s="119">
        <v>852.82899999999995</v>
      </c>
      <c r="AR384" s="119">
        <v>226.09717079999999</v>
      </c>
      <c r="AS384" s="44"/>
      <c r="AT384" s="119">
        <v>68.046148817204298</v>
      </c>
      <c r="AU384" s="44">
        <f t="shared" si="163"/>
        <v>1146.9723196172042</v>
      </c>
      <c r="AV384" s="17">
        <f t="shared" si="168"/>
        <v>0</v>
      </c>
      <c r="AW384" s="17"/>
      <c r="AX384" s="1">
        <f t="shared" si="174"/>
        <v>46012</v>
      </c>
      <c r="AY384" s="119"/>
      <c r="AZ384" s="119"/>
      <c r="BA384" s="44"/>
      <c r="BB384" s="119"/>
      <c r="BC384" s="44">
        <f t="shared" si="164"/>
        <v>0</v>
      </c>
      <c r="BD384" s="17">
        <f t="shared" si="169"/>
        <v>0</v>
      </c>
    </row>
    <row r="385" spans="1:56" ht="14.5" x14ac:dyDescent="0.3">
      <c r="A385" s="17"/>
      <c r="B385" s="1">
        <v>43821</v>
      </c>
      <c r="C385" s="4">
        <v>612</v>
      </c>
      <c r="D385" s="4">
        <v>118</v>
      </c>
      <c r="F385" s="4">
        <v>45</v>
      </c>
      <c r="G385" s="7">
        <f t="shared" si="175"/>
        <v>775</v>
      </c>
      <c r="H385" s="17">
        <f t="shared" si="157"/>
        <v>0</v>
      </c>
      <c r="J385" s="1">
        <v>44186</v>
      </c>
      <c r="K385" s="107">
        <v>754.32</v>
      </c>
      <c r="L385" s="108">
        <v>142.25899999999999</v>
      </c>
      <c r="M385" s="101"/>
      <c r="N385" s="101">
        <v>57.622999999999998</v>
      </c>
      <c r="O385" s="7">
        <f t="shared" si="159"/>
        <v>954.20200000000011</v>
      </c>
      <c r="P385" s="17">
        <f t="shared" si="176"/>
        <v>0</v>
      </c>
      <c r="R385" s="1">
        <f t="shared" si="170"/>
        <v>44552</v>
      </c>
      <c r="S385" s="43">
        <v>576.93189419354837</v>
      </c>
      <c r="T385" s="44">
        <v>124.46713634408601</v>
      </c>
      <c r="V385" s="44">
        <v>49.337312688172041</v>
      </c>
      <c r="W385" s="7">
        <f t="shared" si="160"/>
        <v>750.73634322580642</v>
      </c>
      <c r="X385" s="17">
        <f t="shared" si="165"/>
        <v>0</v>
      </c>
      <c r="Y385" s="17"/>
      <c r="Z385" s="1">
        <f t="shared" si="171"/>
        <v>44917</v>
      </c>
      <c r="AA385" s="116">
        <v>718.69067967741933</v>
      </c>
      <c r="AB385" s="116">
        <v>144.66950623655913</v>
      </c>
      <c r="AC385" s="101"/>
      <c r="AD385" s="116">
        <v>54.899367741935485</v>
      </c>
      <c r="AE385" s="101">
        <f t="shared" si="161"/>
        <v>918.25955365591403</v>
      </c>
      <c r="AF385" s="17">
        <f t="shared" si="166"/>
        <v>0</v>
      </c>
      <c r="AH385" s="1">
        <f t="shared" si="172"/>
        <v>45282</v>
      </c>
      <c r="AI385" s="120">
        <v>731.31399999999996</v>
      </c>
      <c r="AJ385" s="120">
        <v>162.6564129032258</v>
      </c>
      <c r="AK385" s="44"/>
      <c r="AL385" s="120">
        <v>60.72818516129032</v>
      </c>
      <c r="AM385" s="44">
        <f t="shared" si="162"/>
        <v>954.69859806451609</v>
      </c>
      <c r="AN385" s="17">
        <f t="shared" si="167"/>
        <v>0</v>
      </c>
      <c r="AO385" s="17"/>
      <c r="AP385" s="1">
        <f t="shared" si="173"/>
        <v>45647</v>
      </c>
      <c r="AQ385" s="120">
        <v>778.93200000000002</v>
      </c>
      <c r="AR385" s="120">
        <v>192.2447622</v>
      </c>
      <c r="AS385" s="44"/>
      <c r="AT385" s="120">
        <v>58.539781505376347</v>
      </c>
      <c r="AU385" s="44">
        <f t="shared" si="163"/>
        <v>1029.7165437053764</v>
      </c>
      <c r="AV385" s="17">
        <f t="shared" si="168"/>
        <v>0</v>
      </c>
      <c r="AW385" s="17"/>
      <c r="AX385" s="1">
        <f t="shared" si="174"/>
        <v>46013</v>
      </c>
      <c r="AY385" s="120"/>
      <c r="AZ385" s="120"/>
      <c r="BA385" s="44"/>
      <c r="BB385" s="120"/>
      <c r="BC385" s="44">
        <f t="shared" si="164"/>
        <v>0</v>
      </c>
      <c r="BD385" s="17">
        <f t="shared" si="169"/>
        <v>0</v>
      </c>
    </row>
    <row r="386" spans="1:56" ht="14.5" x14ac:dyDescent="0.3">
      <c r="A386" s="17"/>
      <c r="B386" s="1">
        <v>43822</v>
      </c>
      <c r="C386" s="4">
        <v>700</v>
      </c>
      <c r="D386" s="4">
        <v>152</v>
      </c>
      <c r="F386" s="4">
        <v>52</v>
      </c>
      <c r="G386" s="7">
        <f t="shared" si="175"/>
        <v>904</v>
      </c>
      <c r="H386" s="17">
        <f t="shared" si="157"/>
        <v>0</v>
      </c>
      <c r="J386" s="1">
        <v>44187</v>
      </c>
      <c r="K386" s="110">
        <v>689.47</v>
      </c>
      <c r="L386" s="108">
        <v>143.97</v>
      </c>
      <c r="M386" s="101"/>
      <c r="N386" s="101">
        <v>55.277000000000001</v>
      </c>
      <c r="O386" s="7">
        <f t="shared" si="159"/>
        <v>888.7170000000001</v>
      </c>
      <c r="P386" s="17">
        <f t="shared" si="176"/>
        <v>0</v>
      </c>
      <c r="R386" s="1">
        <f t="shared" si="170"/>
        <v>44553</v>
      </c>
      <c r="S386" s="43">
        <v>579.80978064516125</v>
      </c>
      <c r="T386" s="44">
        <v>118.14806107526881</v>
      </c>
      <c r="V386" s="44">
        <v>48.943951827956987</v>
      </c>
      <c r="W386" s="7">
        <f t="shared" si="160"/>
        <v>746.9017935483871</v>
      </c>
      <c r="X386" s="17">
        <f t="shared" si="165"/>
        <v>0</v>
      </c>
      <c r="Y386" s="17"/>
      <c r="Z386" s="1">
        <f t="shared" si="171"/>
        <v>44918</v>
      </c>
      <c r="AA386" s="115">
        <v>775.41187397849467</v>
      </c>
      <c r="AB386" s="115">
        <v>160.11527569892473</v>
      </c>
      <c r="AC386" s="101"/>
      <c r="AD386" s="115">
        <v>66.584632258064516</v>
      </c>
      <c r="AE386" s="101">
        <f t="shared" si="161"/>
        <v>1002.1117819354839</v>
      </c>
      <c r="AF386" s="17">
        <f t="shared" si="166"/>
        <v>0</v>
      </c>
      <c r="AH386" s="1">
        <f t="shared" si="172"/>
        <v>45283</v>
      </c>
      <c r="AI386" s="119">
        <v>720.88900000000001</v>
      </c>
      <c r="AJ386" s="119">
        <v>164.08452903225808</v>
      </c>
      <c r="AK386" s="44"/>
      <c r="AL386" s="119">
        <v>60.045761075268814</v>
      </c>
      <c r="AM386" s="44">
        <f t="shared" si="162"/>
        <v>945.0192901075269</v>
      </c>
      <c r="AN386" s="17">
        <f t="shared" si="167"/>
        <v>0</v>
      </c>
      <c r="AO386" s="17"/>
      <c r="AP386" s="1">
        <f t="shared" si="173"/>
        <v>45648</v>
      </c>
      <c r="AQ386" s="119">
        <v>742.59799999999996</v>
      </c>
      <c r="AR386" s="119">
        <v>180.1736622</v>
      </c>
      <c r="AS386" s="44"/>
      <c r="AT386" s="119">
        <v>49.459640430107527</v>
      </c>
      <c r="AU386" s="44">
        <f t="shared" si="163"/>
        <v>972.23130263010739</v>
      </c>
      <c r="AV386" s="17">
        <f t="shared" si="168"/>
        <v>0</v>
      </c>
      <c r="AW386" s="17"/>
      <c r="AX386" s="1">
        <f t="shared" si="174"/>
        <v>46014</v>
      </c>
      <c r="AY386" s="119"/>
      <c r="AZ386" s="119"/>
      <c r="BA386" s="44"/>
      <c r="BB386" s="119"/>
      <c r="BC386" s="44">
        <f t="shared" si="164"/>
        <v>0</v>
      </c>
      <c r="BD386" s="17">
        <f t="shared" si="169"/>
        <v>0</v>
      </c>
    </row>
    <row r="387" spans="1:56" ht="14.5" x14ac:dyDescent="0.3">
      <c r="A387" s="17"/>
      <c r="B387" s="1">
        <v>43823</v>
      </c>
      <c r="C387" s="4">
        <v>710</v>
      </c>
      <c r="D387" s="4">
        <v>149</v>
      </c>
      <c r="F387" s="4">
        <v>51</v>
      </c>
      <c r="G387" s="7">
        <f t="shared" si="175"/>
        <v>910</v>
      </c>
      <c r="H387" s="17">
        <f t="shared" si="157"/>
        <v>0</v>
      </c>
      <c r="J387" s="1">
        <v>44188</v>
      </c>
      <c r="K387" s="107">
        <v>696.71</v>
      </c>
      <c r="L387" s="108">
        <v>142.95400000000001</v>
      </c>
      <c r="M387" s="101"/>
      <c r="N387" s="101">
        <v>56.786000000000001</v>
      </c>
      <c r="O387" s="7">
        <f t="shared" si="159"/>
        <v>896.45</v>
      </c>
      <c r="P387" s="17">
        <f t="shared" si="176"/>
        <v>0</v>
      </c>
      <c r="R387" s="1">
        <f t="shared" si="170"/>
        <v>44554</v>
      </c>
      <c r="S387" s="43">
        <v>553.15957935483868</v>
      </c>
      <c r="T387" s="44">
        <v>115.03410365591398</v>
      </c>
      <c r="V387" s="44">
        <v>43.204313118279572</v>
      </c>
      <c r="W387" s="7">
        <f t="shared" si="160"/>
        <v>711.39799612903221</v>
      </c>
      <c r="X387" s="17">
        <f t="shared" si="165"/>
        <v>0</v>
      </c>
      <c r="Y387" s="17"/>
      <c r="Z387" s="1">
        <f t="shared" si="171"/>
        <v>44919</v>
      </c>
      <c r="AA387" s="116">
        <v>603.97455774193543</v>
      </c>
      <c r="AB387" s="116">
        <v>147.74392258064515</v>
      </c>
      <c r="AC387" s="101"/>
      <c r="AD387" s="116">
        <v>47.518348387096772</v>
      </c>
      <c r="AE387" s="101">
        <f t="shared" si="161"/>
        <v>799.23682870967741</v>
      </c>
      <c r="AF387" s="17">
        <f t="shared" si="166"/>
        <v>0</v>
      </c>
      <c r="AH387" s="1">
        <f t="shared" si="172"/>
        <v>45284</v>
      </c>
      <c r="AI387" s="120">
        <v>657.92100000000005</v>
      </c>
      <c r="AJ387" s="120">
        <v>150.71670967741935</v>
      </c>
      <c r="AK387" s="44"/>
      <c r="AL387" s="120">
        <v>48.840832688172043</v>
      </c>
      <c r="AM387" s="44">
        <f t="shared" si="162"/>
        <v>857.47854236559147</v>
      </c>
      <c r="AN387" s="17">
        <f t="shared" si="167"/>
        <v>0</v>
      </c>
      <c r="AO387" s="17"/>
      <c r="AP387" s="1">
        <f t="shared" si="173"/>
        <v>45649</v>
      </c>
      <c r="AQ387" s="120">
        <v>707.226</v>
      </c>
      <c r="AR387" s="120">
        <v>183.12362250000001</v>
      </c>
      <c r="AS387" s="44"/>
      <c r="AT387" s="120">
        <v>55.134320860215055</v>
      </c>
      <c r="AU387" s="44">
        <f t="shared" si="163"/>
        <v>945.48394336021511</v>
      </c>
      <c r="AV387" s="17">
        <f t="shared" si="168"/>
        <v>0</v>
      </c>
      <c r="AW387" s="17"/>
      <c r="AX387" s="1">
        <f t="shared" si="174"/>
        <v>46015</v>
      </c>
      <c r="AY387" s="120"/>
      <c r="AZ387" s="120"/>
      <c r="BA387" s="44"/>
      <c r="BB387" s="120"/>
      <c r="BC387" s="44">
        <f t="shared" si="164"/>
        <v>0</v>
      </c>
      <c r="BD387" s="17">
        <f t="shared" si="169"/>
        <v>0</v>
      </c>
    </row>
    <row r="388" spans="1:56" ht="14.5" x14ac:dyDescent="0.3">
      <c r="A388" s="17"/>
      <c r="B388" s="1">
        <v>43824</v>
      </c>
      <c r="C388" s="4">
        <v>615</v>
      </c>
      <c r="D388" s="4">
        <v>132</v>
      </c>
      <c r="F388" s="4">
        <v>36</v>
      </c>
      <c r="G388" s="7">
        <f t="shared" si="175"/>
        <v>783</v>
      </c>
      <c r="H388" s="17">
        <f t="shared" si="157"/>
        <v>0</v>
      </c>
      <c r="J388" s="1">
        <v>44189</v>
      </c>
      <c r="K388" s="107">
        <v>737.69</v>
      </c>
      <c r="L388" s="108">
        <v>157.53100000000001</v>
      </c>
      <c r="M388" s="101"/>
      <c r="N388" s="101">
        <v>54.911999999999999</v>
      </c>
      <c r="O388" s="7">
        <f t="shared" si="159"/>
        <v>950.13300000000004</v>
      </c>
      <c r="P388" s="17">
        <f t="shared" si="176"/>
        <v>0</v>
      </c>
      <c r="R388" s="1">
        <f t="shared" si="170"/>
        <v>44555</v>
      </c>
      <c r="S388" s="43">
        <v>433.24246967741936</v>
      </c>
      <c r="T388" s="44">
        <v>89.181834408602157</v>
      </c>
      <c r="V388" s="44">
        <v>28.821453763440861</v>
      </c>
      <c r="W388" s="7">
        <f t="shared" si="160"/>
        <v>551.24575784946239</v>
      </c>
      <c r="X388" s="17">
        <f t="shared" si="165"/>
        <v>0</v>
      </c>
      <c r="Y388" s="17"/>
      <c r="Z388" s="1">
        <f t="shared" si="171"/>
        <v>44920</v>
      </c>
      <c r="AA388" s="115">
        <v>514.83685010752686</v>
      </c>
      <c r="AB388" s="115">
        <v>115.37555849462366</v>
      </c>
      <c r="AC388" s="101"/>
      <c r="AD388" s="115">
        <v>32.60840860215054</v>
      </c>
      <c r="AE388" s="101">
        <f t="shared" si="161"/>
        <v>662.82081720430108</v>
      </c>
      <c r="AF388" s="17">
        <f t="shared" si="166"/>
        <v>0</v>
      </c>
      <c r="AH388" s="1">
        <f t="shared" si="172"/>
        <v>45285</v>
      </c>
      <c r="AI388" s="119">
        <v>563.82600000000002</v>
      </c>
      <c r="AJ388" s="119">
        <v>124.75781935483872</v>
      </c>
      <c r="AK388" s="44"/>
      <c r="AL388" s="119">
        <v>37.817308172043013</v>
      </c>
      <c r="AM388" s="44">
        <f t="shared" si="162"/>
        <v>726.40112752688174</v>
      </c>
      <c r="AN388" s="17">
        <f t="shared" si="167"/>
        <v>0</v>
      </c>
      <c r="AO388" s="17"/>
      <c r="AP388" s="1">
        <f t="shared" si="173"/>
        <v>45650</v>
      </c>
      <c r="AQ388" s="119">
        <v>689.03</v>
      </c>
      <c r="AR388" s="119">
        <v>172.09862319999999</v>
      </c>
      <c r="AS388" s="44"/>
      <c r="AT388" s="119">
        <v>51.887607741935483</v>
      </c>
      <c r="AU388" s="44">
        <f t="shared" si="163"/>
        <v>913.01623094193542</v>
      </c>
      <c r="AV388" s="17">
        <f t="shared" si="168"/>
        <v>0</v>
      </c>
      <c r="AW388" s="17"/>
      <c r="AX388" s="1">
        <f t="shared" si="174"/>
        <v>46016</v>
      </c>
      <c r="AY388" s="119"/>
      <c r="AZ388" s="119"/>
      <c r="BA388" s="44"/>
      <c r="BB388" s="119"/>
      <c r="BC388" s="44">
        <f t="shared" si="164"/>
        <v>0</v>
      </c>
      <c r="BD388" s="17">
        <f t="shared" si="169"/>
        <v>0</v>
      </c>
    </row>
    <row r="389" spans="1:56" ht="14.5" x14ac:dyDescent="0.3">
      <c r="A389" s="17"/>
      <c r="B389" s="1">
        <v>43825</v>
      </c>
      <c r="C389" s="4">
        <v>664</v>
      </c>
      <c r="D389" s="4">
        <v>142</v>
      </c>
      <c r="F389" s="4">
        <v>49</v>
      </c>
      <c r="G389" s="7">
        <f t="shared" si="175"/>
        <v>855</v>
      </c>
      <c r="H389" s="17">
        <f t="shared" si="157"/>
        <v>0</v>
      </c>
      <c r="J389" s="1">
        <v>44190</v>
      </c>
      <c r="K389" s="109">
        <v>565.09</v>
      </c>
      <c r="L389" s="108">
        <v>106.498</v>
      </c>
      <c r="M389" s="101"/>
      <c r="N389" s="101">
        <v>37.088000000000001</v>
      </c>
      <c r="O389" s="7">
        <f t="shared" si="159"/>
        <v>708.67600000000004</v>
      </c>
      <c r="P389" s="17">
        <f t="shared" si="176"/>
        <v>0</v>
      </c>
      <c r="R389" s="1">
        <f t="shared" si="170"/>
        <v>44556</v>
      </c>
      <c r="S389" s="43">
        <v>480.38351225806451</v>
      </c>
      <c r="T389" s="44">
        <v>99.44877784946236</v>
      </c>
      <c r="V389" s="44">
        <v>31.89974365591398</v>
      </c>
      <c r="W389" s="7">
        <f t="shared" si="160"/>
        <v>611.73203376344088</v>
      </c>
      <c r="X389" s="17">
        <f t="shared" si="165"/>
        <v>0</v>
      </c>
      <c r="Y389" s="17"/>
      <c r="Z389" s="1">
        <f t="shared" si="171"/>
        <v>44921</v>
      </c>
      <c r="AA389" s="116">
        <v>697.55903279569895</v>
      </c>
      <c r="AB389" s="116">
        <v>166.37975720430109</v>
      </c>
      <c r="AC389" s="101"/>
      <c r="AD389" s="116">
        <v>52.413118279569893</v>
      </c>
      <c r="AE389" s="101">
        <f t="shared" si="161"/>
        <v>916.3519082795699</v>
      </c>
      <c r="AF389" s="17">
        <f t="shared" si="166"/>
        <v>0</v>
      </c>
      <c r="AH389" s="1">
        <f t="shared" si="172"/>
        <v>45286</v>
      </c>
      <c r="AI389" s="120">
        <v>681.41700000000003</v>
      </c>
      <c r="AJ389" s="120">
        <v>146.5822064516129</v>
      </c>
      <c r="AK389" s="44"/>
      <c r="AL389" s="120">
        <v>48.01587698924731</v>
      </c>
      <c r="AM389" s="44">
        <f t="shared" si="162"/>
        <v>876.01508344086028</v>
      </c>
      <c r="AN389" s="17">
        <f t="shared" si="167"/>
        <v>0</v>
      </c>
      <c r="AO389" s="17"/>
      <c r="AP389" s="1">
        <f t="shared" si="173"/>
        <v>45651</v>
      </c>
      <c r="AQ389" s="120">
        <v>571.40200000000004</v>
      </c>
      <c r="AR389" s="120">
        <v>125.94868080000001</v>
      </c>
      <c r="AS389" s="44"/>
      <c r="AT389" s="120">
        <v>30.664368172043012</v>
      </c>
      <c r="AU389" s="44">
        <f t="shared" si="163"/>
        <v>728.01504897204313</v>
      </c>
      <c r="AV389" s="17">
        <f t="shared" si="168"/>
        <v>0</v>
      </c>
      <c r="AW389" s="17"/>
      <c r="AX389" s="1">
        <f t="shared" si="174"/>
        <v>46017</v>
      </c>
      <c r="AY389" s="120"/>
      <c r="AZ389" s="120"/>
      <c r="BA389" s="44"/>
      <c r="BB389" s="120"/>
      <c r="BC389" s="44">
        <f t="shared" si="164"/>
        <v>0</v>
      </c>
      <c r="BD389" s="17">
        <f t="shared" si="169"/>
        <v>0</v>
      </c>
    </row>
    <row r="390" spans="1:56" ht="14.5" x14ac:dyDescent="0.3">
      <c r="A390" s="17"/>
      <c r="B390" s="1">
        <v>43826</v>
      </c>
      <c r="C390" s="4">
        <v>650</v>
      </c>
      <c r="D390" s="4">
        <v>144</v>
      </c>
      <c r="F390" s="4">
        <v>50</v>
      </c>
      <c r="G390" s="7">
        <f t="shared" si="175"/>
        <v>844</v>
      </c>
      <c r="H390" s="17">
        <f t="shared" si="157"/>
        <v>0</v>
      </c>
      <c r="J390" s="1">
        <v>44191</v>
      </c>
      <c r="K390" s="109">
        <v>511.79</v>
      </c>
      <c r="L390" s="108">
        <v>97.046999999999997</v>
      </c>
      <c r="M390" s="101"/>
      <c r="N390" s="101">
        <v>43.764000000000003</v>
      </c>
      <c r="O390" s="7">
        <f t="shared" si="159"/>
        <v>652.601</v>
      </c>
      <c r="P390" s="17">
        <f t="shared" si="176"/>
        <v>0</v>
      </c>
      <c r="R390" s="1">
        <f t="shared" si="170"/>
        <v>44557</v>
      </c>
      <c r="S390" s="43">
        <v>682.45957161290323</v>
      </c>
      <c r="T390" s="44">
        <v>145.22996021505375</v>
      </c>
      <c r="V390" s="44">
        <v>47.373723870967744</v>
      </c>
      <c r="W390" s="7">
        <f t="shared" si="160"/>
        <v>875.06325569892476</v>
      </c>
      <c r="X390" s="17">
        <f t="shared" si="165"/>
        <v>0</v>
      </c>
      <c r="Y390" s="17"/>
      <c r="Z390" s="1">
        <f t="shared" si="171"/>
        <v>44922</v>
      </c>
      <c r="AA390" s="115">
        <v>832.62201752688168</v>
      </c>
      <c r="AB390" s="115">
        <v>204.01270107526881</v>
      </c>
      <c r="AC390" s="101"/>
      <c r="AD390" s="115">
        <v>67.743010752688178</v>
      </c>
      <c r="AE390" s="101">
        <f t="shared" si="161"/>
        <v>1104.3777293548387</v>
      </c>
      <c r="AF390" s="17">
        <f t="shared" si="166"/>
        <v>0</v>
      </c>
      <c r="AH390" s="1">
        <f t="shared" si="172"/>
        <v>45287</v>
      </c>
      <c r="AI390" s="119">
        <v>733.22500000000002</v>
      </c>
      <c r="AJ390" s="119">
        <v>151.17949677419355</v>
      </c>
      <c r="AK390" s="44"/>
      <c r="AL390" s="119">
        <v>57.661595913978495</v>
      </c>
      <c r="AM390" s="44">
        <f t="shared" si="162"/>
        <v>942.06609268817215</v>
      </c>
      <c r="AN390" s="17">
        <f t="shared" si="167"/>
        <v>0</v>
      </c>
      <c r="AO390" s="17"/>
      <c r="AP390" s="1">
        <f t="shared" si="173"/>
        <v>45652</v>
      </c>
      <c r="AQ390" s="119">
        <v>625.18399999999997</v>
      </c>
      <c r="AR390" s="119">
        <v>156.42537229999999</v>
      </c>
      <c r="AS390" s="44"/>
      <c r="AT390" s="119">
        <v>41.723416774193545</v>
      </c>
      <c r="AU390" s="44">
        <f t="shared" si="163"/>
        <v>823.33278907419344</v>
      </c>
      <c r="AV390" s="17">
        <f t="shared" si="168"/>
        <v>0</v>
      </c>
      <c r="AW390" s="17"/>
      <c r="AX390" s="1">
        <f t="shared" si="174"/>
        <v>46018</v>
      </c>
      <c r="AY390" s="119"/>
      <c r="AZ390" s="119"/>
      <c r="BA390" s="44"/>
      <c r="BB390" s="119"/>
      <c r="BC390" s="44">
        <f t="shared" si="164"/>
        <v>0</v>
      </c>
      <c r="BD390" s="17">
        <f t="shared" si="169"/>
        <v>0</v>
      </c>
    </row>
    <row r="391" spans="1:56" ht="14.5" x14ac:dyDescent="0.3">
      <c r="A391" s="17"/>
      <c r="B391" s="1">
        <v>43827</v>
      </c>
      <c r="C391" s="4">
        <v>650</v>
      </c>
      <c r="D391" s="4">
        <v>137</v>
      </c>
      <c r="F391" s="4">
        <v>53</v>
      </c>
      <c r="G391" s="7">
        <f t="shared" si="175"/>
        <v>840</v>
      </c>
      <c r="H391" s="17">
        <f t="shared" si="157"/>
        <v>0</v>
      </c>
      <c r="J391" s="89">
        <v>44192</v>
      </c>
      <c r="K391" s="111">
        <v>526.80999999999995</v>
      </c>
      <c r="L391" s="112">
        <v>89.215000000000003</v>
      </c>
      <c r="M391" s="101"/>
      <c r="N391" s="101">
        <v>41.268000000000001</v>
      </c>
      <c r="O391" s="7">
        <f t="shared" si="159"/>
        <v>657.29300000000001</v>
      </c>
      <c r="P391" s="17">
        <f t="shared" si="176"/>
        <v>0</v>
      </c>
      <c r="R391" s="1">
        <f t="shared" si="170"/>
        <v>44558</v>
      </c>
      <c r="S391" s="43">
        <v>699.86348903225803</v>
      </c>
      <c r="T391" s="44">
        <v>140.41710387096774</v>
      </c>
      <c r="V391" s="44">
        <v>52.753228387096776</v>
      </c>
      <c r="W391" s="7">
        <f t="shared" si="160"/>
        <v>893.03382129032252</v>
      </c>
      <c r="X391" s="17">
        <f t="shared" si="165"/>
        <v>0</v>
      </c>
      <c r="Y391" s="17"/>
      <c r="Z391" s="1">
        <f t="shared" si="171"/>
        <v>44923</v>
      </c>
      <c r="AA391" s="116">
        <v>869.67122225806452</v>
      </c>
      <c r="AB391" s="116">
        <v>188.86577634408602</v>
      </c>
      <c r="AC391" s="101"/>
      <c r="AD391" s="116">
        <v>66.492868817204297</v>
      </c>
      <c r="AE391" s="101">
        <f t="shared" si="161"/>
        <v>1125.0298674193548</v>
      </c>
      <c r="AF391" s="17">
        <f t="shared" si="166"/>
        <v>0</v>
      </c>
      <c r="AH391" s="1">
        <f t="shared" si="172"/>
        <v>45288</v>
      </c>
      <c r="AI391" s="120">
        <v>818.28200000000004</v>
      </c>
      <c r="AJ391" s="120">
        <v>181.61641290322581</v>
      </c>
      <c r="AK391" s="44"/>
      <c r="AL391" s="120">
        <v>68.524232473118275</v>
      </c>
      <c r="AM391" s="44">
        <f t="shared" si="162"/>
        <v>1068.422645376344</v>
      </c>
      <c r="AN391" s="17">
        <f t="shared" si="167"/>
        <v>0</v>
      </c>
      <c r="AO391" s="17"/>
      <c r="AP391" s="1">
        <f t="shared" si="173"/>
        <v>45653</v>
      </c>
      <c r="AQ391" s="120">
        <v>740.29700000000003</v>
      </c>
      <c r="AR391" s="120">
        <v>174.76039979999999</v>
      </c>
      <c r="AS391" s="44"/>
      <c r="AT391" s="120">
        <v>52.898807741935485</v>
      </c>
      <c r="AU391" s="44">
        <f t="shared" si="163"/>
        <v>967.95620754193544</v>
      </c>
      <c r="AV391" s="17">
        <f t="shared" si="168"/>
        <v>0</v>
      </c>
      <c r="AW391" s="17"/>
      <c r="AX391" s="1">
        <f t="shared" si="174"/>
        <v>46019</v>
      </c>
      <c r="AY391" s="120"/>
      <c r="AZ391" s="120"/>
      <c r="BA391" s="44"/>
      <c r="BB391" s="120"/>
      <c r="BC391" s="44">
        <f t="shared" si="164"/>
        <v>0</v>
      </c>
      <c r="BD391" s="17">
        <f t="shared" si="169"/>
        <v>0</v>
      </c>
    </row>
    <row r="392" spans="1:56" ht="14.5" x14ac:dyDescent="0.3">
      <c r="A392" s="17"/>
      <c r="B392" s="1">
        <v>43828</v>
      </c>
      <c r="C392" s="4">
        <v>592</v>
      </c>
      <c r="D392" s="4">
        <v>117</v>
      </c>
      <c r="F392" s="4">
        <v>44</v>
      </c>
      <c r="G392" s="7">
        <f t="shared" si="175"/>
        <v>753</v>
      </c>
      <c r="H392" s="17">
        <f t="shared" si="157"/>
        <v>0</v>
      </c>
      <c r="J392" s="1">
        <v>44193</v>
      </c>
      <c r="K392" s="109">
        <v>598.89</v>
      </c>
      <c r="L392" s="108">
        <v>116.08499999999999</v>
      </c>
      <c r="M392" s="101"/>
      <c r="N392" s="101">
        <v>50.89</v>
      </c>
      <c r="O392" s="7">
        <f t="shared" si="159"/>
        <v>765.86500000000001</v>
      </c>
      <c r="P392" s="17">
        <f t="shared" si="176"/>
        <v>0</v>
      </c>
      <c r="R392" s="1">
        <f t="shared" si="170"/>
        <v>44559</v>
      </c>
      <c r="S392" s="43">
        <v>677.94043096774192</v>
      </c>
      <c r="T392" s="44">
        <v>149.9444047311828</v>
      </c>
      <c r="V392" s="44">
        <v>50.898966021505373</v>
      </c>
      <c r="W392" s="7">
        <f t="shared" si="160"/>
        <v>878.78380172043012</v>
      </c>
      <c r="X392" s="17">
        <f t="shared" si="165"/>
        <v>0</v>
      </c>
      <c r="Y392" s="17"/>
      <c r="Z392" s="1">
        <f t="shared" si="171"/>
        <v>44924</v>
      </c>
      <c r="AA392" s="115">
        <v>860.72940881720433</v>
      </c>
      <c r="AB392" s="115">
        <v>185.5938359139785</v>
      </c>
      <c r="AC392" s="101"/>
      <c r="AD392" s="115">
        <v>67.423458064516126</v>
      </c>
      <c r="AE392" s="101">
        <f t="shared" si="161"/>
        <v>1113.7467027956989</v>
      </c>
      <c r="AF392" s="17">
        <f t="shared" si="166"/>
        <v>0</v>
      </c>
      <c r="AH392" s="1">
        <f t="shared" si="172"/>
        <v>45289</v>
      </c>
      <c r="AI392" s="119">
        <v>803.98099999999999</v>
      </c>
      <c r="AJ392" s="119">
        <v>176.14757419354839</v>
      </c>
      <c r="AK392" s="44"/>
      <c r="AL392" s="119">
        <v>62.650202365591397</v>
      </c>
      <c r="AM392" s="44">
        <f t="shared" si="162"/>
        <v>1042.7787765591397</v>
      </c>
      <c r="AN392" s="17">
        <f t="shared" si="167"/>
        <v>0</v>
      </c>
      <c r="AO392" s="17"/>
      <c r="AP392" s="1">
        <f t="shared" si="173"/>
        <v>45654</v>
      </c>
      <c r="AQ392" s="119">
        <v>586.17700000000002</v>
      </c>
      <c r="AR392" s="119">
        <v>145.08461940000001</v>
      </c>
      <c r="AS392" s="44"/>
      <c r="AT392" s="119">
        <v>47.844982365591399</v>
      </c>
      <c r="AU392" s="44">
        <f t="shared" si="163"/>
        <v>779.10660176559134</v>
      </c>
      <c r="AV392" s="17">
        <f t="shared" si="168"/>
        <v>0</v>
      </c>
      <c r="AW392" s="17"/>
      <c r="AX392" s="1">
        <f t="shared" si="174"/>
        <v>46020</v>
      </c>
      <c r="AY392" s="119"/>
      <c r="AZ392" s="119"/>
      <c r="BA392" s="44"/>
      <c r="BB392" s="119"/>
      <c r="BC392" s="44">
        <f t="shared" si="164"/>
        <v>0</v>
      </c>
      <c r="BD392" s="17">
        <f t="shared" si="169"/>
        <v>0</v>
      </c>
    </row>
    <row r="393" spans="1:56" ht="14.5" x14ac:dyDescent="0.3">
      <c r="A393" s="17"/>
      <c r="B393" s="1">
        <v>43829</v>
      </c>
      <c r="C393" s="4">
        <v>611</v>
      </c>
      <c r="D393" s="4">
        <v>121</v>
      </c>
      <c r="F393" s="4">
        <v>49</v>
      </c>
      <c r="G393" s="7">
        <f t="shared" si="175"/>
        <v>781</v>
      </c>
      <c r="H393" s="17">
        <f t="shared" si="157"/>
        <v>0</v>
      </c>
      <c r="J393" s="1">
        <v>44194</v>
      </c>
      <c r="K393" s="113">
        <v>584.67999999999995</v>
      </c>
      <c r="L393" s="108">
        <v>116.745</v>
      </c>
      <c r="M393" s="101"/>
      <c r="N393" s="101">
        <v>50.953000000000003</v>
      </c>
      <c r="O393" s="7">
        <f t="shared" si="159"/>
        <v>752.37799999999993</v>
      </c>
      <c r="P393" s="17">
        <f t="shared" si="176"/>
        <v>0</v>
      </c>
      <c r="R393" s="1">
        <f t="shared" si="170"/>
        <v>44560</v>
      </c>
      <c r="S393" s="43">
        <v>735.36777032258067</v>
      </c>
      <c r="T393" s="44">
        <v>153.2976582795699</v>
      </c>
      <c r="V393" s="44">
        <v>57.636476559139787</v>
      </c>
      <c r="W393" s="7">
        <f t="shared" si="160"/>
        <v>946.30190516129028</v>
      </c>
      <c r="X393" s="17">
        <f t="shared" si="165"/>
        <v>0</v>
      </c>
      <c r="Y393" s="17"/>
      <c r="Z393" s="1">
        <f t="shared" si="171"/>
        <v>44925</v>
      </c>
      <c r="AA393" s="116">
        <v>756.76195268817207</v>
      </c>
      <c r="AB393" s="116">
        <v>175.42492752688173</v>
      </c>
      <c r="AC393" s="101"/>
      <c r="AD393" s="116">
        <v>59.8945376344086</v>
      </c>
      <c r="AE393" s="101">
        <f t="shared" si="161"/>
        <v>992.08141784946247</v>
      </c>
      <c r="AF393" s="17">
        <f t="shared" si="166"/>
        <v>0</v>
      </c>
      <c r="AH393" s="1">
        <f t="shared" si="172"/>
        <v>45290</v>
      </c>
      <c r="AI393" s="120">
        <v>599.00099999999998</v>
      </c>
      <c r="AJ393" s="120">
        <v>131.84539354838711</v>
      </c>
      <c r="AK393" s="44"/>
      <c r="AL393" s="120">
        <v>52.282107311827957</v>
      </c>
      <c r="AM393" s="44">
        <f t="shared" si="162"/>
        <v>783.12850086021513</v>
      </c>
      <c r="AN393" s="17">
        <f t="shared" si="167"/>
        <v>0</v>
      </c>
      <c r="AO393" s="17"/>
      <c r="AP393" s="1">
        <f t="shared" si="173"/>
        <v>45655</v>
      </c>
      <c r="AQ393" s="120">
        <v>502.42500000000001</v>
      </c>
      <c r="AR393" s="120">
        <v>126.9793536</v>
      </c>
      <c r="AS393" s="44"/>
      <c r="AT393" s="120">
        <v>35.098425806451615</v>
      </c>
      <c r="AU393" s="44">
        <f t="shared" si="163"/>
        <v>664.50277940645162</v>
      </c>
      <c r="AV393" s="17">
        <f t="shared" si="168"/>
        <v>0</v>
      </c>
      <c r="AW393" s="17"/>
      <c r="AX393" s="1">
        <f t="shared" si="174"/>
        <v>46021</v>
      </c>
      <c r="AY393" s="120"/>
      <c r="AZ393" s="120"/>
      <c r="BA393" s="44"/>
      <c r="BB393" s="120"/>
      <c r="BC393" s="44">
        <f t="shared" si="164"/>
        <v>0</v>
      </c>
      <c r="BD393" s="17">
        <f t="shared" si="169"/>
        <v>0</v>
      </c>
    </row>
    <row r="394" spans="1:56" s="28" customFormat="1" ht="14.5" x14ac:dyDescent="0.3">
      <c r="A394" s="39"/>
      <c r="B394" s="38">
        <v>43830</v>
      </c>
      <c r="C394" s="41">
        <v>646</v>
      </c>
      <c r="D394" s="41">
        <v>153</v>
      </c>
      <c r="F394" s="41">
        <v>46</v>
      </c>
      <c r="G394" s="40">
        <f t="shared" si="175"/>
        <v>845</v>
      </c>
      <c r="H394" s="39">
        <f t="shared" si="157"/>
        <v>0</v>
      </c>
      <c r="J394" s="1">
        <v>44195</v>
      </c>
      <c r="K394" s="107">
        <v>679.28</v>
      </c>
      <c r="L394" s="108">
        <v>130.34399999999999</v>
      </c>
      <c r="M394" s="105"/>
      <c r="N394" s="105">
        <v>55.331000000000003</v>
      </c>
      <c r="O394" s="7">
        <f t="shared" si="159"/>
        <v>864.95500000000004</v>
      </c>
      <c r="P394" s="17">
        <f t="shared" si="176"/>
        <v>0</v>
      </c>
      <c r="R394" s="38">
        <f t="shared" si="170"/>
        <v>44561</v>
      </c>
      <c r="S394" s="43">
        <v>718.22566709677415</v>
      </c>
      <c r="T394" s="44">
        <v>163.53559612903226</v>
      </c>
      <c r="V394" s="87">
        <v>46.15184</v>
      </c>
      <c r="W394" s="7">
        <f t="shared" si="160"/>
        <v>927.91310322580637</v>
      </c>
      <c r="X394" s="17">
        <f t="shared" si="165"/>
        <v>0</v>
      </c>
      <c r="Y394" s="17"/>
      <c r="Z394" s="38">
        <f t="shared" si="171"/>
        <v>44926</v>
      </c>
      <c r="AA394" s="115">
        <v>766.61695075268813</v>
      </c>
      <c r="AB394" s="115">
        <v>158.16766774193547</v>
      </c>
      <c r="AC394" s="101"/>
      <c r="AD394" s="115">
        <v>50.94166451612903</v>
      </c>
      <c r="AE394" s="101">
        <f t="shared" si="161"/>
        <v>975.72628301075258</v>
      </c>
      <c r="AF394" s="17">
        <f t="shared" si="166"/>
        <v>0</v>
      </c>
      <c r="AH394" s="38">
        <f t="shared" si="172"/>
        <v>45291</v>
      </c>
      <c r="AI394" s="119">
        <v>599.17899999999997</v>
      </c>
      <c r="AJ394" s="119">
        <v>131.52837419354839</v>
      </c>
      <c r="AK394" s="44"/>
      <c r="AL394" s="119">
        <v>43.100695913978491</v>
      </c>
      <c r="AM394" s="44">
        <f t="shared" si="162"/>
        <v>773.80807010752687</v>
      </c>
      <c r="AN394" s="17">
        <f t="shared" si="167"/>
        <v>0</v>
      </c>
      <c r="AO394" s="17"/>
      <c r="AP394" s="1">
        <f t="shared" si="173"/>
        <v>45656</v>
      </c>
      <c r="AQ394" s="120">
        <v>680.7</v>
      </c>
      <c r="AR394" s="120">
        <v>143.19527199999999</v>
      </c>
      <c r="AS394" s="44"/>
      <c r="AT394" s="120">
        <v>48.952953118279567</v>
      </c>
      <c r="AU394" s="44">
        <f t="shared" ref="AU394:AU395" si="177">SUM(AQ394:AT394)</f>
        <v>872.84822511827952</v>
      </c>
      <c r="AV394" s="17">
        <f t="shared" si="168"/>
        <v>0</v>
      </c>
      <c r="AW394" s="17"/>
      <c r="AX394" s="1">
        <f t="shared" si="174"/>
        <v>46022</v>
      </c>
      <c r="AY394" s="120"/>
      <c r="AZ394" s="120"/>
      <c r="BA394" s="44"/>
      <c r="BB394" s="120"/>
      <c r="BC394" s="44">
        <f t="shared" si="164"/>
        <v>0</v>
      </c>
      <c r="BD394" s="17">
        <f t="shared" si="169"/>
        <v>0</v>
      </c>
    </row>
    <row r="395" spans="1:56" ht="14.5" x14ac:dyDescent="0.3">
      <c r="A395" s="17"/>
      <c r="B395" s="1"/>
      <c r="C395" s="2"/>
      <c r="D395" s="2"/>
      <c r="E395" s="2"/>
      <c r="F395" s="2"/>
      <c r="G395" s="7"/>
      <c r="H395" s="17"/>
      <c r="J395" s="1">
        <v>44196</v>
      </c>
      <c r="K395" s="107">
        <v>567.19000000000005</v>
      </c>
      <c r="L395" s="108">
        <v>112.34099999999999</v>
      </c>
      <c r="M395" s="114"/>
      <c r="N395" s="101">
        <v>46.179000000000002</v>
      </c>
      <c r="O395" s="7">
        <f t="shared" si="159"/>
        <v>725.71</v>
      </c>
      <c r="P395" s="17">
        <f t="shared" si="176"/>
        <v>0</v>
      </c>
      <c r="R395" s="1"/>
      <c r="S395" s="64"/>
      <c r="T395" s="56"/>
      <c r="U395" s="57"/>
      <c r="V395" s="4"/>
      <c r="W395" s="7"/>
      <c r="X395" s="17"/>
      <c r="Y395" s="17"/>
      <c r="Z395" s="1"/>
      <c r="AA395" s="64"/>
      <c r="AB395" s="56"/>
      <c r="AC395" s="57"/>
      <c r="AD395" s="4"/>
      <c r="AE395" s="7">
        <f t="shared" si="161"/>
        <v>0</v>
      </c>
      <c r="AF395" s="17"/>
      <c r="AH395" s="1"/>
      <c r="AI395" s="64"/>
      <c r="AJ395" s="56"/>
      <c r="AK395" s="57"/>
      <c r="AL395" s="4"/>
      <c r="AM395" s="7">
        <f t="shared" si="162"/>
        <v>0</v>
      </c>
      <c r="AN395" s="17"/>
      <c r="AO395" s="17"/>
      <c r="AP395" s="38">
        <f t="shared" si="173"/>
        <v>45657</v>
      </c>
      <c r="AQ395" s="120">
        <v>632.63199999999995</v>
      </c>
      <c r="AR395" s="120">
        <v>148.98912240000001</v>
      </c>
      <c r="AS395" s="44"/>
      <c r="AT395" s="120">
        <v>48.51150451612903</v>
      </c>
      <c r="AU395" s="44">
        <f t="shared" si="177"/>
        <v>830.13262691612897</v>
      </c>
      <c r="AV395" s="17">
        <f t="shared" si="168"/>
        <v>0</v>
      </c>
      <c r="AW395" s="17"/>
      <c r="AX395" s="1"/>
      <c r="AY395" s="91"/>
      <c r="AZ395" s="91"/>
      <c r="BA395" s="90"/>
      <c r="BB395" s="91"/>
      <c r="BC395" s="7"/>
      <c r="BD395" s="17"/>
    </row>
  </sheetData>
  <mergeCells count="42">
    <mergeCell ref="AM28:AM29"/>
    <mergeCell ref="AB27:AD27"/>
    <mergeCell ref="T27:V27"/>
    <mergeCell ref="AZ27:BB27"/>
    <mergeCell ref="AX28:AX29"/>
    <mergeCell ref="AY28:AY29"/>
    <mergeCell ref="AZ28:BA28"/>
    <mergeCell ref="D27:F27"/>
    <mergeCell ref="L27:N27"/>
    <mergeCell ref="AJ27:AL27"/>
    <mergeCell ref="AH28:AH29"/>
    <mergeCell ref="AI28:AI29"/>
    <mergeCell ref="AJ28:AK28"/>
    <mergeCell ref="AL28:AL29"/>
    <mergeCell ref="B28:B29"/>
    <mergeCell ref="C28:C29"/>
    <mergeCell ref="F28:F29"/>
    <mergeCell ref="G28:G29"/>
    <mergeCell ref="D28:E28"/>
    <mergeCell ref="J28:J29"/>
    <mergeCell ref="K28:K29"/>
    <mergeCell ref="AE28:AE29"/>
    <mergeCell ref="L28:M28"/>
    <mergeCell ref="N28:N29"/>
    <mergeCell ref="O28:O29"/>
    <mergeCell ref="Z28:Z29"/>
    <mergeCell ref="AA28:AA29"/>
    <mergeCell ref="AB28:AC28"/>
    <mergeCell ref="AD28:AD29"/>
    <mergeCell ref="R28:R29"/>
    <mergeCell ref="S28:S29"/>
    <mergeCell ref="T28:U28"/>
    <mergeCell ref="V28:V29"/>
    <mergeCell ref="W28:W29"/>
    <mergeCell ref="BB28:BB29"/>
    <mergeCell ref="BC28:BC29"/>
    <mergeCell ref="AR27:AT27"/>
    <mergeCell ref="AP28:AP29"/>
    <mergeCell ref="AQ28:AQ29"/>
    <mergeCell ref="AR28:AS28"/>
    <mergeCell ref="AT28:AT29"/>
    <mergeCell ref="AU28:AU29"/>
  </mergeCells>
  <phoneticPr fontId="13" type="noConversion"/>
  <conditionalFormatting sqref="V30:V394">
    <cfRule type="cellIs" dxfId="65" priority="13" operator="greaterThan">
      <formula>97</formula>
    </cfRule>
  </conditionalFormatting>
  <conditionalFormatting sqref="AA30:AA394">
    <cfRule type="cellIs" dxfId="64" priority="21" operator="greaterThan">
      <formula>1580</formula>
    </cfRule>
  </conditionalFormatting>
  <conditionalFormatting sqref="AB30:AB394">
    <cfRule type="cellIs" dxfId="63" priority="20" operator="greaterThan">
      <formula>350</formula>
    </cfRule>
  </conditionalFormatting>
  <conditionalFormatting sqref="AD30:AD394">
    <cfRule type="cellIs" dxfId="62" priority="12" operator="greaterThan">
      <formula>95</formula>
    </cfRule>
    <cfRule type="cellIs" dxfId="61" priority="19" operator="greaterThan">
      <formula>96</formula>
    </cfRule>
  </conditionalFormatting>
  <conditionalFormatting sqref="AE30:AE394">
    <cfRule type="cellIs" dxfId="60" priority="18" operator="greaterThan">
      <formula>2000</formula>
    </cfRule>
  </conditionalFormatting>
  <conditionalFormatting sqref="AI30:AI394">
    <cfRule type="cellIs" dxfId="59" priority="17" operator="greaterThan">
      <formula>1580</formula>
    </cfRule>
  </conditionalFormatting>
  <conditionalFormatting sqref="AJ30:AJ394">
    <cfRule type="cellIs" dxfId="58" priority="16" operator="greaterThan">
      <formula>350</formula>
    </cfRule>
  </conditionalFormatting>
  <conditionalFormatting sqref="AL30:AL180">
    <cfRule type="cellIs" dxfId="57" priority="11" operator="greaterThan">
      <formula>95</formula>
    </cfRule>
  </conditionalFormatting>
  <conditionalFormatting sqref="AL30:AL394">
    <cfRule type="cellIs" dxfId="56" priority="15" operator="greaterThan">
      <formula>96</formula>
    </cfRule>
  </conditionalFormatting>
  <conditionalFormatting sqref="AM30:AM394">
    <cfRule type="cellIs" dxfId="55" priority="14" operator="greaterThan">
      <formula>2000</formula>
    </cfRule>
  </conditionalFormatting>
  <conditionalFormatting sqref="AQ30:AQ395">
    <cfRule type="cellIs" dxfId="54" priority="10" operator="greaterThan">
      <formula>1580</formula>
    </cfRule>
  </conditionalFormatting>
  <conditionalFormatting sqref="AR30:AR395">
    <cfRule type="cellIs" dxfId="53" priority="9" operator="greaterThan">
      <formula>350</formula>
    </cfRule>
  </conditionalFormatting>
  <conditionalFormatting sqref="AT30:AT180">
    <cfRule type="cellIs" dxfId="52" priority="6" operator="greaterThan">
      <formula>95</formula>
    </cfRule>
  </conditionalFormatting>
  <conditionalFormatting sqref="AT30:AT395">
    <cfRule type="cellIs" dxfId="51" priority="8" operator="greaterThan">
      <formula>96</formula>
    </cfRule>
  </conditionalFormatting>
  <conditionalFormatting sqref="AU30:AU395">
    <cfRule type="cellIs" dxfId="50" priority="7" operator="greaterThan">
      <formula>2000</formula>
    </cfRule>
  </conditionalFormatting>
  <conditionalFormatting sqref="AY30:AY395">
    <cfRule type="cellIs" dxfId="49" priority="5" operator="greaterThan">
      <formula>1580</formula>
    </cfRule>
  </conditionalFormatting>
  <conditionalFormatting sqref="AZ30:AZ395">
    <cfRule type="cellIs" dxfId="48" priority="4" operator="greaterThan">
      <formula>350</formula>
    </cfRule>
  </conditionalFormatting>
  <conditionalFormatting sqref="BB30:BB180">
    <cfRule type="cellIs" dxfId="47" priority="1" operator="greaterThan">
      <formula>95</formula>
    </cfRule>
  </conditionalFormatting>
  <conditionalFormatting sqref="BB30:BB395">
    <cfRule type="cellIs" dxfId="46" priority="3" operator="greaterThan">
      <formula>96</formula>
    </cfRule>
  </conditionalFormatting>
  <conditionalFormatting sqref="BC30:BC395">
    <cfRule type="cellIs" dxfId="45" priority="2" operator="greaterThan">
      <formula>2000</formula>
    </cfRule>
  </conditionalFormatting>
  <pageMargins left="0.70000000000000007" right="0.70000000000000007" top="0.75000000000000011" bottom="0.75000000000000011" header="0.30000000000000004" footer="0.30000000000000004"/>
  <pageSetup fitToHeight="3" orientation="landscape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  <pageSetUpPr fitToPage="1"/>
  </sheetPr>
  <dimension ref="A1:AR391"/>
  <sheetViews>
    <sheetView showGridLines="0" tabSelected="1" topLeftCell="AE38" zoomScale="90" zoomScaleNormal="90" zoomScalePageLayoutView="75" workbookViewId="0">
      <selection activeCell="AL53" sqref="AL53"/>
    </sheetView>
  </sheetViews>
  <sheetFormatPr baseColWidth="10" defaultRowHeight="13" x14ac:dyDescent="0.3"/>
  <cols>
    <col min="1" max="1" width="15.1796875" bestFit="1" customWidth="1"/>
    <col min="2" max="2" width="14.453125" bestFit="1" customWidth="1"/>
    <col min="3" max="3" width="9" bestFit="1" customWidth="1"/>
    <col min="4" max="4" width="12" bestFit="1" customWidth="1"/>
    <col min="5" max="5" width="11.7265625" bestFit="1" customWidth="1"/>
    <col min="6" max="6" width="11.54296875" customWidth="1"/>
    <col min="7" max="7" width="15.1796875" bestFit="1" customWidth="1"/>
    <col min="8" max="8" width="14.453125" bestFit="1" customWidth="1"/>
    <col min="9" max="9" width="9" bestFit="1" customWidth="1"/>
    <col min="10" max="10" width="12" bestFit="1" customWidth="1"/>
    <col min="11" max="11" width="11.7265625" bestFit="1" customWidth="1"/>
    <col min="12" max="12" width="11.54296875" customWidth="1"/>
    <col min="13" max="13" width="12" customWidth="1"/>
    <col min="14" max="14" width="12.26953125" customWidth="1"/>
    <col min="15" max="15" width="12.453125" bestFit="1" customWidth="1"/>
    <col min="17" max="17" width="14.81640625" customWidth="1"/>
    <col min="18" max="18" width="15.26953125" customWidth="1"/>
    <col min="19" max="19" width="12" customWidth="1"/>
    <col min="20" max="20" width="12.26953125" customWidth="1"/>
    <col min="21" max="21" width="12.453125" bestFit="1" customWidth="1"/>
    <col min="23" max="23" width="14.81640625" customWidth="1"/>
    <col min="24" max="24" width="15.26953125" customWidth="1"/>
    <col min="26" max="26" width="12" customWidth="1"/>
    <col min="27" max="27" width="12.26953125" customWidth="1"/>
    <col min="28" max="28" width="12.453125" bestFit="1" customWidth="1"/>
    <col min="30" max="30" width="14.81640625" customWidth="1"/>
    <col min="31" max="31" width="15.26953125" customWidth="1"/>
    <col min="32" max="32" width="12" customWidth="1"/>
    <col min="33" max="33" width="12.26953125" customWidth="1"/>
    <col min="34" max="34" width="12.453125" bestFit="1" customWidth="1"/>
    <col min="36" max="36" width="14.81640625" customWidth="1"/>
    <col min="37" max="37" width="15.26953125" customWidth="1"/>
    <col min="38" max="38" width="12" customWidth="1"/>
    <col min="39" max="39" width="12.26953125" customWidth="1"/>
    <col min="40" max="40" width="12.453125" bestFit="1" customWidth="1"/>
    <col min="42" max="42" width="14.81640625" customWidth="1"/>
    <col min="43" max="44" width="15.26953125" customWidth="1"/>
  </cols>
  <sheetData>
    <row r="1" spans="1:44" ht="15.75" customHeight="1" x14ac:dyDescent="0.3"/>
    <row r="2" spans="1:44" ht="15.75" customHeight="1" x14ac:dyDescent="0.3"/>
    <row r="3" spans="1:44" ht="15.75" customHeight="1" x14ac:dyDescent="0.3"/>
    <row r="4" spans="1:44" ht="15.75" customHeight="1" x14ac:dyDescent="0.3">
      <c r="E4">
        <v>1000</v>
      </c>
      <c r="K4">
        <v>1000</v>
      </c>
      <c r="Q4">
        <v>1000</v>
      </c>
      <c r="W4">
        <v>1000</v>
      </c>
      <c r="AD4">
        <v>1000</v>
      </c>
      <c r="AJ4">
        <v>1000</v>
      </c>
      <c r="AP4">
        <v>1000</v>
      </c>
    </row>
    <row r="5" spans="1:44" ht="15.75" customHeight="1" x14ac:dyDescent="0.3">
      <c r="Q5" s="81"/>
      <c r="W5" s="81"/>
      <c r="AD5" s="81"/>
      <c r="AJ5" s="81"/>
      <c r="AP5" s="81"/>
    </row>
    <row r="6" spans="1:44" ht="15.75" customHeight="1" x14ac:dyDescent="0.3">
      <c r="A6" t="s">
        <v>16</v>
      </c>
      <c r="B6" s="9">
        <f>MAX(B17:B136)</f>
        <v>329.83737839996815</v>
      </c>
      <c r="C6" s="9">
        <f t="shared" ref="C6:E6" si="0">MAX(C17:C136)</f>
        <v>49.7203805999998</v>
      </c>
      <c r="D6" s="9">
        <f t="shared" si="0"/>
        <v>24.21</v>
      </c>
      <c r="E6" s="9">
        <f t="shared" si="0"/>
        <v>398.05611839996834</v>
      </c>
      <c r="F6" s="19"/>
      <c r="G6" t="s">
        <v>16</v>
      </c>
      <c r="H6" s="9">
        <f>MAX(H17:H136)</f>
        <v>314.8566246999502</v>
      </c>
      <c r="I6" s="9">
        <f t="shared" ref="I6:K6" si="1">MAX(I17:I136)</f>
        <v>50.767434399999679</v>
      </c>
      <c r="J6" s="9">
        <f t="shared" si="1"/>
        <v>28.968700000000002</v>
      </c>
      <c r="K6" s="9">
        <f t="shared" si="1"/>
        <v>387.97311979995294</v>
      </c>
      <c r="L6" s="19"/>
      <c r="M6" t="s">
        <v>16</v>
      </c>
      <c r="N6" s="9">
        <f>MAX(N17:N135)</f>
        <v>279.74214969992636</v>
      </c>
      <c r="O6" s="9">
        <f>MAX(O17:O135)</f>
        <v>59.143730900004506</v>
      </c>
      <c r="P6" s="9">
        <f>MAX(P17:P135)</f>
        <v>27.421003899998961</v>
      </c>
      <c r="Q6" s="9">
        <f>MAX(Q17:Q135)</f>
        <v>363.67227959999025</v>
      </c>
      <c r="R6" s="19"/>
      <c r="S6" t="s">
        <v>16</v>
      </c>
      <c r="T6" s="9">
        <f>MAX(T17:T135)</f>
        <v>292.6663356000185</v>
      </c>
      <c r="U6" s="9">
        <f>MAX(U17:U135)</f>
        <v>58.63417960000038</v>
      </c>
      <c r="V6" s="9">
        <f>MAX(V17:V135)</f>
        <v>24.561217599997878</v>
      </c>
      <c r="W6" s="9">
        <f>MAX(W17:W135)</f>
        <v>369.77171730001692</v>
      </c>
      <c r="X6" s="19"/>
      <c r="Z6" t="s">
        <v>16</v>
      </c>
      <c r="AA6" s="9">
        <f>MAX(AA17:AA135)</f>
        <v>328.0571930000782</v>
      </c>
      <c r="AB6" s="9">
        <f>MAX(AB17:AB135)</f>
        <v>64.597360299989575</v>
      </c>
      <c r="AC6" s="9">
        <f>MAX(AC17:AC135)</f>
        <v>27.060075999997089</v>
      </c>
      <c r="AD6" s="9">
        <f>MAX(AD17:AD135)</f>
        <v>414.03802080008717</v>
      </c>
      <c r="AE6" s="19"/>
      <c r="AF6" t="s">
        <v>16</v>
      </c>
      <c r="AG6" s="9">
        <f>MAX(AG17:AG135)</f>
        <v>0</v>
      </c>
      <c r="AH6" s="9">
        <f>MAX(AH17:AH135)</f>
        <v>0</v>
      </c>
      <c r="AI6" s="9">
        <f>MAX(AI17:AI135)</f>
        <v>0</v>
      </c>
      <c r="AJ6" s="9">
        <f>MAX(AJ17:AJ135)</f>
        <v>0</v>
      </c>
      <c r="AK6" s="19"/>
      <c r="AL6" t="s">
        <v>16</v>
      </c>
      <c r="AM6" s="9">
        <f>MAX(AM17:AM135)</f>
        <v>0</v>
      </c>
      <c r="AN6" s="9">
        <f>MAX(AN17:AN135)</f>
        <v>0</v>
      </c>
      <c r="AO6" s="9">
        <f>MAX(AO17:AO135)</f>
        <v>0</v>
      </c>
      <c r="AP6" s="9">
        <f>MAX(AP17:AP135)</f>
        <v>0</v>
      </c>
      <c r="AQ6" s="19"/>
      <c r="AR6" s="19"/>
    </row>
    <row r="7" spans="1:44" ht="15.75" customHeight="1" x14ac:dyDescent="0.3"/>
    <row r="8" spans="1:44" ht="15.75" customHeight="1" x14ac:dyDescent="0.3">
      <c r="A8" s="23"/>
      <c r="E8" s="22">
        <f>+E9*E4</f>
        <v>115316061.71399999</v>
      </c>
      <c r="G8" s="23"/>
      <c r="K8" s="22">
        <f>+K9*K4</f>
        <v>107318587.18719998</v>
      </c>
      <c r="M8" s="23"/>
      <c r="Q8" s="22">
        <f>+Q9*Q4</f>
        <v>109299680.14649995</v>
      </c>
      <c r="S8" s="23"/>
      <c r="W8" s="22">
        <f>+W9*W4</f>
        <v>115965782.9376</v>
      </c>
      <c r="Z8" s="23"/>
      <c r="AD8" s="22">
        <f>+AD9*AD4</f>
        <v>48766879.911400028</v>
      </c>
      <c r="AF8" s="23"/>
      <c r="AJ8" s="22">
        <f>+AJ9*AJ4</f>
        <v>0</v>
      </c>
      <c r="AL8" s="23"/>
      <c r="AP8" s="22">
        <f>+AP9*AP4</f>
        <v>0</v>
      </c>
    </row>
    <row r="9" spans="1:44" ht="15.75" customHeight="1" x14ac:dyDescent="0.3">
      <c r="A9" s="8" t="s">
        <v>6</v>
      </c>
      <c r="B9" s="9">
        <f>SUM(B17:B381)</f>
        <v>91626.790766200022</v>
      </c>
      <c r="C9" s="9">
        <f t="shared" ref="C9:E9" si="2">SUM(C17:C381)</f>
        <v>16191.0991478</v>
      </c>
      <c r="D9" s="9">
        <f t="shared" si="2"/>
        <v>7498.1717999999983</v>
      </c>
      <c r="E9" s="9">
        <f t="shared" si="2"/>
        <v>115316.06171399998</v>
      </c>
      <c r="F9" s="20"/>
      <c r="G9" s="8" t="s">
        <v>6</v>
      </c>
      <c r="H9" s="9">
        <f>SUM(H17:H381)</f>
        <v>82546.011042000042</v>
      </c>
      <c r="I9" s="9">
        <f t="shared" ref="I9:K9" si="3">SUM(I17:I381)</f>
        <v>16922.206715200013</v>
      </c>
      <c r="J9" s="9">
        <f t="shared" si="3"/>
        <v>7850.3694300000025</v>
      </c>
      <c r="K9" s="9">
        <f t="shared" si="3"/>
        <v>107318.58718719998</v>
      </c>
      <c r="L9" s="20"/>
      <c r="M9" s="8" t="s">
        <v>6</v>
      </c>
      <c r="N9" s="9">
        <f>SUM(N17:N380)</f>
        <v>82961.079320700024</v>
      </c>
      <c r="O9" s="9">
        <f>SUM(O17:O380)</f>
        <v>18437.491113600012</v>
      </c>
      <c r="P9" s="9">
        <f>SUM(P17:P380)</f>
        <v>7901.1097121999974</v>
      </c>
      <c r="Q9" s="9">
        <f>SUM(Q17:Q380)</f>
        <v>109299.68014649994</v>
      </c>
      <c r="R9" s="20"/>
      <c r="S9" s="8" t="s">
        <v>6</v>
      </c>
      <c r="T9" s="9">
        <f>SUM(T17:T380)</f>
        <v>88545.02118489999</v>
      </c>
      <c r="U9" s="9">
        <f>SUM(U17:U380)</f>
        <v>19777.630899800006</v>
      </c>
      <c r="V9" s="9">
        <f>SUM(V17:V380)</f>
        <v>7643.1308529000107</v>
      </c>
      <c r="W9" s="9">
        <f>SUM(W17:W380)</f>
        <v>115965.7829376</v>
      </c>
      <c r="X9" s="20"/>
      <c r="Z9" s="8" t="s">
        <v>6</v>
      </c>
      <c r="AA9" s="9">
        <f>SUM(AA17:AA380)</f>
        <v>36543.602203600036</v>
      </c>
      <c r="AB9" s="9">
        <f>SUM(AB17:AB380)</f>
        <v>8768.7462784999916</v>
      </c>
      <c r="AC9" s="9">
        <f>SUM(AC17:AC380)</f>
        <v>3454.5314292999992</v>
      </c>
      <c r="AD9" s="9">
        <f>SUM(AD17:AD380)</f>
        <v>48766.879911400029</v>
      </c>
      <c r="AE9" s="20"/>
      <c r="AF9" s="8" t="s">
        <v>6</v>
      </c>
      <c r="AG9" s="9">
        <f>SUM(AG17:AG380)</f>
        <v>0</v>
      </c>
      <c r="AH9" s="9">
        <f>SUM(AH17:AH380)</f>
        <v>0</v>
      </c>
      <c r="AI9" s="9">
        <f>SUM(AI17:AI380)</f>
        <v>0</v>
      </c>
      <c r="AJ9" s="9">
        <f>SUM(AJ17:AJ380)</f>
        <v>0</v>
      </c>
      <c r="AK9" s="20"/>
      <c r="AL9" s="8" t="s">
        <v>6</v>
      </c>
      <c r="AM9" s="9">
        <f>SUM(AM17:AM380)</f>
        <v>0</v>
      </c>
      <c r="AN9" s="9">
        <f>SUM(AN17:AN380)</f>
        <v>0</v>
      </c>
      <c r="AO9" s="9">
        <f>SUM(AO17:AO380)</f>
        <v>0</v>
      </c>
      <c r="AP9" s="9">
        <f>SUM(AP17:AP380)</f>
        <v>0</v>
      </c>
      <c r="AQ9" s="20"/>
      <c r="AR9" s="20"/>
    </row>
    <row r="10" spans="1:44" ht="15.75" customHeight="1" x14ac:dyDescent="0.3">
      <c r="A10" s="8" t="s">
        <v>5</v>
      </c>
      <c r="B10" s="9">
        <f>AVERAGE(B17:B381)</f>
        <v>251.03230346904115</v>
      </c>
      <c r="C10" s="9">
        <f t="shared" ref="C10:E10" si="4">AVERAGE(C17:C381)</f>
        <v>44.359175747397259</v>
      </c>
      <c r="D10" s="9">
        <f t="shared" si="4"/>
        <v>20.542936438356161</v>
      </c>
      <c r="E10" s="9">
        <f t="shared" si="4"/>
        <v>315.93441565479446</v>
      </c>
      <c r="F10" s="20"/>
      <c r="G10" s="8" t="s">
        <v>5</v>
      </c>
      <c r="H10" s="9">
        <f>AVERAGE(H17:H381)</f>
        <v>226.15345490958916</v>
      </c>
      <c r="I10" s="9">
        <f t="shared" ref="I10:K10" si="5">AVERAGE(I17:I381)</f>
        <v>46.362210178630171</v>
      </c>
      <c r="J10" s="9">
        <f t="shared" si="5"/>
        <v>21.507861452054801</v>
      </c>
      <c r="K10" s="9">
        <f t="shared" si="5"/>
        <v>294.02352654027391</v>
      </c>
      <c r="L10" s="20"/>
      <c r="M10" s="8" t="s">
        <v>5</v>
      </c>
      <c r="N10" s="9">
        <f>AVERAGE(N17:N380)</f>
        <v>227.91505307884623</v>
      </c>
      <c r="O10" s="9">
        <f>AVERAGE(O17:O380)</f>
        <v>50.652448114285747</v>
      </c>
      <c r="P10" s="9">
        <f>AVERAGE(P17:P380)</f>
        <v>21.706345363186806</v>
      </c>
      <c r="Q10" s="9">
        <f>AVERAGE(Q17:Q380)</f>
        <v>300.27384655631852</v>
      </c>
      <c r="R10" s="20"/>
      <c r="S10" s="8" t="s">
        <v>5</v>
      </c>
      <c r="T10" s="9">
        <f>AVERAGE(T17:T380)</f>
        <v>243.25555270576919</v>
      </c>
      <c r="U10" s="9">
        <f>AVERAGE(U17:U380)</f>
        <v>54.334150823626388</v>
      </c>
      <c r="V10" s="9">
        <f>AVERAGE(V17:V380)</f>
        <v>20.997612233241789</v>
      </c>
      <c r="W10" s="9">
        <f>AVERAGE(W17:W380)</f>
        <v>318.58731576263739</v>
      </c>
      <c r="X10" s="20"/>
      <c r="Z10" s="8" t="s">
        <v>5</v>
      </c>
      <c r="AA10" s="9">
        <f>AVERAGE(AA17:AA380)</f>
        <v>142.74844610781264</v>
      </c>
      <c r="AB10" s="9">
        <f>AVERAGE(AB17:AB380)</f>
        <v>34.252915150390592</v>
      </c>
      <c r="AC10" s="9">
        <f>AVERAGE(AC17:AC380)</f>
        <v>13.494263395703122</v>
      </c>
      <c r="AD10" s="9">
        <f>AVERAGE(AD17:AD380)</f>
        <v>133.97494481153853</v>
      </c>
      <c r="AE10" s="20"/>
      <c r="AF10" s="8" t="s">
        <v>5</v>
      </c>
      <c r="AG10" s="9">
        <f>AVERAGE(AG17:AG380)</f>
        <v>0</v>
      </c>
      <c r="AH10" s="9">
        <f>AVERAGE(AH17:AH380)</f>
        <v>0</v>
      </c>
      <c r="AI10" s="9">
        <f>AVERAGE(AI17:AI380)</f>
        <v>0</v>
      </c>
      <c r="AJ10" s="9">
        <f>AVERAGE(AJ17:AJ380)</f>
        <v>0</v>
      </c>
      <c r="AK10" s="20"/>
      <c r="AL10" s="8" t="s">
        <v>5</v>
      </c>
      <c r="AM10" s="9">
        <f>AVERAGE(AM17:AM380)</f>
        <v>0</v>
      </c>
      <c r="AN10" s="9">
        <f>AVERAGE(AN17:AN380)</f>
        <v>0</v>
      </c>
      <c r="AO10" s="9">
        <f>AVERAGE(AO17:AO380)</f>
        <v>0</v>
      </c>
      <c r="AP10" s="9">
        <f>AVERAGE(AP17:AP380)</f>
        <v>0</v>
      </c>
      <c r="AQ10" s="20"/>
      <c r="AR10" s="20"/>
    </row>
    <row r="11" spans="1:44" ht="15.75" customHeight="1" x14ac:dyDescent="0.3">
      <c r="A11" s="8" t="s">
        <v>4</v>
      </c>
      <c r="B11" s="9">
        <f>MAX(B17:B381)</f>
        <v>347.36384420001508</v>
      </c>
      <c r="C11" s="9">
        <f t="shared" ref="C11:E11" si="6">MAX(C17:C381)</f>
        <v>51.656491699997339</v>
      </c>
      <c r="D11" s="9">
        <f t="shared" si="6"/>
        <v>26.401</v>
      </c>
      <c r="E11" s="9">
        <f t="shared" si="6"/>
        <v>418.44186070001496</v>
      </c>
      <c r="F11" s="10"/>
      <c r="G11" s="8" t="s">
        <v>4</v>
      </c>
      <c r="H11" s="9">
        <f>MAX(H17:H381)</f>
        <v>314.8566246999502</v>
      </c>
      <c r="I11" s="9">
        <f t="shared" ref="I11:K11" si="7">MAX(I17:I381)</f>
        <v>57.808625700004399</v>
      </c>
      <c r="J11" s="9">
        <f t="shared" si="7"/>
        <v>28.968700000000002</v>
      </c>
      <c r="K11" s="9">
        <f t="shared" si="7"/>
        <v>387.97311979995294</v>
      </c>
      <c r="L11" s="10"/>
      <c r="M11" s="8" t="s">
        <v>4</v>
      </c>
      <c r="N11" s="9">
        <f>MAX(N17:N380)</f>
        <v>331.78283799993994</v>
      </c>
      <c r="O11" s="9">
        <f>MAX(O17:O380)</f>
        <v>59.146227800004183</v>
      </c>
      <c r="P11" s="9">
        <f>MAX(P17:P380)</f>
        <v>27.421003899998961</v>
      </c>
      <c r="Q11" s="9">
        <f>MAX(Q17:Q380)</f>
        <v>409.43980849993301</v>
      </c>
      <c r="R11" s="10"/>
      <c r="S11" s="8" t="s">
        <v>4</v>
      </c>
      <c r="T11" s="9">
        <f>MAX(T17:T380)</f>
        <v>331.63047630000113</v>
      </c>
      <c r="U11" s="9">
        <f>MAX(U17:U380)</f>
        <v>64.319580999985334</v>
      </c>
      <c r="V11" s="9">
        <f>MAX(V17:V380)</f>
        <v>26.534722700002138</v>
      </c>
      <c r="W11" s="9">
        <f>MAX(W17:W380)</f>
        <v>415.20311830001162</v>
      </c>
      <c r="X11" s="10"/>
      <c r="Z11" s="8" t="s">
        <v>4</v>
      </c>
      <c r="AA11" s="9">
        <f>MAX(AA17:AA380)</f>
        <v>328.0571930000782</v>
      </c>
      <c r="AB11" s="9">
        <f>MAX(AB17:AB380)</f>
        <v>65.600728600010271</v>
      </c>
      <c r="AC11" s="9">
        <f>MAX(AC17:AC380)</f>
        <v>27.060075999997089</v>
      </c>
      <c r="AD11" s="9">
        <f>MAX(AD17:AD380)</f>
        <v>414.03802080008717</v>
      </c>
      <c r="AE11" s="10"/>
      <c r="AF11" s="8" t="s">
        <v>4</v>
      </c>
      <c r="AG11" s="9">
        <f>MAX(AG17:AG380)</f>
        <v>0</v>
      </c>
      <c r="AH11" s="9">
        <f>MAX(AH17:AH380)</f>
        <v>0</v>
      </c>
      <c r="AI11" s="9">
        <f>MAX(AI17:AI380)</f>
        <v>0</v>
      </c>
      <c r="AJ11" s="9">
        <f>MAX(AJ17:AJ380)</f>
        <v>0</v>
      </c>
      <c r="AK11" s="10"/>
      <c r="AL11" s="8" t="s">
        <v>4</v>
      </c>
      <c r="AM11" s="9">
        <f>MAX(AM17:AM380)</f>
        <v>0</v>
      </c>
      <c r="AN11" s="9">
        <f>MAX(AN17:AN380)</f>
        <v>0</v>
      </c>
      <c r="AO11" s="9">
        <f>MAX(AO17:AO380)</f>
        <v>0</v>
      </c>
      <c r="AP11" s="9">
        <f>MAX(AP17:AP380)</f>
        <v>0</v>
      </c>
      <c r="AQ11" s="10"/>
      <c r="AR11" s="10"/>
    </row>
    <row r="12" spans="1:44" x14ac:dyDescent="0.3">
      <c r="A12" s="8" t="s">
        <v>18</v>
      </c>
      <c r="B12" s="9">
        <f>MAX(B137:B289)</f>
        <v>347.36384420001508</v>
      </c>
      <c r="C12" s="9">
        <f t="shared" ref="C12:E12" si="8">MAX(C137:C289)</f>
        <v>51.656491699997339</v>
      </c>
      <c r="D12" s="9">
        <f t="shared" si="8"/>
        <v>26.401</v>
      </c>
      <c r="E12" s="9">
        <f t="shared" si="8"/>
        <v>418.44186070001496</v>
      </c>
      <c r="G12" s="8" t="s">
        <v>18</v>
      </c>
      <c r="H12" s="9">
        <f>MAX(H137:H289)</f>
        <v>290.27806019997598</v>
      </c>
      <c r="I12" s="9">
        <f t="shared" ref="I12:K12" si="9">MAX(I137:I289)</f>
        <v>54.359804499998688</v>
      </c>
      <c r="J12" s="9">
        <f t="shared" si="9"/>
        <v>25.478800000000003</v>
      </c>
      <c r="K12" s="9">
        <f t="shared" si="9"/>
        <v>363.03489319997288</v>
      </c>
      <c r="M12" s="8" t="s">
        <v>18</v>
      </c>
      <c r="N12" s="9">
        <f>MAX(N136:N288)</f>
        <v>331.78283799993994</v>
      </c>
      <c r="O12" s="9">
        <f>MAX(O136:O288)</f>
        <v>59.146227800004183</v>
      </c>
      <c r="P12" s="9">
        <f>MAX(P136:P288)</f>
        <v>27.356602800002321</v>
      </c>
      <c r="Q12" s="9">
        <f>MAX(Q136:Q288)</f>
        <v>409.43980849993301</v>
      </c>
      <c r="S12" s="8" t="s">
        <v>18</v>
      </c>
      <c r="T12" s="9">
        <f>MAX(T136:T288)</f>
        <v>331.63047630000113</v>
      </c>
      <c r="U12" s="9">
        <f>MAX(U136:U288)</f>
        <v>64.319580999985334</v>
      </c>
      <c r="V12" s="9">
        <f>MAX(V136:V288)</f>
        <v>26.534722700002138</v>
      </c>
      <c r="W12" s="9">
        <f>MAX(W136:W288)</f>
        <v>415.20311830001162</v>
      </c>
      <c r="Z12" s="8" t="s">
        <v>18</v>
      </c>
      <c r="AA12" s="9">
        <f>MAX(AA136:AA288)</f>
        <v>296.04078880000117</v>
      </c>
      <c r="AB12" s="9">
        <f>MAX(AB136:AB288)</f>
        <v>65.600728600010271</v>
      </c>
      <c r="AC12" s="9">
        <f>MAX(AC136:AC288)</f>
        <v>26.748950399999508</v>
      </c>
      <c r="AD12" s="9">
        <f>MAX(AD136:AD288)</f>
        <v>383.41039550000477</v>
      </c>
      <c r="AF12" s="8" t="s">
        <v>18</v>
      </c>
      <c r="AG12" s="9">
        <f>MAX(AG136:AG288)</f>
        <v>0</v>
      </c>
      <c r="AH12" s="9">
        <f>MAX(AH136:AH288)</f>
        <v>0</v>
      </c>
      <c r="AI12" s="9">
        <f>MAX(AI136:AI288)</f>
        <v>0</v>
      </c>
      <c r="AJ12" s="9">
        <f>MAX(AJ136:AJ288)</f>
        <v>0</v>
      </c>
      <c r="AL12" s="8" t="s">
        <v>18</v>
      </c>
      <c r="AM12" s="9">
        <f>MAX(AM136:AM288)</f>
        <v>0</v>
      </c>
      <c r="AN12" s="9">
        <f>MAX(AN136:AN288)</f>
        <v>0</v>
      </c>
      <c r="AO12" s="9">
        <f>MAX(AO136:AO288)</f>
        <v>0</v>
      </c>
      <c r="AP12" s="9">
        <f>MAX(AP136:AP288)</f>
        <v>0</v>
      </c>
    </row>
    <row r="13" spans="1:44" x14ac:dyDescent="0.3">
      <c r="D13" t="s">
        <v>17</v>
      </c>
      <c r="E13" s="9">
        <f>SUM(B12:D12)</f>
        <v>425.42133590001242</v>
      </c>
      <c r="J13" t="s">
        <v>17</v>
      </c>
      <c r="K13" s="9">
        <f>SUM(H12:J12)</f>
        <v>370.11666469997465</v>
      </c>
      <c r="P13" t="s">
        <v>17</v>
      </c>
      <c r="Q13" s="9">
        <f>SUM(N12:P12)</f>
        <v>418.28566859994646</v>
      </c>
      <c r="V13" t="s">
        <v>17</v>
      </c>
      <c r="W13" s="9">
        <f>SUM(T12:V12)</f>
        <v>422.48477999998863</v>
      </c>
      <c r="AC13" t="s">
        <v>17</v>
      </c>
      <c r="AD13" s="9">
        <f>SUM(AA12:AC12)</f>
        <v>388.39046780001092</v>
      </c>
      <c r="AI13" t="s">
        <v>17</v>
      </c>
      <c r="AJ13" s="9">
        <f>SUM(AG12:AI12)</f>
        <v>0</v>
      </c>
      <c r="AO13" t="s">
        <v>17</v>
      </c>
      <c r="AP13" s="9">
        <f>SUM(AM12:AO12)</f>
        <v>0</v>
      </c>
    </row>
    <row r="14" spans="1:44" ht="23.25" customHeight="1" x14ac:dyDescent="0.3">
      <c r="A14" s="134" t="s">
        <v>22</v>
      </c>
      <c r="B14" s="134"/>
      <c r="C14" s="134"/>
      <c r="D14" s="134"/>
      <c r="E14" s="134"/>
      <c r="G14" s="134" t="s">
        <v>36</v>
      </c>
      <c r="H14" s="134"/>
      <c r="I14" s="134"/>
      <c r="J14" s="134"/>
      <c r="K14" s="134"/>
      <c r="M14" s="134" t="s">
        <v>50</v>
      </c>
      <c r="N14" s="134"/>
      <c r="O14" s="134"/>
      <c r="P14" s="134"/>
      <c r="Q14" s="134"/>
      <c r="S14" s="134" t="s">
        <v>51</v>
      </c>
      <c r="T14" s="134"/>
      <c r="U14" s="134"/>
      <c r="V14" s="134"/>
      <c r="W14" s="134"/>
      <c r="Z14" s="134" t="s">
        <v>57</v>
      </c>
      <c r="AA14" s="134"/>
      <c r="AB14" s="134"/>
      <c r="AC14" s="134"/>
      <c r="AD14" s="134"/>
      <c r="AF14" s="134" t="s">
        <v>58</v>
      </c>
      <c r="AG14" s="134"/>
      <c r="AH14" s="134"/>
      <c r="AI14" s="134"/>
      <c r="AJ14" s="134"/>
      <c r="AL14" s="134" t="s">
        <v>59</v>
      </c>
      <c r="AM14" s="134"/>
      <c r="AN14" s="134"/>
      <c r="AO14" s="134"/>
      <c r="AP14" s="134"/>
    </row>
    <row r="15" spans="1:44" x14ac:dyDescent="0.3">
      <c r="A15" s="135" t="s">
        <v>0</v>
      </c>
      <c r="B15" s="135" t="s">
        <v>19</v>
      </c>
      <c r="C15" s="24" t="s">
        <v>1</v>
      </c>
      <c r="D15" s="135" t="s">
        <v>2</v>
      </c>
      <c r="E15" s="135" t="s">
        <v>20</v>
      </c>
      <c r="G15" s="135" t="s">
        <v>0</v>
      </c>
      <c r="H15" s="135" t="s">
        <v>19</v>
      </c>
      <c r="I15" s="24" t="s">
        <v>1</v>
      </c>
      <c r="J15" s="135" t="s">
        <v>2</v>
      </c>
      <c r="K15" s="135" t="s">
        <v>33</v>
      </c>
      <c r="M15" s="135" t="s">
        <v>0</v>
      </c>
      <c r="N15" s="135" t="s">
        <v>19</v>
      </c>
      <c r="O15" s="24" t="s">
        <v>1</v>
      </c>
      <c r="P15" s="135" t="s">
        <v>2</v>
      </c>
      <c r="Q15" s="135" t="s">
        <v>41</v>
      </c>
      <c r="S15" s="135" t="s">
        <v>0</v>
      </c>
      <c r="T15" s="135" t="s">
        <v>19</v>
      </c>
      <c r="U15" s="24" t="s">
        <v>1</v>
      </c>
      <c r="V15" s="135" t="s">
        <v>2</v>
      </c>
      <c r="W15" s="135" t="s">
        <v>49</v>
      </c>
      <c r="Z15" s="135" t="s">
        <v>0</v>
      </c>
      <c r="AA15" s="135" t="s">
        <v>19</v>
      </c>
      <c r="AB15" s="24" t="s">
        <v>1</v>
      </c>
      <c r="AC15" s="135" t="s">
        <v>2</v>
      </c>
      <c r="AD15" s="135" t="s">
        <v>56</v>
      </c>
      <c r="AF15" s="135" t="s">
        <v>0</v>
      </c>
      <c r="AG15" s="135" t="s">
        <v>19</v>
      </c>
      <c r="AH15" s="24" t="s">
        <v>1</v>
      </c>
      <c r="AI15" s="135" t="s">
        <v>2</v>
      </c>
      <c r="AJ15" s="135" t="s">
        <v>56</v>
      </c>
      <c r="AL15" s="135" t="s">
        <v>0</v>
      </c>
      <c r="AM15" s="135" t="s">
        <v>19</v>
      </c>
      <c r="AN15" s="24" t="s">
        <v>1</v>
      </c>
      <c r="AO15" s="135" t="s">
        <v>2</v>
      </c>
      <c r="AP15" s="135" t="s">
        <v>56</v>
      </c>
    </row>
    <row r="16" spans="1:44" x14ac:dyDescent="0.3">
      <c r="A16" s="135"/>
      <c r="B16" s="135"/>
      <c r="C16" s="24" t="s">
        <v>3</v>
      </c>
      <c r="D16" s="135"/>
      <c r="E16" s="135"/>
      <c r="F16" s="26">
        <f>SUM(F17:F384)</f>
        <v>123</v>
      </c>
      <c r="G16" s="135"/>
      <c r="H16" s="135"/>
      <c r="I16" s="24" t="s">
        <v>3</v>
      </c>
      <c r="J16" s="135"/>
      <c r="K16" s="135"/>
      <c r="L16" s="26">
        <f>SUM(L17:L384)</f>
        <v>122</v>
      </c>
      <c r="M16" s="135"/>
      <c r="N16" s="135"/>
      <c r="O16" s="24" t="s">
        <v>3</v>
      </c>
      <c r="P16" s="135"/>
      <c r="Q16" s="135"/>
      <c r="R16" s="26">
        <f>SUM(R17:R384)</f>
        <v>121</v>
      </c>
      <c r="S16" s="135"/>
      <c r="T16" s="135"/>
      <c r="U16" s="24" t="s">
        <v>3</v>
      </c>
      <c r="V16" s="135"/>
      <c r="W16" s="135"/>
      <c r="X16" s="26">
        <f>SUM(X17:X384)</f>
        <v>121</v>
      </c>
      <c r="Z16" s="135"/>
      <c r="AA16" s="135"/>
      <c r="AB16" s="24" t="s">
        <v>3</v>
      </c>
      <c r="AC16" s="135"/>
      <c r="AD16" s="135"/>
      <c r="AE16" s="26">
        <f>SUM(AE17:AE385)</f>
        <v>32</v>
      </c>
      <c r="AF16" s="135"/>
      <c r="AG16" s="135"/>
      <c r="AH16" s="24" t="s">
        <v>3</v>
      </c>
      <c r="AI16" s="135"/>
      <c r="AJ16" s="135"/>
      <c r="AK16" s="26">
        <f>SUM(AK17:AK385)</f>
        <v>0</v>
      </c>
      <c r="AL16" s="135"/>
      <c r="AM16" s="135"/>
      <c r="AN16" s="24" t="s">
        <v>3</v>
      </c>
      <c r="AO16" s="135"/>
      <c r="AP16" s="135"/>
      <c r="AQ16" s="26">
        <f>SUM(AQ17:AQ385)</f>
        <v>0</v>
      </c>
      <c r="AR16" s="26"/>
    </row>
    <row r="17" spans="1:43" x14ac:dyDescent="0.3">
      <c r="A17" s="5">
        <v>43466</v>
      </c>
      <c r="B17" s="6">
        <v>163.80269959998131</v>
      </c>
      <c r="C17" s="25">
        <v>30.458418899999931</v>
      </c>
      <c r="D17" s="6">
        <v>11.271000000000001</v>
      </c>
      <c r="E17" s="6">
        <f>SUM(B17:D17)</f>
        <v>205.53211849998127</v>
      </c>
      <c r="F17">
        <f t="shared" ref="F17:F80" si="10">IF(E17&gt;321500,1,0)</f>
        <v>0</v>
      </c>
      <c r="G17" s="5">
        <f>'TOTAL GMAG '!J30</f>
        <v>43831</v>
      </c>
      <c r="H17" s="6">
        <v>168.06007880008221</v>
      </c>
      <c r="I17" s="25">
        <v>33.361565500002357</v>
      </c>
      <c r="J17" s="6">
        <v>10.881</v>
      </c>
      <c r="K17" s="6">
        <f>SUM(H17:J17)</f>
        <v>212.30264430008455</v>
      </c>
      <c r="L17">
        <f t="shared" ref="L17:L80" si="11">IF(K17&gt;321500,1,0)</f>
        <v>0</v>
      </c>
      <c r="M17" s="5">
        <v>44197</v>
      </c>
      <c r="N17" s="6">
        <v>151.68467589998247</v>
      </c>
      <c r="O17" s="25">
        <v>33.905007899999617</v>
      </c>
      <c r="P17" s="6">
        <v>13.099</v>
      </c>
      <c r="Q17" s="6">
        <f>SUM(N17:P17)</f>
        <v>198.68868379998207</v>
      </c>
      <c r="R17">
        <f t="shared" ref="R17:R76" si="12">IF(Q17&gt;321500,1,0)</f>
        <v>0</v>
      </c>
      <c r="S17" s="5">
        <v>44562</v>
      </c>
      <c r="T17" s="6">
        <v>149.70565209996701</v>
      </c>
      <c r="U17" s="25">
        <v>38.591486800000069</v>
      </c>
      <c r="V17" s="6">
        <v>7.0211150999998209</v>
      </c>
      <c r="W17" s="6">
        <f>SUM(T17:V17)</f>
        <v>195.31825399996691</v>
      </c>
      <c r="X17">
        <f t="shared" ref="X17:X76" si="13">IF(W17&gt;321500,1,0)</f>
        <v>0</v>
      </c>
      <c r="Z17" s="5">
        <v>44562</v>
      </c>
      <c r="AA17" s="6">
        <v>147.62816190004349</v>
      </c>
      <c r="AB17" s="25">
        <v>41.791709999993444</v>
      </c>
      <c r="AC17" s="6">
        <v>10.397800399999134</v>
      </c>
      <c r="AD17" s="6">
        <f>SUM(AA17:AC17)</f>
        <v>199.81767230003607</v>
      </c>
      <c r="AE17">
        <f t="shared" ref="AE17:AE76" si="14">IF(AD17&gt;321500,1,0)</f>
        <v>0</v>
      </c>
      <c r="AF17" s="5">
        <v>45292</v>
      </c>
      <c r="AG17" s="6"/>
      <c r="AH17" s="25"/>
      <c r="AI17" s="6"/>
      <c r="AJ17" s="6">
        <f>SUM(AG17:AI17)</f>
        <v>0</v>
      </c>
      <c r="AK17">
        <f t="shared" ref="AK17:AK76" si="15">IF(AJ17&gt;321500,1,0)</f>
        <v>0</v>
      </c>
      <c r="AL17" s="5">
        <v>45658</v>
      </c>
      <c r="AM17" s="6"/>
      <c r="AN17" s="25"/>
      <c r="AO17" s="6"/>
      <c r="AP17" s="6">
        <f>SUM(AM17:AO17)</f>
        <v>0</v>
      </c>
      <c r="AQ17">
        <f t="shared" ref="AQ17:AQ76" si="16">IF(AP17&gt;321500,1,0)</f>
        <v>0</v>
      </c>
    </row>
    <row r="18" spans="1:43" ht="45.5" x14ac:dyDescent="0.95">
      <c r="A18" s="5">
        <f>A17+1</f>
        <v>43467</v>
      </c>
      <c r="B18" s="6">
        <v>212.52606249999999</v>
      </c>
      <c r="C18" s="25">
        <v>41.959037100000309</v>
      </c>
      <c r="D18" s="6">
        <v>19.451000000000001</v>
      </c>
      <c r="E18" s="6">
        <f t="shared" ref="E18:E81" si="17">SUM(B18:D18)</f>
        <v>273.93609960000032</v>
      </c>
      <c r="F18">
        <f t="shared" si="10"/>
        <v>0</v>
      </c>
      <c r="G18" s="5">
        <f>G17+1</f>
        <v>43832</v>
      </c>
      <c r="H18" s="6">
        <v>206.12153020000457</v>
      </c>
      <c r="I18" s="25">
        <v>43.755361600000413</v>
      </c>
      <c r="J18" s="6">
        <v>20.692</v>
      </c>
      <c r="K18" s="6">
        <f t="shared" ref="K18:K81" si="18">SUM(H18:J18)</f>
        <v>270.56889180000496</v>
      </c>
      <c r="L18">
        <f t="shared" si="11"/>
        <v>0</v>
      </c>
      <c r="M18" s="5">
        <f>M17+1</f>
        <v>44198</v>
      </c>
      <c r="N18" s="6">
        <v>162.53983249998092</v>
      </c>
      <c r="O18" s="25">
        <v>38.881281300000843</v>
      </c>
      <c r="P18" s="6">
        <v>21.1036</v>
      </c>
      <c r="Q18" s="6">
        <f t="shared" ref="Q18:Q76" si="19">SUM(N18:P18)</f>
        <v>222.52471379998175</v>
      </c>
      <c r="R18">
        <f t="shared" si="12"/>
        <v>0</v>
      </c>
      <c r="S18" s="5">
        <f>S17+1</f>
        <v>44563</v>
      </c>
      <c r="T18" s="6">
        <v>139.21134160006045</v>
      </c>
      <c r="U18" s="25">
        <v>40.951601400002836</v>
      </c>
      <c r="V18" s="6">
        <v>10.170458300003084</v>
      </c>
      <c r="W18" s="6">
        <f t="shared" ref="W18:W81" si="20">SUM(T18:V18)</f>
        <v>190.33340130006636</v>
      </c>
      <c r="X18">
        <f t="shared" si="13"/>
        <v>0</v>
      </c>
      <c r="Z18" s="5">
        <f>Z17+1</f>
        <v>44563</v>
      </c>
      <c r="AA18" s="6">
        <v>159.44386380004883</v>
      </c>
      <c r="AB18" s="25">
        <v>45.505634100005032</v>
      </c>
      <c r="AC18" s="6">
        <v>10.380143600001</v>
      </c>
      <c r="AD18" s="6">
        <f t="shared" ref="AD18:AD81" si="21">SUM(AA18:AC18)</f>
        <v>215.32964150005486</v>
      </c>
      <c r="AE18">
        <f t="shared" si="14"/>
        <v>0</v>
      </c>
      <c r="AF18" s="5">
        <f>AF17+1</f>
        <v>45293</v>
      </c>
      <c r="AG18" s="136" t="s">
        <v>73</v>
      </c>
      <c r="AH18" s="137"/>
      <c r="AI18" s="137"/>
      <c r="AJ18" s="138"/>
      <c r="AK18">
        <f t="shared" si="15"/>
        <v>0</v>
      </c>
      <c r="AL18" s="5">
        <f>AL17+1</f>
        <v>45659</v>
      </c>
      <c r="AM18" s="136" t="s">
        <v>73</v>
      </c>
      <c r="AN18" s="137"/>
      <c r="AO18" s="137"/>
      <c r="AP18" s="138"/>
      <c r="AQ18">
        <f t="shared" si="16"/>
        <v>0</v>
      </c>
    </row>
    <row r="19" spans="1:43" x14ac:dyDescent="0.3">
      <c r="A19" s="5">
        <f t="shared" ref="A19:A82" si="22">A18+1</f>
        <v>43468</v>
      </c>
      <c r="B19" s="6">
        <v>212.14311360001565</v>
      </c>
      <c r="C19" s="25">
        <v>41.62242650000006</v>
      </c>
      <c r="D19" s="6">
        <v>20.411000000000001</v>
      </c>
      <c r="E19" s="6">
        <f t="shared" si="17"/>
        <v>274.1765401000157</v>
      </c>
      <c r="F19">
        <f t="shared" si="10"/>
        <v>0</v>
      </c>
      <c r="G19" s="5">
        <f t="shared" ref="G19:G82" si="23">G18+1</f>
        <v>43833</v>
      </c>
      <c r="H19" s="6">
        <v>217.17389069998265</v>
      </c>
      <c r="I19" s="25">
        <v>47.464518999997523</v>
      </c>
      <c r="J19" s="6">
        <v>24.46</v>
      </c>
      <c r="K19" s="6">
        <f t="shared" si="18"/>
        <v>289.09840969998015</v>
      </c>
      <c r="L19">
        <f t="shared" si="11"/>
        <v>0</v>
      </c>
      <c r="M19" s="5">
        <f t="shared" ref="M19:M82" si="24">M18+1</f>
        <v>44199</v>
      </c>
      <c r="N19" s="6">
        <v>158.03460370004177</v>
      </c>
      <c r="O19" s="25">
        <v>38.936233600005508</v>
      </c>
      <c r="P19" s="6">
        <v>17.183499999999999</v>
      </c>
      <c r="Q19" s="6">
        <f t="shared" si="19"/>
        <v>214.15433730004727</v>
      </c>
      <c r="R19">
        <f t="shared" si="12"/>
        <v>0</v>
      </c>
      <c r="S19" s="5">
        <f t="shared" ref="S19:S82" si="25">S18+1</f>
        <v>44564</v>
      </c>
      <c r="T19" s="6">
        <v>232.10694299995899</v>
      </c>
      <c r="U19" s="25">
        <v>53.922939899995924</v>
      </c>
      <c r="V19" s="6">
        <v>18.793125699997066</v>
      </c>
      <c r="W19" s="6">
        <f t="shared" si="20"/>
        <v>304.823008599952</v>
      </c>
      <c r="X19">
        <f t="shared" si="13"/>
        <v>0</v>
      </c>
      <c r="Z19" s="5">
        <f t="shared" ref="Z19:Z82" si="26">Z18+1</f>
        <v>44564</v>
      </c>
      <c r="AA19" s="6">
        <v>197.02677660000325</v>
      </c>
      <c r="AB19" s="25">
        <v>52.338848900005225</v>
      </c>
      <c r="AC19" s="6">
        <v>17.17506109999912</v>
      </c>
      <c r="AD19" s="6">
        <f t="shared" si="21"/>
        <v>266.54068660000758</v>
      </c>
      <c r="AE19">
        <f t="shared" si="14"/>
        <v>0</v>
      </c>
      <c r="AF19" s="5">
        <f t="shared" ref="AF19:AF82" si="27">AF18+1</f>
        <v>45294</v>
      </c>
      <c r="AG19" s="6"/>
      <c r="AH19" s="25"/>
      <c r="AI19" s="6"/>
      <c r="AJ19" s="6">
        <f t="shared" ref="AJ19:AJ81" si="28">SUM(AG19:AI19)</f>
        <v>0</v>
      </c>
      <c r="AK19">
        <f t="shared" si="15"/>
        <v>0</v>
      </c>
      <c r="AL19" s="5">
        <f t="shared" ref="AL19:AL82" si="29">AL18+1</f>
        <v>45660</v>
      </c>
      <c r="AM19" s="6"/>
      <c r="AN19" s="25"/>
      <c r="AO19" s="6"/>
      <c r="AP19" s="6">
        <f t="shared" ref="AP19:AP81" si="30">SUM(AM19:AO19)</f>
        <v>0</v>
      </c>
      <c r="AQ19">
        <f t="shared" si="16"/>
        <v>0</v>
      </c>
    </row>
    <row r="20" spans="1:43" x14ac:dyDescent="0.3">
      <c r="A20" s="5">
        <f t="shared" si="22"/>
        <v>43469</v>
      </c>
      <c r="B20" s="6">
        <v>209.97154710000754</v>
      </c>
      <c r="C20" s="25">
        <v>42.877651399999856</v>
      </c>
      <c r="D20" s="6">
        <v>20.565000000000001</v>
      </c>
      <c r="E20" s="6">
        <f t="shared" si="17"/>
        <v>273.41419850000739</v>
      </c>
      <c r="F20">
        <f t="shared" si="10"/>
        <v>0</v>
      </c>
      <c r="G20" s="5">
        <f t="shared" si="23"/>
        <v>43834</v>
      </c>
      <c r="H20" s="6">
        <v>202.74749049997331</v>
      </c>
      <c r="I20" s="25">
        <v>43.974466000001875</v>
      </c>
      <c r="J20" s="6">
        <v>18.193999999999999</v>
      </c>
      <c r="K20" s="6">
        <f t="shared" si="18"/>
        <v>264.91595649997521</v>
      </c>
      <c r="L20">
        <f t="shared" si="11"/>
        <v>0</v>
      </c>
      <c r="M20" s="5">
        <f t="shared" si="24"/>
        <v>44200</v>
      </c>
      <c r="N20" s="6">
        <v>193.24037949991225</v>
      </c>
      <c r="O20" s="25">
        <v>48.673993099994959</v>
      </c>
      <c r="P20" s="6">
        <v>25.271000000000001</v>
      </c>
      <c r="Q20" s="6">
        <f t="shared" si="19"/>
        <v>267.18537259990723</v>
      </c>
      <c r="R20">
        <f t="shared" si="12"/>
        <v>0</v>
      </c>
      <c r="S20" s="5">
        <f t="shared" si="25"/>
        <v>44565</v>
      </c>
      <c r="T20" s="6">
        <v>211.46926450002192</v>
      </c>
      <c r="U20" s="25">
        <v>52.978210500001907</v>
      </c>
      <c r="V20" s="6">
        <v>18.459225600001986</v>
      </c>
      <c r="W20" s="6">
        <f t="shared" si="20"/>
        <v>282.90670060002583</v>
      </c>
      <c r="X20">
        <f t="shared" si="13"/>
        <v>0</v>
      </c>
      <c r="Z20" s="5">
        <f t="shared" si="26"/>
        <v>44565</v>
      </c>
      <c r="AA20" s="6">
        <v>205.02641749989988</v>
      </c>
      <c r="AB20" s="25">
        <v>57.040592399999497</v>
      </c>
      <c r="AC20" s="6">
        <v>18.163750899998938</v>
      </c>
      <c r="AD20" s="6">
        <f t="shared" si="21"/>
        <v>280.23076079989835</v>
      </c>
      <c r="AE20">
        <f t="shared" si="14"/>
        <v>0</v>
      </c>
      <c r="AF20" s="5">
        <f t="shared" si="27"/>
        <v>45295</v>
      </c>
      <c r="AG20" s="6"/>
      <c r="AH20" s="25"/>
      <c r="AI20" s="6"/>
      <c r="AJ20" s="6">
        <f t="shared" si="28"/>
        <v>0</v>
      </c>
      <c r="AK20">
        <f t="shared" si="15"/>
        <v>0</v>
      </c>
      <c r="AL20" s="5">
        <f t="shared" si="29"/>
        <v>45661</v>
      </c>
      <c r="AM20" s="6"/>
      <c r="AN20" s="25"/>
      <c r="AO20" s="6"/>
      <c r="AP20" s="6">
        <f t="shared" si="30"/>
        <v>0</v>
      </c>
      <c r="AQ20">
        <f t="shared" si="16"/>
        <v>0</v>
      </c>
    </row>
    <row r="21" spans="1:43" x14ac:dyDescent="0.3">
      <c r="A21" s="5">
        <f t="shared" si="22"/>
        <v>43470</v>
      </c>
      <c r="B21" s="6">
        <v>194.04295620000363</v>
      </c>
      <c r="C21" s="25">
        <v>42.319043499998749</v>
      </c>
      <c r="D21" s="6">
        <v>16.541</v>
      </c>
      <c r="E21" s="6">
        <f t="shared" si="17"/>
        <v>252.90299970000237</v>
      </c>
      <c r="F21">
        <f t="shared" si="10"/>
        <v>0</v>
      </c>
      <c r="G21" s="5">
        <f t="shared" si="23"/>
        <v>43835</v>
      </c>
      <c r="H21" s="6">
        <v>188.27196230006217</v>
      </c>
      <c r="I21" s="25">
        <v>39.079392499998214</v>
      </c>
      <c r="J21" s="6">
        <v>18.047549999999998</v>
      </c>
      <c r="K21" s="6">
        <f t="shared" si="18"/>
        <v>245.39890480006039</v>
      </c>
      <c r="L21">
        <f t="shared" si="11"/>
        <v>0</v>
      </c>
      <c r="M21" s="5">
        <f t="shared" si="24"/>
        <v>44201</v>
      </c>
      <c r="N21" s="6">
        <v>185.02831290006637</v>
      </c>
      <c r="O21" s="25">
        <v>50.402536200001833</v>
      </c>
      <c r="P21" s="6">
        <v>23.337</v>
      </c>
      <c r="Q21" s="6">
        <f t="shared" si="19"/>
        <v>258.76784910006819</v>
      </c>
      <c r="R21">
        <f t="shared" si="12"/>
        <v>0</v>
      </c>
      <c r="S21" s="5">
        <f t="shared" si="25"/>
        <v>44566</v>
      </c>
      <c r="T21" s="6">
        <v>202.02804149997235</v>
      </c>
      <c r="U21" s="25">
        <v>51.998988200001421</v>
      </c>
      <c r="V21" s="6">
        <v>19.610637999998637</v>
      </c>
      <c r="W21" s="6">
        <f t="shared" si="20"/>
        <v>273.63766769997238</v>
      </c>
      <c r="X21">
        <f t="shared" si="13"/>
        <v>0</v>
      </c>
      <c r="Z21" s="5">
        <f t="shared" si="26"/>
        <v>44566</v>
      </c>
      <c r="AA21" s="6">
        <v>222.55135780000685</v>
      </c>
      <c r="AB21" s="25">
        <v>57.639956100001932</v>
      </c>
      <c r="AC21" s="6">
        <v>19.683743800000752</v>
      </c>
      <c r="AD21" s="6">
        <f t="shared" si="21"/>
        <v>299.87505770000951</v>
      </c>
      <c r="AE21">
        <f t="shared" si="14"/>
        <v>0</v>
      </c>
      <c r="AF21" s="5">
        <f t="shared" si="27"/>
        <v>45296</v>
      </c>
      <c r="AG21" s="6"/>
      <c r="AH21" s="25"/>
      <c r="AI21" s="6"/>
      <c r="AJ21" s="6">
        <f t="shared" si="28"/>
        <v>0</v>
      </c>
      <c r="AK21">
        <f t="shared" si="15"/>
        <v>0</v>
      </c>
      <c r="AL21" s="5">
        <f t="shared" si="29"/>
        <v>45662</v>
      </c>
      <c r="AM21" s="6"/>
      <c r="AN21" s="25"/>
      <c r="AO21" s="6"/>
      <c r="AP21" s="6">
        <f t="shared" si="30"/>
        <v>0</v>
      </c>
      <c r="AQ21">
        <f t="shared" si="16"/>
        <v>0</v>
      </c>
    </row>
    <row r="22" spans="1:43" x14ac:dyDescent="0.3">
      <c r="A22" s="5">
        <f t="shared" si="22"/>
        <v>43471</v>
      </c>
      <c r="B22" s="6">
        <v>179.75312229996919</v>
      </c>
      <c r="C22" s="25">
        <v>38.986294900000097</v>
      </c>
      <c r="D22" s="6">
        <v>12.651</v>
      </c>
      <c r="E22" s="6">
        <f t="shared" si="17"/>
        <v>231.39041719996931</v>
      </c>
      <c r="F22">
        <f t="shared" si="10"/>
        <v>0</v>
      </c>
      <c r="G22" s="5">
        <f t="shared" si="23"/>
        <v>43836</v>
      </c>
      <c r="H22" s="6">
        <v>215.55979119992256</v>
      </c>
      <c r="I22" s="25">
        <v>45.592987300001084</v>
      </c>
      <c r="J22" s="6">
        <v>26.852</v>
      </c>
      <c r="K22" s="6">
        <f t="shared" si="18"/>
        <v>288.00477849992365</v>
      </c>
      <c r="L22">
        <f t="shared" si="11"/>
        <v>0</v>
      </c>
      <c r="M22" s="5">
        <f t="shared" si="24"/>
        <v>44202</v>
      </c>
      <c r="N22" s="6">
        <v>212.88040709996224</v>
      </c>
      <c r="O22" s="25">
        <v>50.724076099999252</v>
      </c>
      <c r="P22" s="6">
        <v>22.004999999999999</v>
      </c>
      <c r="Q22" s="6">
        <f t="shared" si="19"/>
        <v>285.60948319996146</v>
      </c>
      <c r="R22">
        <f t="shared" si="12"/>
        <v>0</v>
      </c>
      <c r="S22" s="5">
        <f t="shared" si="25"/>
        <v>44567</v>
      </c>
      <c r="T22" s="6">
        <v>217.19397609996795</v>
      </c>
      <c r="U22" s="25">
        <v>52.896884800001978</v>
      </c>
      <c r="V22" s="6">
        <v>21.149512400002102</v>
      </c>
      <c r="W22" s="6">
        <f t="shared" si="20"/>
        <v>291.24037329997202</v>
      </c>
      <c r="X22">
        <f t="shared" si="13"/>
        <v>0</v>
      </c>
      <c r="Z22" s="5">
        <f t="shared" si="26"/>
        <v>44567</v>
      </c>
      <c r="AA22" s="6">
        <v>235.7716019999981</v>
      </c>
      <c r="AB22" s="25">
        <v>56.61812939999998</v>
      </c>
      <c r="AC22" s="6">
        <v>21.566830199997874</v>
      </c>
      <c r="AD22" s="6">
        <f t="shared" si="21"/>
        <v>313.95656159999595</v>
      </c>
      <c r="AE22">
        <f t="shared" si="14"/>
        <v>0</v>
      </c>
      <c r="AF22" s="5">
        <f t="shared" si="27"/>
        <v>45297</v>
      </c>
      <c r="AG22" s="6"/>
      <c r="AH22" s="25"/>
      <c r="AI22" s="6"/>
      <c r="AJ22" s="6">
        <f t="shared" si="28"/>
        <v>0</v>
      </c>
      <c r="AK22">
        <f t="shared" si="15"/>
        <v>0</v>
      </c>
      <c r="AL22" s="5">
        <f t="shared" si="29"/>
        <v>45663</v>
      </c>
      <c r="AM22" s="6"/>
      <c r="AN22" s="25"/>
      <c r="AO22" s="6"/>
      <c r="AP22" s="6">
        <f t="shared" si="30"/>
        <v>0</v>
      </c>
      <c r="AQ22">
        <f t="shared" si="16"/>
        <v>0</v>
      </c>
    </row>
    <row r="23" spans="1:43" x14ac:dyDescent="0.3">
      <c r="A23" s="5">
        <f t="shared" si="22"/>
        <v>43472</v>
      </c>
      <c r="B23" s="6">
        <v>221.0150489000082</v>
      </c>
      <c r="C23" s="25">
        <v>44.886492600001397</v>
      </c>
      <c r="D23" s="6">
        <v>18.831</v>
      </c>
      <c r="E23" s="6">
        <f t="shared" si="17"/>
        <v>284.73254150000963</v>
      </c>
      <c r="F23">
        <f t="shared" si="10"/>
        <v>0</v>
      </c>
      <c r="G23" s="5">
        <f t="shared" si="23"/>
        <v>43837</v>
      </c>
      <c r="H23" s="6">
        <v>250.16223199999334</v>
      </c>
      <c r="I23" s="25">
        <v>45.844474199999127</v>
      </c>
      <c r="J23" s="6">
        <v>26.186</v>
      </c>
      <c r="K23" s="6">
        <f t="shared" si="18"/>
        <v>322.19270619999241</v>
      </c>
      <c r="L23">
        <f t="shared" si="11"/>
        <v>0</v>
      </c>
      <c r="M23" s="5">
        <f t="shared" si="24"/>
        <v>44203</v>
      </c>
      <c r="N23" s="6">
        <v>185.68422510004044</v>
      </c>
      <c r="O23" s="25">
        <v>50.442420900002119</v>
      </c>
      <c r="P23" s="6">
        <v>22.556999999999999</v>
      </c>
      <c r="Q23" s="6">
        <f t="shared" si="19"/>
        <v>258.68364600004259</v>
      </c>
      <c r="R23">
        <f t="shared" si="12"/>
        <v>0</v>
      </c>
      <c r="S23" s="5">
        <f t="shared" si="25"/>
        <v>44568</v>
      </c>
      <c r="T23" s="6">
        <v>233.3743995000124</v>
      </c>
      <c r="U23" s="25">
        <v>44.238325599998234</v>
      </c>
      <c r="V23" s="6">
        <v>22.716140499998232</v>
      </c>
      <c r="W23" s="6">
        <f t="shared" si="20"/>
        <v>300.32886560000884</v>
      </c>
      <c r="X23">
        <f t="shared" si="13"/>
        <v>0</v>
      </c>
      <c r="Z23" s="5">
        <f t="shared" si="26"/>
        <v>44568</v>
      </c>
      <c r="AA23" s="6">
        <v>215.1935135999918</v>
      </c>
      <c r="AB23" s="25">
        <v>56.278815899997952</v>
      </c>
      <c r="AC23" s="6">
        <v>20.033977900000753</v>
      </c>
      <c r="AD23" s="6">
        <f t="shared" si="21"/>
        <v>291.50630739999053</v>
      </c>
      <c r="AE23">
        <f t="shared" si="14"/>
        <v>0</v>
      </c>
      <c r="AF23" s="5">
        <f t="shared" si="27"/>
        <v>45298</v>
      </c>
      <c r="AG23" s="6"/>
      <c r="AH23" s="25"/>
      <c r="AI23" s="6"/>
      <c r="AJ23" s="6">
        <f t="shared" si="28"/>
        <v>0</v>
      </c>
      <c r="AK23">
        <f t="shared" si="15"/>
        <v>0</v>
      </c>
      <c r="AL23" s="5">
        <f t="shared" si="29"/>
        <v>45664</v>
      </c>
      <c r="AM23" s="6"/>
      <c r="AN23" s="25"/>
      <c r="AO23" s="6"/>
      <c r="AP23" s="6">
        <f t="shared" si="30"/>
        <v>0</v>
      </c>
      <c r="AQ23">
        <f t="shared" si="16"/>
        <v>0</v>
      </c>
    </row>
    <row r="24" spans="1:43" x14ac:dyDescent="0.3">
      <c r="A24" s="5">
        <f t="shared" si="22"/>
        <v>43473</v>
      </c>
      <c r="B24" s="6">
        <v>236.2224769000411</v>
      </c>
      <c r="C24" s="25">
        <v>44.616448799999432</v>
      </c>
      <c r="D24" s="6">
        <v>20.082000000000001</v>
      </c>
      <c r="E24" s="6">
        <f t="shared" si="17"/>
        <v>300.92092570004053</v>
      </c>
      <c r="F24">
        <f t="shared" si="10"/>
        <v>0</v>
      </c>
      <c r="G24" s="5">
        <f t="shared" si="23"/>
        <v>43838</v>
      </c>
      <c r="H24" s="6">
        <v>263.17972769999506</v>
      </c>
      <c r="I24" s="25">
        <v>45.994271900001912</v>
      </c>
      <c r="J24" s="6">
        <v>26.567</v>
      </c>
      <c r="K24" s="6">
        <f t="shared" si="18"/>
        <v>335.740999599997</v>
      </c>
      <c r="L24">
        <f t="shared" si="11"/>
        <v>0</v>
      </c>
      <c r="M24" s="5">
        <f t="shared" si="24"/>
        <v>44204</v>
      </c>
      <c r="N24" s="6">
        <v>194.75827319991589</v>
      </c>
      <c r="O24" s="25">
        <v>49.710388399995864</v>
      </c>
      <c r="P24" s="6">
        <v>24.38</v>
      </c>
      <c r="Q24" s="6">
        <f t="shared" si="19"/>
        <v>268.84866159991174</v>
      </c>
      <c r="R24">
        <f t="shared" si="12"/>
        <v>0</v>
      </c>
      <c r="S24" s="5">
        <f t="shared" si="25"/>
        <v>44569</v>
      </c>
      <c r="T24" s="6">
        <v>188.37152110004425</v>
      </c>
      <c r="U24" s="25">
        <v>51.979562299996616</v>
      </c>
      <c r="V24" s="6">
        <v>22.028107700001915</v>
      </c>
      <c r="W24" s="6">
        <f t="shared" si="20"/>
        <v>262.37919110004276</v>
      </c>
      <c r="X24">
        <f t="shared" si="13"/>
        <v>0</v>
      </c>
      <c r="Z24" s="5">
        <f t="shared" si="26"/>
        <v>44569</v>
      </c>
      <c r="AA24" s="6">
        <v>202.56642710006238</v>
      </c>
      <c r="AB24" s="25">
        <v>43.414723799988629</v>
      </c>
      <c r="AC24" s="6">
        <v>17.174902700000441</v>
      </c>
      <c r="AD24" s="6">
        <f t="shared" si="21"/>
        <v>263.15605360005145</v>
      </c>
      <c r="AE24">
        <f t="shared" si="14"/>
        <v>0</v>
      </c>
      <c r="AF24" s="5">
        <f t="shared" si="27"/>
        <v>45299</v>
      </c>
      <c r="AG24" s="6"/>
      <c r="AH24" s="25"/>
      <c r="AI24" s="6"/>
      <c r="AJ24" s="6">
        <f t="shared" si="28"/>
        <v>0</v>
      </c>
      <c r="AK24">
        <f t="shared" si="15"/>
        <v>0</v>
      </c>
      <c r="AL24" s="5">
        <f t="shared" si="29"/>
        <v>45665</v>
      </c>
      <c r="AM24" s="6"/>
      <c r="AN24" s="25"/>
      <c r="AO24" s="6"/>
      <c r="AP24" s="6">
        <f t="shared" si="30"/>
        <v>0</v>
      </c>
      <c r="AQ24">
        <f t="shared" si="16"/>
        <v>0</v>
      </c>
    </row>
    <row r="25" spans="1:43" x14ac:dyDescent="0.3">
      <c r="A25" s="5">
        <f t="shared" si="22"/>
        <v>43474</v>
      </c>
      <c r="B25" s="6">
        <v>213.90669409996272</v>
      </c>
      <c r="C25" s="25">
        <v>44.433515100000427</v>
      </c>
      <c r="D25" s="6">
        <v>20.646999999999998</v>
      </c>
      <c r="E25" s="6">
        <f t="shared" si="17"/>
        <v>278.98720919996316</v>
      </c>
      <c r="F25">
        <f t="shared" si="10"/>
        <v>0</v>
      </c>
      <c r="G25" s="5">
        <f t="shared" si="23"/>
        <v>43839</v>
      </c>
      <c r="H25" s="6">
        <v>261.67404830002783</v>
      </c>
      <c r="I25" s="25">
        <v>46.290249800000339</v>
      </c>
      <c r="J25" s="6">
        <v>25.588000000000001</v>
      </c>
      <c r="K25" s="6">
        <f t="shared" si="18"/>
        <v>333.55229810002817</v>
      </c>
      <c r="L25">
        <f t="shared" si="11"/>
        <v>0</v>
      </c>
      <c r="M25" s="5">
        <f t="shared" si="24"/>
        <v>44205</v>
      </c>
      <c r="N25" s="6">
        <v>193.02988750004769</v>
      </c>
      <c r="O25" s="25">
        <v>47.879696700006726</v>
      </c>
      <c r="P25" s="6">
        <v>23.175999999999998</v>
      </c>
      <c r="Q25" s="6">
        <f t="shared" si="19"/>
        <v>264.08558420005443</v>
      </c>
      <c r="R25">
        <f t="shared" si="12"/>
        <v>0</v>
      </c>
      <c r="S25" s="5">
        <f t="shared" si="25"/>
        <v>44570</v>
      </c>
      <c r="T25" s="6">
        <v>170.14370319998264</v>
      </c>
      <c r="U25" s="25">
        <v>41.343334800004961</v>
      </c>
      <c r="V25" s="6">
        <v>12.764146599996952</v>
      </c>
      <c r="W25" s="6">
        <f t="shared" si="20"/>
        <v>224.25118459998455</v>
      </c>
      <c r="X25">
        <f t="shared" si="13"/>
        <v>0</v>
      </c>
      <c r="Z25" s="5">
        <f t="shared" si="26"/>
        <v>44570</v>
      </c>
      <c r="AA25" s="6">
        <v>214.04185899996759</v>
      </c>
      <c r="AB25" s="25">
        <v>57.68177150000632</v>
      </c>
      <c r="AC25" s="6">
        <v>20.995885799998419</v>
      </c>
      <c r="AD25" s="6">
        <f t="shared" si="21"/>
        <v>292.71951629997233</v>
      </c>
      <c r="AE25">
        <f t="shared" si="14"/>
        <v>0</v>
      </c>
      <c r="AF25" s="5">
        <f t="shared" si="27"/>
        <v>45300</v>
      </c>
      <c r="AG25" s="6"/>
      <c r="AH25" s="25"/>
      <c r="AI25" s="6"/>
      <c r="AJ25" s="6">
        <f t="shared" si="28"/>
        <v>0</v>
      </c>
      <c r="AK25">
        <f t="shared" si="15"/>
        <v>0</v>
      </c>
      <c r="AL25" s="5">
        <f t="shared" si="29"/>
        <v>45666</v>
      </c>
      <c r="AM25" s="6"/>
      <c r="AN25" s="25"/>
      <c r="AO25" s="6"/>
      <c r="AP25" s="6">
        <f t="shared" si="30"/>
        <v>0</v>
      </c>
      <c r="AQ25">
        <f t="shared" si="16"/>
        <v>0</v>
      </c>
    </row>
    <row r="26" spans="1:43" x14ac:dyDescent="0.3">
      <c r="A26" s="5">
        <f t="shared" si="22"/>
        <v>43475</v>
      </c>
      <c r="B26" s="6">
        <v>207.83044270002841</v>
      </c>
      <c r="C26" s="25">
        <v>44.646283800000326</v>
      </c>
      <c r="D26" s="6">
        <v>20.692</v>
      </c>
      <c r="E26" s="6">
        <f t="shared" si="17"/>
        <v>273.16872650002875</v>
      </c>
      <c r="F26">
        <f t="shared" si="10"/>
        <v>0</v>
      </c>
      <c r="G26" s="5">
        <f t="shared" si="23"/>
        <v>43840</v>
      </c>
      <c r="H26" s="6">
        <v>270.98060580003261</v>
      </c>
      <c r="I26" s="25">
        <v>50.032765299998225</v>
      </c>
      <c r="J26" s="6">
        <v>25.925999999999998</v>
      </c>
      <c r="K26" s="6">
        <f t="shared" si="18"/>
        <v>346.93937110003083</v>
      </c>
      <c r="L26">
        <f t="shared" si="11"/>
        <v>0</v>
      </c>
      <c r="M26" s="5">
        <f t="shared" si="24"/>
        <v>44206</v>
      </c>
      <c r="N26" s="6">
        <v>177.540725299954</v>
      </c>
      <c r="O26" s="25">
        <v>41.318654199995102</v>
      </c>
      <c r="P26" s="6">
        <v>19.62</v>
      </c>
      <c r="Q26" s="6">
        <f t="shared" si="19"/>
        <v>238.47937949994912</v>
      </c>
      <c r="R26">
        <f t="shared" si="12"/>
        <v>0</v>
      </c>
      <c r="S26" s="5">
        <f t="shared" si="25"/>
        <v>44571</v>
      </c>
      <c r="T26" s="6">
        <v>187.45105460000039</v>
      </c>
      <c r="U26" s="25">
        <v>50.924134199999273</v>
      </c>
      <c r="V26" s="6">
        <v>19.890071000000461</v>
      </c>
      <c r="W26" s="6">
        <f t="shared" si="20"/>
        <v>258.26525980000008</v>
      </c>
      <c r="X26">
        <f t="shared" si="13"/>
        <v>0</v>
      </c>
      <c r="Z26" s="5">
        <f t="shared" si="26"/>
        <v>44571</v>
      </c>
      <c r="AA26" s="6">
        <v>231.9301168999672</v>
      </c>
      <c r="AB26" s="25">
        <v>58.744185300007466</v>
      </c>
      <c r="AC26" s="6">
        <v>22.561305600003806</v>
      </c>
      <c r="AD26" s="6">
        <f t="shared" si="21"/>
        <v>313.23560779997842</v>
      </c>
      <c r="AE26">
        <f t="shared" si="14"/>
        <v>0</v>
      </c>
      <c r="AF26" s="5">
        <f t="shared" si="27"/>
        <v>45301</v>
      </c>
      <c r="AG26" s="6"/>
      <c r="AH26" s="25"/>
      <c r="AI26" s="6"/>
      <c r="AJ26" s="6">
        <f t="shared" si="28"/>
        <v>0</v>
      </c>
      <c r="AK26">
        <f t="shared" si="15"/>
        <v>0</v>
      </c>
      <c r="AL26" s="5">
        <f t="shared" si="29"/>
        <v>45667</v>
      </c>
      <c r="AM26" s="6"/>
      <c r="AN26" s="25"/>
      <c r="AO26" s="6"/>
      <c r="AP26" s="6">
        <f t="shared" si="30"/>
        <v>0</v>
      </c>
      <c r="AQ26">
        <f t="shared" si="16"/>
        <v>0</v>
      </c>
    </row>
    <row r="27" spans="1:43" x14ac:dyDescent="0.3">
      <c r="A27" s="5">
        <f t="shared" si="22"/>
        <v>43476</v>
      </c>
      <c r="B27" s="6">
        <v>205.06174159997701</v>
      </c>
      <c r="C27" s="25">
        <v>44.748969199998307</v>
      </c>
      <c r="D27" s="6">
        <v>20.12</v>
      </c>
      <c r="E27" s="6">
        <f t="shared" si="17"/>
        <v>269.93071079997532</v>
      </c>
      <c r="F27">
        <f t="shared" si="10"/>
        <v>0</v>
      </c>
      <c r="G27" s="5">
        <f t="shared" si="23"/>
        <v>43841</v>
      </c>
      <c r="H27" s="6">
        <v>299.28936669993402</v>
      </c>
      <c r="I27" s="25">
        <v>49.127077599998564</v>
      </c>
      <c r="J27" s="6">
        <v>25.241</v>
      </c>
      <c r="K27" s="6">
        <f t="shared" si="18"/>
        <v>373.65744429993259</v>
      </c>
      <c r="L27">
        <f t="shared" si="11"/>
        <v>0</v>
      </c>
      <c r="M27" s="5">
        <f t="shared" si="24"/>
        <v>44207</v>
      </c>
      <c r="N27" s="6">
        <v>181.40979110002519</v>
      </c>
      <c r="O27" s="25">
        <v>50.780152000002566</v>
      </c>
      <c r="P27" s="6">
        <v>21.815000000000001</v>
      </c>
      <c r="Q27" s="6">
        <f t="shared" si="19"/>
        <v>254.00494310002776</v>
      </c>
      <c r="R27">
        <f t="shared" si="12"/>
        <v>0</v>
      </c>
      <c r="S27" s="5">
        <f t="shared" si="25"/>
        <v>44572</v>
      </c>
      <c r="T27" s="6">
        <v>197.19048590004445</v>
      </c>
      <c r="U27" s="25">
        <v>51.808432599999009</v>
      </c>
      <c r="V27" s="6">
        <v>21.960251000000163</v>
      </c>
      <c r="W27" s="6">
        <f t="shared" si="20"/>
        <v>270.95916950004363</v>
      </c>
      <c r="X27">
        <f t="shared" si="13"/>
        <v>0</v>
      </c>
      <c r="Z27" s="5">
        <f t="shared" si="26"/>
        <v>44572</v>
      </c>
      <c r="AA27" s="6">
        <v>232.36392030000687</v>
      </c>
      <c r="AB27" s="25">
        <v>59.451264199987051</v>
      </c>
      <c r="AC27" s="6">
        <v>24.105029599998613</v>
      </c>
      <c r="AD27" s="6">
        <f t="shared" si="21"/>
        <v>315.92021409999251</v>
      </c>
      <c r="AE27">
        <f t="shared" si="14"/>
        <v>0</v>
      </c>
      <c r="AF27" s="5">
        <f t="shared" si="27"/>
        <v>45302</v>
      </c>
      <c r="AG27" s="6"/>
      <c r="AH27" s="25"/>
      <c r="AI27" s="6"/>
      <c r="AJ27" s="6">
        <f t="shared" si="28"/>
        <v>0</v>
      </c>
      <c r="AK27">
        <f t="shared" si="15"/>
        <v>0</v>
      </c>
      <c r="AL27" s="5">
        <f t="shared" si="29"/>
        <v>45668</v>
      </c>
      <c r="AM27" s="6"/>
      <c r="AN27" s="25"/>
      <c r="AO27" s="6"/>
      <c r="AP27" s="6">
        <f t="shared" si="30"/>
        <v>0</v>
      </c>
      <c r="AQ27">
        <f t="shared" si="16"/>
        <v>0</v>
      </c>
    </row>
    <row r="28" spans="1:43" x14ac:dyDescent="0.3">
      <c r="A28" s="5">
        <f t="shared" si="22"/>
        <v>43477</v>
      </c>
      <c r="B28" s="6">
        <v>192.81931840002537</v>
      </c>
      <c r="C28" s="25">
        <v>42.835848100000995</v>
      </c>
      <c r="D28" s="6">
        <v>17.062999999999999</v>
      </c>
      <c r="E28" s="6">
        <f t="shared" si="17"/>
        <v>252.71816650002634</v>
      </c>
      <c r="F28">
        <f t="shared" si="10"/>
        <v>0</v>
      </c>
      <c r="G28" s="5">
        <f t="shared" si="23"/>
        <v>43842</v>
      </c>
      <c r="H28" s="6">
        <v>262.69389720010759</v>
      </c>
      <c r="I28" s="25">
        <v>39.325535199999813</v>
      </c>
      <c r="J28" s="6">
        <v>17.448</v>
      </c>
      <c r="K28" s="6">
        <f t="shared" si="18"/>
        <v>319.46743240010738</v>
      </c>
      <c r="L28">
        <f t="shared" si="11"/>
        <v>0</v>
      </c>
      <c r="M28" s="5">
        <f t="shared" si="24"/>
        <v>44208</v>
      </c>
      <c r="N28" s="6">
        <v>172.02347240006924</v>
      </c>
      <c r="O28" s="25">
        <v>50.400788899995383</v>
      </c>
      <c r="P28" s="6">
        <v>22.122</v>
      </c>
      <c r="Q28" s="6">
        <f t="shared" si="19"/>
        <v>244.5462613000646</v>
      </c>
      <c r="R28">
        <f t="shared" si="12"/>
        <v>0</v>
      </c>
      <c r="S28" s="5">
        <f t="shared" si="25"/>
        <v>44573</v>
      </c>
      <c r="T28" s="6">
        <v>182.88188779997824</v>
      </c>
      <c r="U28" s="25">
        <v>51.470711499996483</v>
      </c>
      <c r="V28" s="6">
        <v>21.890978500001481</v>
      </c>
      <c r="W28" s="6">
        <f t="shared" si="20"/>
        <v>256.24357779997621</v>
      </c>
      <c r="X28">
        <f t="shared" si="13"/>
        <v>0</v>
      </c>
      <c r="Z28" s="5">
        <f t="shared" si="26"/>
        <v>44573</v>
      </c>
      <c r="AA28" s="6">
        <v>218.27366120004655</v>
      </c>
      <c r="AB28" s="25">
        <v>58.890070100009439</v>
      </c>
      <c r="AC28" s="6">
        <v>22.91049230000144</v>
      </c>
      <c r="AD28" s="6">
        <f t="shared" si="21"/>
        <v>300.07422360005745</v>
      </c>
      <c r="AE28">
        <f t="shared" si="14"/>
        <v>0</v>
      </c>
      <c r="AF28" s="5">
        <f t="shared" si="27"/>
        <v>45303</v>
      </c>
      <c r="AG28" s="6"/>
      <c r="AH28" s="25"/>
      <c r="AI28" s="6"/>
      <c r="AJ28" s="6">
        <f t="shared" si="28"/>
        <v>0</v>
      </c>
      <c r="AK28">
        <f t="shared" si="15"/>
        <v>0</v>
      </c>
      <c r="AL28" s="5">
        <f t="shared" si="29"/>
        <v>45669</v>
      </c>
      <c r="AM28" s="6"/>
      <c r="AN28" s="25"/>
      <c r="AO28" s="6"/>
      <c r="AP28" s="6">
        <f t="shared" si="30"/>
        <v>0</v>
      </c>
      <c r="AQ28">
        <f t="shared" si="16"/>
        <v>0</v>
      </c>
    </row>
    <row r="29" spans="1:43" x14ac:dyDescent="0.3">
      <c r="A29" s="5">
        <f t="shared" si="22"/>
        <v>43478</v>
      </c>
      <c r="B29" s="6">
        <v>192.669051699996</v>
      </c>
      <c r="C29" s="25">
        <v>34.004168199999256</v>
      </c>
      <c r="D29" s="6">
        <v>14.582000000000001</v>
      </c>
      <c r="E29" s="6">
        <f t="shared" si="17"/>
        <v>241.25521989999527</v>
      </c>
      <c r="F29">
        <f t="shared" si="10"/>
        <v>0</v>
      </c>
      <c r="G29" s="5">
        <f t="shared" si="23"/>
        <v>43843</v>
      </c>
      <c r="H29" s="6">
        <v>275.21700889992712</v>
      </c>
      <c r="I29" s="25">
        <v>46.478995300002396</v>
      </c>
      <c r="J29" s="6">
        <v>24.821999999999999</v>
      </c>
      <c r="K29" s="6">
        <f t="shared" si="18"/>
        <v>346.51800419992952</v>
      </c>
      <c r="L29">
        <f t="shared" si="11"/>
        <v>0</v>
      </c>
      <c r="M29" s="5">
        <f t="shared" si="24"/>
        <v>44209</v>
      </c>
      <c r="N29" s="6">
        <v>192.74739399993419</v>
      </c>
      <c r="O29" s="25">
        <v>49.840406200006605</v>
      </c>
      <c r="P29" s="6">
        <v>22.539000000000001</v>
      </c>
      <c r="Q29" s="6">
        <f t="shared" si="19"/>
        <v>265.12680019994082</v>
      </c>
      <c r="R29">
        <f t="shared" si="12"/>
        <v>0</v>
      </c>
      <c r="S29" s="5">
        <f t="shared" si="25"/>
        <v>44574</v>
      </c>
      <c r="T29" s="6">
        <v>226.05785979998112</v>
      </c>
      <c r="U29" s="25">
        <v>52.366703500002622</v>
      </c>
      <c r="V29" s="6">
        <v>22.158821499997519</v>
      </c>
      <c r="W29" s="6">
        <f t="shared" si="20"/>
        <v>300.58338479998127</v>
      </c>
      <c r="X29">
        <f t="shared" si="13"/>
        <v>0</v>
      </c>
      <c r="Z29" s="5">
        <f t="shared" si="26"/>
        <v>44574</v>
      </c>
      <c r="AA29" s="6">
        <v>211.79595200002194</v>
      </c>
      <c r="AB29" s="25">
        <v>59.377277300000188</v>
      </c>
      <c r="AC29" s="6">
        <v>23.951527499997056</v>
      </c>
      <c r="AD29" s="6">
        <f t="shared" si="21"/>
        <v>295.12475680001916</v>
      </c>
      <c r="AE29">
        <f t="shared" si="14"/>
        <v>0</v>
      </c>
      <c r="AF29" s="5">
        <f t="shared" si="27"/>
        <v>45304</v>
      </c>
      <c r="AG29" s="6"/>
      <c r="AH29" s="25"/>
      <c r="AI29" s="6"/>
      <c r="AJ29" s="6">
        <f t="shared" si="28"/>
        <v>0</v>
      </c>
      <c r="AK29">
        <f t="shared" si="15"/>
        <v>0</v>
      </c>
      <c r="AL29" s="5">
        <f t="shared" si="29"/>
        <v>45670</v>
      </c>
      <c r="AM29" s="6"/>
      <c r="AN29" s="25"/>
      <c r="AO29" s="6"/>
      <c r="AP29" s="6">
        <f t="shared" si="30"/>
        <v>0</v>
      </c>
      <c r="AQ29">
        <f t="shared" si="16"/>
        <v>0</v>
      </c>
    </row>
    <row r="30" spans="1:43" x14ac:dyDescent="0.3">
      <c r="A30" s="5">
        <f t="shared" si="22"/>
        <v>43479</v>
      </c>
      <c r="B30" s="6">
        <v>204.8473109999895</v>
      </c>
      <c r="C30" s="25">
        <v>39.874605499999596</v>
      </c>
      <c r="D30" s="6">
        <v>20.195</v>
      </c>
      <c r="E30" s="6">
        <f t="shared" si="17"/>
        <v>264.9169164999891</v>
      </c>
      <c r="F30">
        <f t="shared" si="10"/>
        <v>0</v>
      </c>
      <c r="G30" s="5">
        <f t="shared" si="23"/>
        <v>43844</v>
      </c>
      <c r="H30" s="6">
        <v>270.32632350003718</v>
      </c>
      <c r="I30" s="25">
        <v>46.98457379999757</v>
      </c>
      <c r="J30" s="6">
        <v>25.321999999999999</v>
      </c>
      <c r="K30" s="6">
        <f t="shared" si="18"/>
        <v>342.63289730003476</v>
      </c>
      <c r="L30">
        <f t="shared" si="11"/>
        <v>0</v>
      </c>
      <c r="M30" s="5">
        <f t="shared" si="24"/>
        <v>44210</v>
      </c>
      <c r="N30" s="6">
        <v>204.60696410000324</v>
      </c>
      <c r="O30" s="25">
        <v>51.035996899999681</v>
      </c>
      <c r="P30" s="6">
        <v>24.268999999999998</v>
      </c>
      <c r="Q30" s="6">
        <f t="shared" si="19"/>
        <v>279.91196100000292</v>
      </c>
      <c r="R30">
        <f t="shared" si="12"/>
        <v>0</v>
      </c>
      <c r="S30" s="5">
        <f t="shared" si="25"/>
        <v>44575</v>
      </c>
      <c r="T30" s="6">
        <v>226.13122089993954</v>
      </c>
      <c r="U30" s="25">
        <v>52.028729699999097</v>
      </c>
      <c r="V30" s="6">
        <v>22.449284400002099</v>
      </c>
      <c r="W30" s="6">
        <f t="shared" si="20"/>
        <v>300.60923499994072</v>
      </c>
      <c r="X30">
        <f t="shared" si="13"/>
        <v>0</v>
      </c>
      <c r="Z30" s="5">
        <f t="shared" si="26"/>
        <v>44575</v>
      </c>
      <c r="AA30" s="6">
        <v>187.65719340002536</v>
      </c>
      <c r="AB30" s="25">
        <v>58.928564999997619</v>
      </c>
      <c r="AC30" s="6">
        <v>22.560381100000349</v>
      </c>
      <c r="AD30" s="6">
        <f t="shared" si="21"/>
        <v>269.14613950002337</v>
      </c>
      <c r="AE30">
        <f t="shared" si="14"/>
        <v>0</v>
      </c>
      <c r="AF30" s="5">
        <f t="shared" si="27"/>
        <v>45305</v>
      </c>
      <c r="AG30" s="6"/>
      <c r="AH30" s="25"/>
      <c r="AI30" s="6"/>
      <c r="AJ30" s="6">
        <f t="shared" si="28"/>
        <v>0</v>
      </c>
      <c r="AK30">
        <f t="shared" si="15"/>
        <v>0</v>
      </c>
      <c r="AL30" s="5">
        <f t="shared" si="29"/>
        <v>45671</v>
      </c>
      <c r="AM30" s="6"/>
      <c r="AN30" s="25"/>
      <c r="AO30" s="6"/>
      <c r="AP30" s="6">
        <f t="shared" si="30"/>
        <v>0</v>
      </c>
      <c r="AQ30">
        <f t="shared" si="16"/>
        <v>0</v>
      </c>
    </row>
    <row r="31" spans="1:43" x14ac:dyDescent="0.3">
      <c r="A31" s="5">
        <f t="shared" si="22"/>
        <v>43480</v>
      </c>
      <c r="B31" s="6">
        <v>205.39387849998474</v>
      </c>
      <c r="C31" s="25">
        <v>46.280459100000563</v>
      </c>
      <c r="D31" s="6">
        <v>20.111999999999998</v>
      </c>
      <c r="E31" s="6">
        <f t="shared" si="17"/>
        <v>271.7863375999853</v>
      </c>
      <c r="F31">
        <f t="shared" si="10"/>
        <v>0</v>
      </c>
      <c r="G31" s="5">
        <f t="shared" si="23"/>
        <v>43845</v>
      </c>
      <c r="H31" s="6">
        <v>314.8566246999502</v>
      </c>
      <c r="I31" s="25">
        <v>47.974495100002734</v>
      </c>
      <c r="J31" s="6">
        <v>25.141999999999999</v>
      </c>
      <c r="K31" s="6">
        <f t="shared" si="18"/>
        <v>387.97311979995294</v>
      </c>
      <c r="L31">
        <f t="shared" si="11"/>
        <v>0</v>
      </c>
      <c r="M31" s="5">
        <f t="shared" si="24"/>
        <v>44211</v>
      </c>
      <c r="N31" s="6">
        <v>211.76545340001584</v>
      </c>
      <c r="O31" s="25">
        <v>51.599223999999467</v>
      </c>
      <c r="P31" s="6">
        <v>22.018999999999998</v>
      </c>
      <c r="Q31" s="6">
        <f t="shared" si="19"/>
        <v>285.3836774000153</v>
      </c>
      <c r="R31">
        <f t="shared" si="12"/>
        <v>0</v>
      </c>
      <c r="S31" s="5">
        <f t="shared" si="25"/>
        <v>44576</v>
      </c>
      <c r="T31" s="6">
        <v>205.11983470010756</v>
      </c>
      <c r="U31" s="25">
        <v>51.984335200004281</v>
      </c>
      <c r="V31" s="6">
        <v>19.635253000000493</v>
      </c>
      <c r="W31" s="6">
        <f t="shared" si="20"/>
        <v>276.73942290011234</v>
      </c>
      <c r="X31">
        <f t="shared" si="13"/>
        <v>0</v>
      </c>
      <c r="Z31" s="5">
        <f t="shared" si="26"/>
        <v>44576</v>
      </c>
      <c r="AA31" s="6">
        <v>164.45205219995975</v>
      </c>
      <c r="AB31" s="25">
        <v>46.333032399997116</v>
      </c>
      <c r="AC31" s="6">
        <v>18.231385000002572</v>
      </c>
      <c r="AD31" s="6">
        <f t="shared" si="21"/>
        <v>229.01646959995944</v>
      </c>
      <c r="AE31">
        <f t="shared" si="14"/>
        <v>0</v>
      </c>
      <c r="AF31" s="5">
        <f t="shared" si="27"/>
        <v>45306</v>
      </c>
      <c r="AG31" s="6"/>
      <c r="AH31" s="25"/>
      <c r="AI31" s="6"/>
      <c r="AJ31" s="6">
        <f t="shared" si="28"/>
        <v>0</v>
      </c>
      <c r="AK31">
        <f t="shared" si="15"/>
        <v>0</v>
      </c>
      <c r="AL31" s="5">
        <f t="shared" si="29"/>
        <v>45672</v>
      </c>
      <c r="AM31" s="6"/>
      <c r="AN31" s="25"/>
      <c r="AO31" s="6"/>
      <c r="AP31" s="6">
        <f t="shared" si="30"/>
        <v>0</v>
      </c>
      <c r="AQ31">
        <f t="shared" si="16"/>
        <v>0</v>
      </c>
    </row>
    <row r="32" spans="1:43" x14ac:dyDescent="0.3">
      <c r="A32" s="5">
        <f t="shared" si="22"/>
        <v>43481</v>
      </c>
      <c r="B32" s="6">
        <v>204.90793910002708</v>
      </c>
      <c r="C32" s="25">
        <v>49.7203805999998</v>
      </c>
      <c r="D32" s="6">
        <v>19.829000000000001</v>
      </c>
      <c r="E32" s="6">
        <f t="shared" si="17"/>
        <v>274.45731970002686</v>
      </c>
      <c r="F32">
        <f t="shared" si="10"/>
        <v>0</v>
      </c>
      <c r="G32" s="5">
        <f t="shared" si="23"/>
        <v>43846</v>
      </c>
      <c r="H32" s="6">
        <v>264.05028820002082</v>
      </c>
      <c r="I32" s="25">
        <v>45.8873385999985</v>
      </c>
      <c r="J32" s="6">
        <v>25.396999999999998</v>
      </c>
      <c r="K32" s="6">
        <f t="shared" si="18"/>
        <v>335.33462680001929</v>
      </c>
      <c r="L32">
        <f t="shared" si="11"/>
        <v>0</v>
      </c>
      <c r="M32" s="5">
        <f t="shared" si="24"/>
        <v>44212</v>
      </c>
      <c r="N32" s="6">
        <v>204.11542939996718</v>
      </c>
      <c r="O32" s="25">
        <v>50.824634899996219</v>
      </c>
      <c r="P32" s="6">
        <v>23.363</v>
      </c>
      <c r="Q32" s="6">
        <f t="shared" si="19"/>
        <v>278.30306429996341</v>
      </c>
      <c r="R32">
        <f t="shared" si="12"/>
        <v>0</v>
      </c>
      <c r="S32" s="5">
        <f t="shared" si="25"/>
        <v>44577</v>
      </c>
      <c r="T32" s="6">
        <v>169.94093699991703</v>
      </c>
      <c r="U32" s="25">
        <v>43.51740100000054</v>
      </c>
      <c r="V32" s="6">
        <v>15.07069290000014</v>
      </c>
      <c r="W32" s="6">
        <f t="shared" si="20"/>
        <v>228.5290308999177</v>
      </c>
      <c r="X32">
        <f t="shared" si="13"/>
        <v>0</v>
      </c>
      <c r="Z32" s="5">
        <f t="shared" si="26"/>
        <v>44577</v>
      </c>
      <c r="AA32" s="6">
        <v>207.69579069995879</v>
      </c>
      <c r="AB32" s="25">
        <v>56.385911599993705</v>
      </c>
      <c r="AC32" s="6">
        <v>23.728705099999438</v>
      </c>
      <c r="AD32" s="6">
        <f t="shared" si="21"/>
        <v>287.81040739995194</v>
      </c>
      <c r="AE32">
        <f t="shared" si="14"/>
        <v>0</v>
      </c>
      <c r="AF32" s="5">
        <f t="shared" si="27"/>
        <v>45307</v>
      </c>
      <c r="AG32" s="6"/>
      <c r="AH32" s="25"/>
      <c r="AI32" s="6"/>
      <c r="AJ32" s="6">
        <f t="shared" si="28"/>
        <v>0</v>
      </c>
      <c r="AK32">
        <f t="shared" si="15"/>
        <v>0</v>
      </c>
      <c r="AL32" s="5">
        <f t="shared" si="29"/>
        <v>45673</v>
      </c>
      <c r="AM32" s="6"/>
      <c r="AN32" s="25"/>
      <c r="AO32" s="6"/>
      <c r="AP32" s="6">
        <f t="shared" si="30"/>
        <v>0</v>
      </c>
      <c r="AQ32">
        <f t="shared" si="16"/>
        <v>0</v>
      </c>
    </row>
    <row r="33" spans="1:43" x14ac:dyDescent="0.3">
      <c r="A33" s="5">
        <f t="shared" si="22"/>
        <v>43482</v>
      </c>
      <c r="B33" s="6">
        <v>204.61921689999105</v>
      </c>
      <c r="C33" s="25">
        <v>48.127006900001319</v>
      </c>
      <c r="D33" s="6">
        <v>19.649999999999999</v>
      </c>
      <c r="E33" s="6">
        <f t="shared" si="17"/>
        <v>272.39622379999236</v>
      </c>
      <c r="F33">
        <f t="shared" si="10"/>
        <v>0</v>
      </c>
      <c r="G33" s="5">
        <f t="shared" si="23"/>
        <v>43847</v>
      </c>
      <c r="H33" s="6">
        <v>261.7539874999523</v>
      </c>
      <c r="I33" s="25">
        <v>45.61182409999892</v>
      </c>
      <c r="J33" s="6">
        <v>24.484000000000002</v>
      </c>
      <c r="K33" s="6">
        <f t="shared" si="18"/>
        <v>331.84981159995118</v>
      </c>
      <c r="L33">
        <f t="shared" si="11"/>
        <v>0</v>
      </c>
      <c r="M33" s="5">
        <f t="shared" si="24"/>
        <v>44213</v>
      </c>
      <c r="N33" s="6">
        <v>194.04045670008659</v>
      </c>
      <c r="O33" s="25">
        <v>42.049432900004092</v>
      </c>
      <c r="P33" s="6">
        <v>20.782</v>
      </c>
      <c r="Q33" s="6">
        <f t="shared" si="19"/>
        <v>256.8718896000907</v>
      </c>
      <c r="R33">
        <f t="shared" si="12"/>
        <v>0</v>
      </c>
      <c r="S33" s="5">
        <f t="shared" si="25"/>
        <v>44578</v>
      </c>
      <c r="T33" s="6">
        <v>202.9503018000126</v>
      </c>
      <c r="U33" s="25">
        <v>51.761300799995659</v>
      </c>
      <c r="V33" s="6">
        <v>20.03519869999797</v>
      </c>
      <c r="W33" s="6">
        <f t="shared" si="20"/>
        <v>274.74680130000621</v>
      </c>
      <c r="X33">
        <f t="shared" si="13"/>
        <v>0</v>
      </c>
      <c r="Z33" s="5">
        <f t="shared" si="26"/>
        <v>44578</v>
      </c>
      <c r="AA33" s="6">
        <v>226.92678040003776</v>
      </c>
      <c r="AB33" s="25">
        <v>57.673088000014424</v>
      </c>
      <c r="AC33" s="6">
        <v>23.770491900000255</v>
      </c>
      <c r="AD33" s="6">
        <f t="shared" si="21"/>
        <v>308.37036030005243</v>
      </c>
      <c r="AE33">
        <f t="shared" si="14"/>
        <v>0</v>
      </c>
      <c r="AF33" s="5">
        <f t="shared" si="27"/>
        <v>45308</v>
      </c>
      <c r="AG33" s="6"/>
      <c r="AH33" s="25"/>
      <c r="AI33" s="6"/>
      <c r="AJ33" s="6">
        <f t="shared" si="28"/>
        <v>0</v>
      </c>
      <c r="AK33">
        <f t="shared" si="15"/>
        <v>0</v>
      </c>
      <c r="AL33" s="5">
        <f t="shared" si="29"/>
        <v>45674</v>
      </c>
      <c r="AM33" s="6"/>
      <c r="AN33" s="25"/>
      <c r="AO33" s="6"/>
      <c r="AP33" s="6">
        <f t="shared" si="30"/>
        <v>0</v>
      </c>
      <c r="AQ33">
        <f t="shared" si="16"/>
        <v>0</v>
      </c>
    </row>
    <row r="34" spans="1:43" x14ac:dyDescent="0.3">
      <c r="A34" s="5">
        <f t="shared" si="22"/>
        <v>43483</v>
      </c>
      <c r="B34" s="6">
        <v>206.55678769999741</v>
      </c>
      <c r="C34" s="25">
        <v>44.383693899998441</v>
      </c>
      <c r="D34" s="6">
        <v>21.111000000000001</v>
      </c>
      <c r="E34" s="6">
        <f t="shared" si="17"/>
        <v>272.05148159999584</v>
      </c>
      <c r="F34">
        <f t="shared" si="10"/>
        <v>0</v>
      </c>
      <c r="G34" s="5">
        <f t="shared" si="23"/>
        <v>43848</v>
      </c>
      <c r="H34" s="6">
        <v>251.43378030002117</v>
      </c>
      <c r="I34" s="25">
        <v>42.852826500002294</v>
      </c>
      <c r="J34" s="6">
        <v>23.646000000000001</v>
      </c>
      <c r="K34" s="6">
        <f t="shared" si="18"/>
        <v>317.93260680002351</v>
      </c>
      <c r="L34">
        <f t="shared" si="11"/>
        <v>0</v>
      </c>
      <c r="M34" s="5">
        <f t="shared" si="24"/>
        <v>44214</v>
      </c>
      <c r="N34" s="6">
        <v>194.53823699998856</v>
      </c>
      <c r="O34" s="25">
        <v>51.283065999999643</v>
      </c>
      <c r="P34" s="6">
        <v>22.359299999999998</v>
      </c>
      <c r="Q34" s="6">
        <f t="shared" si="19"/>
        <v>268.1806029999882</v>
      </c>
      <c r="R34">
        <f t="shared" si="12"/>
        <v>0</v>
      </c>
      <c r="S34" s="5">
        <f t="shared" si="25"/>
        <v>44579</v>
      </c>
      <c r="T34" s="6">
        <v>190.15372259998321</v>
      </c>
      <c r="U34" s="25">
        <v>54.552873500004409</v>
      </c>
      <c r="V34" s="6">
        <v>22.984693000002181</v>
      </c>
      <c r="W34" s="6">
        <f t="shared" si="20"/>
        <v>267.69128909998983</v>
      </c>
      <c r="X34">
        <f t="shared" si="13"/>
        <v>0</v>
      </c>
      <c r="Z34" s="5">
        <f t="shared" si="26"/>
        <v>44579</v>
      </c>
      <c r="AA34" s="6">
        <v>219.1770745999813</v>
      </c>
      <c r="AB34" s="25">
        <v>58.531498599991203</v>
      </c>
      <c r="AC34" s="6">
        <v>23.93287249999959</v>
      </c>
      <c r="AD34" s="6">
        <f t="shared" si="21"/>
        <v>301.64144569997205</v>
      </c>
      <c r="AE34">
        <f t="shared" si="14"/>
        <v>0</v>
      </c>
      <c r="AF34" s="5">
        <f t="shared" si="27"/>
        <v>45309</v>
      </c>
      <c r="AG34" s="6"/>
      <c r="AH34" s="25"/>
      <c r="AI34" s="6"/>
      <c r="AJ34" s="6">
        <f t="shared" si="28"/>
        <v>0</v>
      </c>
      <c r="AK34">
        <f t="shared" si="15"/>
        <v>0</v>
      </c>
      <c r="AL34" s="5">
        <f t="shared" si="29"/>
        <v>45675</v>
      </c>
      <c r="AM34" s="6"/>
      <c r="AN34" s="25"/>
      <c r="AO34" s="6"/>
      <c r="AP34" s="6">
        <f t="shared" si="30"/>
        <v>0</v>
      </c>
      <c r="AQ34">
        <f t="shared" si="16"/>
        <v>0</v>
      </c>
    </row>
    <row r="35" spans="1:43" x14ac:dyDescent="0.3">
      <c r="A35" s="5">
        <f t="shared" si="22"/>
        <v>43484</v>
      </c>
      <c r="B35" s="6">
        <v>194.69112540000677</v>
      </c>
      <c r="C35" s="25">
        <v>42.842809800000865</v>
      </c>
      <c r="D35" s="6">
        <v>18.777999999999999</v>
      </c>
      <c r="E35" s="6">
        <f t="shared" si="17"/>
        <v>256.31193520000767</v>
      </c>
      <c r="F35">
        <f t="shared" si="10"/>
        <v>0</v>
      </c>
      <c r="G35" s="5">
        <f t="shared" si="23"/>
        <v>43849</v>
      </c>
      <c r="H35" s="6">
        <v>234.44308029997347</v>
      </c>
      <c r="I35" s="25">
        <v>37.563050299998373</v>
      </c>
      <c r="J35" s="6">
        <v>16.832999999999998</v>
      </c>
      <c r="K35" s="6">
        <f t="shared" si="18"/>
        <v>288.8391305999719</v>
      </c>
      <c r="L35">
        <f t="shared" si="11"/>
        <v>0</v>
      </c>
      <c r="M35" s="5">
        <f t="shared" si="24"/>
        <v>44215</v>
      </c>
      <c r="N35" s="6">
        <v>214.67961029994487</v>
      </c>
      <c r="O35" s="25">
        <v>54.043736999996007</v>
      </c>
      <c r="P35" s="6">
        <v>24.5944</v>
      </c>
      <c r="Q35" s="6">
        <f t="shared" si="19"/>
        <v>293.31774729994089</v>
      </c>
      <c r="R35">
        <f t="shared" si="12"/>
        <v>0</v>
      </c>
      <c r="S35" s="5">
        <f t="shared" si="25"/>
        <v>44580</v>
      </c>
      <c r="T35" s="6">
        <v>233.47095240008832</v>
      </c>
      <c r="U35" s="25">
        <v>53.936227499999106</v>
      </c>
      <c r="V35" s="6">
        <v>24.291810099999768</v>
      </c>
      <c r="W35" s="6">
        <f t="shared" si="20"/>
        <v>311.69899000008724</v>
      </c>
      <c r="X35">
        <f t="shared" si="13"/>
        <v>0</v>
      </c>
      <c r="Z35" s="5">
        <f t="shared" si="26"/>
        <v>44580</v>
      </c>
      <c r="AA35" s="6">
        <v>253.41960220003128</v>
      </c>
      <c r="AB35" s="25">
        <v>58.939486100003123</v>
      </c>
      <c r="AC35" s="6">
        <v>24.37613059999887</v>
      </c>
      <c r="AD35" s="6">
        <f t="shared" si="21"/>
        <v>336.73521890003326</v>
      </c>
      <c r="AE35">
        <f t="shared" si="14"/>
        <v>0</v>
      </c>
      <c r="AF35" s="5">
        <f t="shared" si="27"/>
        <v>45310</v>
      </c>
      <c r="AG35" s="6"/>
      <c r="AH35" s="25"/>
      <c r="AI35" s="6"/>
      <c r="AJ35" s="6">
        <f t="shared" si="28"/>
        <v>0</v>
      </c>
      <c r="AK35">
        <f t="shared" si="15"/>
        <v>0</v>
      </c>
      <c r="AL35" s="5">
        <f t="shared" si="29"/>
        <v>45676</v>
      </c>
      <c r="AM35" s="6"/>
      <c r="AN35" s="25"/>
      <c r="AO35" s="6"/>
      <c r="AP35" s="6">
        <f t="shared" si="30"/>
        <v>0</v>
      </c>
      <c r="AQ35">
        <f t="shared" si="16"/>
        <v>0</v>
      </c>
    </row>
    <row r="36" spans="1:43" x14ac:dyDescent="0.3">
      <c r="A36" s="5">
        <f t="shared" si="22"/>
        <v>43485</v>
      </c>
      <c r="B36" s="6">
        <v>181.39085359996557</v>
      </c>
      <c r="C36" s="25">
        <v>39.775913399999965</v>
      </c>
      <c r="D36" s="6">
        <v>15.565</v>
      </c>
      <c r="E36" s="6">
        <f t="shared" si="17"/>
        <v>236.73176699996554</v>
      </c>
      <c r="F36">
        <f t="shared" si="10"/>
        <v>0</v>
      </c>
      <c r="G36" s="5">
        <f t="shared" si="23"/>
        <v>43850</v>
      </c>
      <c r="H36" s="6">
        <v>267.12040260005</v>
      </c>
      <c r="I36" s="25">
        <v>45.086880200002341</v>
      </c>
      <c r="J36" s="6">
        <v>23.911000000000001</v>
      </c>
      <c r="K36" s="6">
        <f t="shared" si="18"/>
        <v>336.11828280005233</v>
      </c>
      <c r="L36">
        <f t="shared" si="11"/>
        <v>0</v>
      </c>
      <c r="M36" s="5">
        <f t="shared" si="24"/>
        <v>44216</v>
      </c>
      <c r="N36" s="6">
        <v>205.39746109998225</v>
      </c>
      <c r="O36" s="25">
        <v>53.705419500000772</v>
      </c>
      <c r="P36" s="6">
        <v>23.783200000000001</v>
      </c>
      <c r="Q36" s="6">
        <f t="shared" si="19"/>
        <v>282.88608059998302</v>
      </c>
      <c r="R36">
        <f t="shared" si="12"/>
        <v>0</v>
      </c>
      <c r="S36" s="5">
        <f t="shared" si="25"/>
        <v>44581</v>
      </c>
      <c r="T36" s="6">
        <v>239.70866249990462</v>
      </c>
      <c r="U36" s="25">
        <v>52.879501199997961</v>
      </c>
      <c r="V36" s="6">
        <v>23.841629299999912</v>
      </c>
      <c r="W36" s="6">
        <f t="shared" si="20"/>
        <v>316.42979299990247</v>
      </c>
      <c r="X36">
        <f t="shared" si="13"/>
        <v>0</v>
      </c>
      <c r="Z36" s="5">
        <f t="shared" si="26"/>
        <v>44581</v>
      </c>
      <c r="AA36" s="6">
        <v>255.03433649992942</v>
      </c>
      <c r="AB36" s="25">
        <v>62.167762400001287</v>
      </c>
      <c r="AC36" s="6">
        <v>23.379273400000763</v>
      </c>
      <c r="AD36" s="6">
        <f t="shared" si="21"/>
        <v>340.5813722999315</v>
      </c>
      <c r="AE36">
        <f t="shared" si="14"/>
        <v>0</v>
      </c>
      <c r="AF36" s="5">
        <f t="shared" si="27"/>
        <v>45311</v>
      </c>
      <c r="AG36" s="6"/>
      <c r="AH36" s="25"/>
      <c r="AI36" s="6"/>
      <c r="AJ36" s="6">
        <f t="shared" si="28"/>
        <v>0</v>
      </c>
      <c r="AK36">
        <f t="shared" si="15"/>
        <v>0</v>
      </c>
      <c r="AL36" s="5">
        <f t="shared" si="29"/>
        <v>45677</v>
      </c>
      <c r="AM36" s="6"/>
      <c r="AN36" s="25"/>
      <c r="AO36" s="6"/>
      <c r="AP36" s="6">
        <f t="shared" si="30"/>
        <v>0</v>
      </c>
      <c r="AQ36">
        <f t="shared" si="16"/>
        <v>0</v>
      </c>
    </row>
    <row r="37" spans="1:43" x14ac:dyDescent="0.3">
      <c r="A37" s="5">
        <f t="shared" si="22"/>
        <v>43486</v>
      </c>
      <c r="B37" s="6">
        <v>202.15690190005301</v>
      </c>
      <c r="C37" s="25">
        <v>46.300271999999879</v>
      </c>
      <c r="D37" s="6">
        <v>20.532</v>
      </c>
      <c r="E37" s="6">
        <f t="shared" si="17"/>
        <v>268.98917390005289</v>
      </c>
      <c r="F37">
        <f t="shared" si="10"/>
        <v>0</v>
      </c>
      <c r="G37" s="5">
        <f t="shared" si="23"/>
        <v>43851</v>
      </c>
      <c r="H37" s="6">
        <v>263.6271967999935</v>
      </c>
      <c r="I37" s="25">
        <v>47.104138599999246</v>
      </c>
      <c r="J37" s="6">
        <v>24.384</v>
      </c>
      <c r="K37" s="6">
        <f t="shared" si="18"/>
        <v>335.11533539999277</v>
      </c>
      <c r="L37">
        <f t="shared" si="11"/>
        <v>0</v>
      </c>
      <c r="M37" s="5">
        <f t="shared" si="24"/>
        <v>44217</v>
      </c>
      <c r="N37" s="6">
        <v>205.21828949999809</v>
      </c>
      <c r="O37" s="25">
        <v>53.480262199997902</v>
      </c>
      <c r="P37" s="6">
        <v>23.085999999999999</v>
      </c>
      <c r="Q37" s="6">
        <f t="shared" si="19"/>
        <v>281.78455169999603</v>
      </c>
      <c r="R37">
        <f t="shared" si="12"/>
        <v>0</v>
      </c>
      <c r="S37" s="5">
        <f t="shared" si="25"/>
        <v>44582</v>
      </c>
      <c r="T37" s="6">
        <v>231.55394850003719</v>
      </c>
      <c r="U37" s="25">
        <v>54.751531999997795</v>
      </c>
      <c r="V37" s="6">
        <v>23.35296789999958</v>
      </c>
      <c r="W37" s="6">
        <f t="shared" si="20"/>
        <v>309.65844840003456</v>
      </c>
      <c r="X37">
        <f t="shared" si="13"/>
        <v>0</v>
      </c>
      <c r="Z37" s="5">
        <f t="shared" si="26"/>
        <v>44582</v>
      </c>
      <c r="AA37" s="6">
        <v>213.47546590006351</v>
      </c>
      <c r="AB37" s="25">
        <v>60.720821299999955</v>
      </c>
      <c r="AC37" s="6">
        <v>23.63103449999867</v>
      </c>
      <c r="AD37" s="6">
        <f t="shared" si="21"/>
        <v>297.82732170006216</v>
      </c>
      <c r="AE37">
        <f t="shared" si="14"/>
        <v>0</v>
      </c>
      <c r="AF37" s="5">
        <f t="shared" si="27"/>
        <v>45312</v>
      </c>
      <c r="AG37" s="6"/>
      <c r="AH37" s="25"/>
      <c r="AI37" s="6"/>
      <c r="AJ37" s="6">
        <f t="shared" si="28"/>
        <v>0</v>
      </c>
      <c r="AK37">
        <f t="shared" si="15"/>
        <v>0</v>
      </c>
      <c r="AL37" s="5">
        <f t="shared" si="29"/>
        <v>45678</v>
      </c>
      <c r="AM37" s="6"/>
      <c r="AN37" s="25"/>
      <c r="AO37" s="6"/>
      <c r="AP37" s="6">
        <f t="shared" si="30"/>
        <v>0</v>
      </c>
      <c r="AQ37">
        <f t="shared" si="16"/>
        <v>0</v>
      </c>
    </row>
    <row r="38" spans="1:43" x14ac:dyDescent="0.3">
      <c r="A38" s="5">
        <f t="shared" si="22"/>
        <v>43487</v>
      </c>
      <c r="B38" s="6">
        <v>204.93028289997577</v>
      </c>
      <c r="C38" s="25">
        <v>47.017138599999249</v>
      </c>
      <c r="D38" s="6">
        <v>20.853000000000002</v>
      </c>
      <c r="E38" s="6">
        <f t="shared" si="17"/>
        <v>272.80042149997502</v>
      </c>
      <c r="F38">
        <f t="shared" si="10"/>
        <v>0</v>
      </c>
      <c r="G38" s="5">
        <f t="shared" si="23"/>
        <v>43852</v>
      </c>
      <c r="H38" s="6">
        <v>266.80023370003698</v>
      </c>
      <c r="I38" s="25">
        <v>43.743589299999179</v>
      </c>
      <c r="J38" s="6">
        <v>24.463999999999999</v>
      </c>
      <c r="K38" s="6">
        <f t="shared" si="18"/>
        <v>335.00782300003618</v>
      </c>
      <c r="L38">
        <f t="shared" si="11"/>
        <v>0</v>
      </c>
      <c r="M38" s="5">
        <f t="shared" si="24"/>
        <v>44218</v>
      </c>
      <c r="N38" s="6">
        <v>196.75280190002917</v>
      </c>
      <c r="O38" s="25">
        <v>52.330972500003874</v>
      </c>
      <c r="P38" s="6">
        <v>22.088000000000001</v>
      </c>
      <c r="Q38" s="6">
        <f t="shared" si="19"/>
        <v>271.17177440003303</v>
      </c>
      <c r="R38">
        <f t="shared" si="12"/>
        <v>0</v>
      </c>
      <c r="S38" s="5">
        <f t="shared" si="25"/>
        <v>44583</v>
      </c>
      <c r="T38" s="6">
        <v>225.65920739996434</v>
      </c>
      <c r="U38" s="25">
        <v>52.777250000000002</v>
      </c>
      <c r="V38" s="6">
        <v>24.004177200000267</v>
      </c>
      <c r="W38" s="6">
        <f t="shared" si="20"/>
        <v>302.4406345999646</v>
      </c>
      <c r="X38">
        <f t="shared" si="13"/>
        <v>0</v>
      </c>
      <c r="Z38" s="5">
        <f t="shared" si="26"/>
        <v>44583</v>
      </c>
      <c r="AA38" s="6">
        <v>212.77412189996244</v>
      </c>
      <c r="AB38" s="25">
        <v>53.72039239999652</v>
      </c>
      <c r="AC38" s="6">
        <v>18.993731199999807</v>
      </c>
      <c r="AD38" s="6">
        <f t="shared" si="21"/>
        <v>285.48824549995874</v>
      </c>
      <c r="AE38">
        <f t="shared" si="14"/>
        <v>0</v>
      </c>
      <c r="AF38" s="5">
        <f t="shared" si="27"/>
        <v>45313</v>
      </c>
      <c r="AG38" s="6"/>
      <c r="AH38" s="25"/>
      <c r="AI38" s="6"/>
      <c r="AJ38" s="6">
        <f t="shared" si="28"/>
        <v>0</v>
      </c>
      <c r="AK38">
        <f t="shared" si="15"/>
        <v>0</v>
      </c>
      <c r="AL38" s="5">
        <f t="shared" si="29"/>
        <v>45679</v>
      </c>
      <c r="AM38" s="6"/>
      <c r="AN38" s="25"/>
      <c r="AO38" s="6"/>
      <c r="AP38" s="6">
        <f t="shared" si="30"/>
        <v>0</v>
      </c>
      <c r="AQ38">
        <f t="shared" si="16"/>
        <v>0</v>
      </c>
    </row>
    <row r="39" spans="1:43" x14ac:dyDescent="0.3">
      <c r="A39" s="5">
        <f t="shared" si="22"/>
        <v>43488</v>
      </c>
      <c r="B39" s="6">
        <v>251.12210259997843</v>
      </c>
      <c r="C39" s="25">
        <v>43.266244400000197</v>
      </c>
      <c r="D39" s="6">
        <v>20.79</v>
      </c>
      <c r="E39" s="6">
        <f t="shared" si="17"/>
        <v>315.17834699997866</v>
      </c>
      <c r="F39">
        <f t="shared" si="10"/>
        <v>0</v>
      </c>
      <c r="G39" s="5">
        <f t="shared" si="23"/>
        <v>43853</v>
      </c>
      <c r="H39" s="6">
        <v>264.26476319992543</v>
      </c>
      <c r="I39" s="25">
        <v>46.514788600001481</v>
      </c>
      <c r="J39" s="6">
        <v>27.663</v>
      </c>
      <c r="K39" s="6">
        <f t="shared" si="18"/>
        <v>338.44255179992695</v>
      </c>
      <c r="L39">
        <f t="shared" si="11"/>
        <v>0</v>
      </c>
      <c r="M39" s="5">
        <f t="shared" si="24"/>
        <v>44219</v>
      </c>
      <c r="N39" s="6">
        <v>170.07096920001507</v>
      </c>
      <c r="O39" s="25">
        <v>50.524567999996243</v>
      </c>
      <c r="P39" s="6">
        <v>22.231000000000002</v>
      </c>
      <c r="Q39" s="6">
        <f t="shared" si="19"/>
        <v>242.8265372000113</v>
      </c>
      <c r="R39">
        <f t="shared" si="12"/>
        <v>0</v>
      </c>
      <c r="S39" s="5">
        <f t="shared" si="25"/>
        <v>44584</v>
      </c>
      <c r="T39" s="6">
        <v>193.06641910004615</v>
      </c>
      <c r="U39" s="25">
        <v>42.342557300001381</v>
      </c>
      <c r="V39" s="6">
        <v>15.640614499999209</v>
      </c>
      <c r="W39" s="6">
        <f t="shared" si="20"/>
        <v>251.04959090004672</v>
      </c>
      <c r="X39">
        <f t="shared" si="13"/>
        <v>0</v>
      </c>
      <c r="Z39" s="5">
        <f t="shared" si="26"/>
        <v>44584</v>
      </c>
      <c r="AA39" s="6">
        <v>223.54216570007802</v>
      </c>
      <c r="AB39" s="25">
        <v>59.968537200003865</v>
      </c>
      <c r="AC39" s="6">
        <v>22.598259599999526</v>
      </c>
      <c r="AD39" s="6">
        <f t="shared" si="21"/>
        <v>306.10896250008142</v>
      </c>
      <c r="AE39">
        <f t="shared" si="14"/>
        <v>0</v>
      </c>
      <c r="AF39" s="5">
        <f t="shared" si="27"/>
        <v>45314</v>
      </c>
      <c r="AG39" s="6"/>
      <c r="AH39" s="25"/>
      <c r="AI39" s="6"/>
      <c r="AJ39" s="6">
        <f t="shared" si="28"/>
        <v>0</v>
      </c>
      <c r="AK39">
        <f t="shared" si="15"/>
        <v>0</v>
      </c>
      <c r="AL39" s="5">
        <f t="shared" si="29"/>
        <v>45680</v>
      </c>
      <c r="AM39" s="6"/>
      <c r="AN39" s="25"/>
      <c r="AO39" s="6"/>
      <c r="AP39" s="6">
        <f t="shared" si="30"/>
        <v>0</v>
      </c>
      <c r="AQ39">
        <f t="shared" si="16"/>
        <v>0</v>
      </c>
    </row>
    <row r="40" spans="1:43" x14ac:dyDescent="0.3">
      <c r="A40" s="5">
        <f t="shared" si="22"/>
        <v>43489</v>
      </c>
      <c r="B40" s="6">
        <v>255.35654800003766</v>
      </c>
      <c r="C40" s="25">
        <v>42.598278800001367</v>
      </c>
      <c r="D40" s="6">
        <v>20.712</v>
      </c>
      <c r="E40" s="6">
        <f t="shared" si="17"/>
        <v>318.66682680003902</v>
      </c>
      <c r="F40">
        <f t="shared" si="10"/>
        <v>0</v>
      </c>
      <c r="G40" s="5">
        <f t="shared" si="23"/>
        <v>43854</v>
      </c>
      <c r="H40" s="6">
        <v>274.84488289999962</v>
      </c>
      <c r="I40" s="25">
        <v>46.684314199998973</v>
      </c>
      <c r="J40" s="6">
        <v>27.411999999999999</v>
      </c>
      <c r="K40" s="6">
        <f t="shared" si="18"/>
        <v>348.94119709999859</v>
      </c>
      <c r="L40">
        <f t="shared" si="11"/>
        <v>0</v>
      </c>
      <c r="M40" s="5">
        <f t="shared" si="24"/>
        <v>44220</v>
      </c>
      <c r="N40" s="6">
        <v>168.04527619993686</v>
      </c>
      <c r="O40" s="25">
        <v>45.362965500004591</v>
      </c>
      <c r="P40" s="6">
        <v>19.082999999999998</v>
      </c>
      <c r="Q40" s="6">
        <f t="shared" si="19"/>
        <v>232.49124169994147</v>
      </c>
      <c r="R40">
        <f t="shared" si="12"/>
        <v>0</v>
      </c>
      <c r="S40" s="5">
        <f t="shared" si="25"/>
        <v>44585</v>
      </c>
      <c r="T40" s="6">
        <v>214.32548440003396</v>
      </c>
      <c r="U40" s="25">
        <v>52.358257899999622</v>
      </c>
      <c r="V40" s="6">
        <v>22.457959500000811</v>
      </c>
      <c r="W40" s="6">
        <f t="shared" si="20"/>
        <v>289.14170180003441</v>
      </c>
      <c r="X40">
        <f t="shared" si="13"/>
        <v>0</v>
      </c>
      <c r="Z40" s="5">
        <f t="shared" si="26"/>
        <v>44585</v>
      </c>
      <c r="AA40" s="6">
        <v>214.95176739990711</v>
      </c>
      <c r="AB40" s="25">
        <v>60.654421000003815</v>
      </c>
      <c r="AC40" s="6">
        <v>23.398068800003269</v>
      </c>
      <c r="AD40" s="6">
        <f t="shared" si="21"/>
        <v>299.00425719991421</v>
      </c>
      <c r="AE40">
        <f t="shared" si="14"/>
        <v>0</v>
      </c>
      <c r="AF40" s="5">
        <f t="shared" si="27"/>
        <v>45315</v>
      </c>
      <c r="AG40" s="6"/>
      <c r="AH40" s="25"/>
      <c r="AI40" s="6"/>
      <c r="AJ40" s="6">
        <f t="shared" si="28"/>
        <v>0</v>
      </c>
      <c r="AK40">
        <f t="shared" si="15"/>
        <v>0</v>
      </c>
      <c r="AL40" s="5">
        <f t="shared" si="29"/>
        <v>45681</v>
      </c>
      <c r="AM40" s="6"/>
      <c r="AN40" s="25"/>
      <c r="AO40" s="6"/>
      <c r="AP40" s="6">
        <f t="shared" si="30"/>
        <v>0</v>
      </c>
      <c r="AQ40">
        <f t="shared" si="16"/>
        <v>0</v>
      </c>
    </row>
    <row r="41" spans="1:43" x14ac:dyDescent="0.3">
      <c r="A41" s="5">
        <f t="shared" si="22"/>
        <v>43490</v>
      </c>
      <c r="B41" s="6">
        <v>254.27235479998589</v>
      </c>
      <c r="C41" s="25">
        <v>42.009154099998995</v>
      </c>
      <c r="D41" s="6">
        <v>20.614000000000001</v>
      </c>
      <c r="E41" s="6">
        <f t="shared" si="17"/>
        <v>316.89550889998486</v>
      </c>
      <c r="F41">
        <f t="shared" si="10"/>
        <v>0</v>
      </c>
      <c r="G41" s="5">
        <f t="shared" si="23"/>
        <v>43855</v>
      </c>
      <c r="H41" s="6">
        <v>235.04993050003051</v>
      </c>
      <c r="I41" s="25">
        <v>43.33856430000067</v>
      </c>
      <c r="J41" s="6">
        <v>25.846</v>
      </c>
      <c r="K41" s="6">
        <f t="shared" si="18"/>
        <v>304.2344948000312</v>
      </c>
      <c r="L41">
        <f t="shared" si="11"/>
        <v>0</v>
      </c>
      <c r="M41" s="5">
        <f t="shared" si="24"/>
        <v>44221</v>
      </c>
      <c r="N41" s="6">
        <v>171.77599790000914</v>
      </c>
      <c r="O41" s="25">
        <v>54.004984600000085</v>
      </c>
      <c r="P41" s="6">
        <v>23.3</v>
      </c>
      <c r="Q41" s="6">
        <f t="shared" si="19"/>
        <v>249.08098250000924</v>
      </c>
      <c r="R41">
        <f t="shared" si="12"/>
        <v>0</v>
      </c>
      <c r="S41" s="5">
        <f t="shared" si="25"/>
        <v>44586</v>
      </c>
      <c r="T41" s="6">
        <v>192.60766869997977</v>
      </c>
      <c r="U41" s="25">
        <v>55.339359999999402</v>
      </c>
      <c r="V41" s="6">
        <v>24.561217599997878</v>
      </c>
      <c r="W41" s="6">
        <f t="shared" si="20"/>
        <v>272.50824629997703</v>
      </c>
      <c r="X41">
        <f t="shared" si="13"/>
        <v>0</v>
      </c>
      <c r="Z41" s="5">
        <f t="shared" si="26"/>
        <v>44586</v>
      </c>
      <c r="AA41" s="6">
        <v>234.09859160006047</v>
      </c>
      <c r="AB41" s="25">
        <v>61.178354899987582</v>
      </c>
      <c r="AC41" s="6">
        <v>24.177279499996452</v>
      </c>
      <c r="AD41" s="6">
        <f t="shared" si="21"/>
        <v>319.45422600004451</v>
      </c>
      <c r="AE41">
        <f t="shared" si="14"/>
        <v>0</v>
      </c>
      <c r="AF41" s="5">
        <f t="shared" si="27"/>
        <v>45316</v>
      </c>
      <c r="AG41" s="6"/>
      <c r="AH41" s="25"/>
      <c r="AI41" s="6"/>
      <c r="AJ41" s="6">
        <f t="shared" si="28"/>
        <v>0</v>
      </c>
      <c r="AK41">
        <f t="shared" si="15"/>
        <v>0</v>
      </c>
      <c r="AL41" s="5">
        <f t="shared" si="29"/>
        <v>45682</v>
      </c>
      <c r="AM41" s="6"/>
      <c r="AN41" s="25"/>
      <c r="AO41" s="6"/>
      <c r="AP41" s="6">
        <f t="shared" si="30"/>
        <v>0</v>
      </c>
      <c r="AQ41">
        <f t="shared" si="16"/>
        <v>0</v>
      </c>
    </row>
    <row r="42" spans="1:43" x14ac:dyDescent="0.3">
      <c r="A42" s="5">
        <f t="shared" si="22"/>
        <v>43491</v>
      </c>
      <c r="B42" s="6">
        <v>240.78408899998664</v>
      </c>
      <c r="C42" s="25">
        <v>40.548811200000344</v>
      </c>
      <c r="D42" s="6">
        <v>18.149000000000001</v>
      </c>
      <c r="E42" s="6">
        <f t="shared" si="17"/>
        <v>299.48190019998697</v>
      </c>
      <c r="F42">
        <f t="shared" si="10"/>
        <v>0</v>
      </c>
      <c r="G42" s="5">
        <f t="shared" si="23"/>
        <v>43856</v>
      </c>
      <c r="H42" s="6">
        <v>200.25036370003224</v>
      </c>
      <c r="I42" s="25">
        <v>37.962371799997989</v>
      </c>
      <c r="J42" s="6">
        <v>17.3</v>
      </c>
      <c r="K42" s="6">
        <f t="shared" si="18"/>
        <v>255.51273550003023</v>
      </c>
      <c r="L42">
        <f t="shared" si="11"/>
        <v>0</v>
      </c>
      <c r="M42" s="5">
        <f t="shared" si="24"/>
        <v>44222</v>
      </c>
      <c r="N42" s="6">
        <v>175.78492610001564</v>
      </c>
      <c r="O42" s="25">
        <v>53.625908599995078</v>
      </c>
      <c r="P42" s="6">
        <v>23.744</v>
      </c>
      <c r="Q42" s="6">
        <f t="shared" si="19"/>
        <v>253.15483470001072</v>
      </c>
      <c r="R42">
        <f t="shared" si="12"/>
        <v>0</v>
      </c>
      <c r="S42" s="5">
        <f t="shared" si="25"/>
        <v>44587</v>
      </c>
      <c r="T42" s="6">
        <v>209.19751119995118</v>
      </c>
      <c r="U42" s="25">
        <v>53.78864320000261</v>
      </c>
      <c r="V42" s="6">
        <v>24.11041040000238</v>
      </c>
      <c r="W42" s="6">
        <f t="shared" si="20"/>
        <v>287.09656479995613</v>
      </c>
      <c r="X42">
        <f t="shared" si="13"/>
        <v>0</v>
      </c>
      <c r="Z42" s="5">
        <f t="shared" si="26"/>
        <v>44587</v>
      </c>
      <c r="AA42" s="6">
        <v>246.0157541999817</v>
      </c>
      <c r="AB42" s="25">
        <v>60.782465300008653</v>
      </c>
      <c r="AC42" s="6">
        <v>24.321538600001951</v>
      </c>
      <c r="AD42" s="6">
        <f t="shared" si="21"/>
        <v>331.11975809999228</v>
      </c>
      <c r="AE42">
        <f t="shared" si="14"/>
        <v>0</v>
      </c>
      <c r="AF42" s="5">
        <f t="shared" si="27"/>
        <v>45317</v>
      </c>
      <c r="AG42" s="6"/>
      <c r="AH42" s="25"/>
      <c r="AI42" s="6"/>
      <c r="AJ42" s="6">
        <f t="shared" si="28"/>
        <v>0</v>
      </c>
      <c r="AK42">
        <f t="shared" si="15"/>
        <v>0</v>
      </c>
      <c r="AL42" s="5">
        <f t="shared" si="29"/>
        <v>45683</v>
      </c>
      <c r="AM42" s="6"/>
      <c r="AN42" s="25"/>
      <c r="AO42" s="6"/>
      <c r="AP42" s="6">
        <f t="shared" si="30"/>
        <v>0</v>
      </c>
      <c r="AQ42">
        <f t="shared" si="16"/>
        <v>0</v>
      </c>
    </row>
    <row r="43" spans="1:43" x14ac:dyDescent="0.3">
      <c r="A43" s="5">
        <f t="shared" si="22"/>
        <v>43492</v>
      </c>
      <c r="B43" s="6">
        <v>218.5435328000188</v>
      </c>
      <c r="C43" s="25">
        <v>38.824112800000236</v>
      </c>
      <c r="D43" s="6">
        <v>15.430999999999999</v>
      </c>
      <c r="E43" s="6">
        <f t="shared" si="17"/>
        <v>272.79864560001903</v>
      </c>
      <c r="F43">
        <f t="shared" si="10"/>
        <v>0</v>
      </c>
      <c r="G43" s="5">
        <f t="shared" si="23"/>
        <v>43857</v>
      </c>
      <c r="H43" s="6">
        <v>232.49962619996072</v>
      </c>
      <c r="I43" s="25">
        <v>45.103604400001466</v>
      </c>
      <c r="J43" s="6">
        <v>26.640999999999998</v>
      </c>
      <c r="K43" s="6">
        <f t="shared" si="18"/>
        <v>304.24423059996218</v>
      </c>
      <c r="L43">
        <f t="shared" si="11"/>
        <v>0</v>
      </c>
      <c r="M43" s="5">
        <f t="shared" si="24"/>
        <v>44223</v>
      </c>
      <c r="N43" s="6">
        <v>195.5266074000597</v>
      </c>
      <c r="O43" s="25">
        <v>55.083105300001797</v>
      </c>
      <c r="P43" s="6">
        <v>22.715</v>
      </c>
      <c r="Q43" s="6">
        <f t="shared" si="19"/>
        <v>273.32471270006147</v>
      </c>
      <c r="R43">
        <f t="shared" si="12"/>
        <v>0</v>
      </c>
      <c r="S43" s="5">
        <f t="shared" si="25"/>
        <v>44588</v>
      </c>
      <c r="T43" s="6">
        <v>207.39762160003184</v>
      </c>
      <c r="U43" s="25">
        <v>53.240487099997701</v>
      </c>
      <c r="V43" s="6">
        <v>23.196851099999041</v>
      </c>
      <c r="W43" s="6">
        <f t="shared" si="20"/>
        <v>283.83495980002857</v>
      </c>
      <c r="X43">
        <f t="shared" si="13"/>
        <v>0</v>
      </c>
      <c r="Z43" s="5">
        <f t="shared" si="26"/>
        <v>44588</v>
      </c>
      <c r="AA43" s="6">
        <v>222.41582350003719</v>
      </c>
      <c r="AB43" s="25">
        <v>57.193234999999405</v>
      </c>
      <c r="AC43" s="6">
        <v>24.322405200000386</v>
      </c>
      <c r="AD43" s="6">
        <f t="shared" si="21"/>
        <v>303.931463700037</v>
      </c>
      <c r="AE43">
        <f t="shared" si="14"/>
        <v>0</v>
      </c>
      <c r="AF43" s="5">
        <f t="shared" si="27"/>
        <v>45318</v>
      </c>
      <c r="AG43" s="6"/>
      <c r="AH43" s="25"/>
      <c r="AI43" s="6"/>
      <c r="AJ43" s="6">
        <f t="shared" si="28"/>
        <v>0</v>
      </c>
      <c r="AK43">
        <f t="shared" si="15"/>
        <v>0</v>
      </c>
      <c r="AL43" s="5">
        <f t="shared" si="29"/>
        <v>45684</v>
      </c>
      <c r="AM43" s="6"/>
      <c r="AN43" s="25"/>
      <c r="AO43" s="6"/>
      <c r="AP43" s="6">
        <f t="shared" si="30"/>
        <v>0</v>
      </c>
      <c r="AQ43">
        <f t="shared" si="16"/>
        <v>0</v>
      </c>
    </row>
    <row r="44" spans="1:43" x14ac:dyDescent="0.3">
      <c r="A44" s="5">
        <f t="shared" si="22"/>
        <v>43493</v>
      </c>
      <c r="B44" s="6">
        <v>253.21141969996691</v>
      </c>
      <c r="C44" s="25">
        <v>42.920643400000408</v>
      </c>
      <c r="D44" s="6">
        <v>20.558</v>
      </c>
      <c r="E44" s="6">
        <f t="shared" si="17"/>
        <v>316.69006309996729</v>
      </c>
      <c r="F44">
        <f t="shared" si="10"/>
        <v>0</v>
      </c>
      <c r="G44" s="5">
        <f t="shared" si="23"/>
        <v>43858</v>
      </c>
      <c r="H44" s="6">
        <v>216.70726289999484</v>
      </c>
      <c r="I44" s="25">
        <v>47.124817400000993</v>
      </c>
      <c r="J44" s="6">
        <v>26.727</v>
      </c>
      <c r="K44" s="6">
        <f t="shared" si="18"/>
        <v>290.5590802999958</v>
      </c>
      <c r="L44">
        <f t="shared" si="11"/>
        <v>0</v>
      </c>
      <c r="M44" s="5">
        <f t="shared" si="24"/>
        <v>44224</v>
      </c>
      <c r="N44" s="6">
        <v>188.61885949993135</v>
      </c>
      <c r="O44" s="25">
        <v>54.324824100002644</v>
      </c>
      <c r="P44" s="6">
        <v>24.046099999999999</v>
      </c>
      <c r="Q44" s="6">
        <f t="shared" si="19"/>
        <v>266.98978359993401</v>
      </c>
      <c r="R44">
        <f t="shared" si="12"/>
        <v>0</v>
      </c>
      <c r="S44" s="5">
        <f t="shared" si="25"/>
        <v>44589</v>
      </c>
      <c r="T44" s="6">
        <v>241.64316830003261</v>
      </c>
      <c r="U44" s="25">
        <v>52.797662399999794</v>
      </c>
      <c r="V44" s="6">
        <v>22.276416699998315</v>
      </c>
      <c r="W44" s="6">
        <f t="shared" si="20"/>
        <v>316.71724740003071</v>
      </c>
      <c r="X44">
        <f t="shared" si="13"/>
        <v>0</v>
      </c>
      <c r="Z44" s="5">
        <f t="shared" si="26"/>
        <v>44589</v>
      </c>
      <c r="AA44" s="6">
        <v>198.71975800001621</v>
      </c>
      <c r="AB44" s="25">
        <v>57.498232299998399</v>
      </c>
      <c r="AC44" s="6">
        <v>23.341770800000056</v>
      </c>
      <c r="AD44" s="6">
        <f t="shared" si="21"/>
        <v>279.55976110001467</v>
      </c>
      <c r="AE44">
        <f t="shared" si="14"/>
        <v>0</v>
      </c>
      <c r="AF44" s="5">
        <f t="shared" si="27"/>
        <v>45319</v>
      </c>
      <c r="AG44" s="6"/>
      <c r="AH44" s="25"/>
      <c r="AI44" s="6"/>
      <c r="AJ44" s="6">
        <f t="shared" si="28"/>
        <v>0</v>
      </c>
      <c r="AK44">
        <f t="shared" si="15"/>
        <v>0</v>
      </c>
      <c r="AL44" s="5">
        <f t="shared" si="29"/>
        <v>45685</v>
      </c>
      <c r="AM44" s="6"/>
      <c r="AN44" s="25"/>
      <c r="AO44" s="6"/>
      <c r="AP44" s="6">
        <f t="shared" si="30"/>
        <v>0</v>
      </c>
      <c r="AQ44">
        <f t="shared" si="16"/>
        <v>0</v>
      </c>
    </row>
    <row r="45" spans="1:43" x14ac:dyDescent="0.3">
      <c r="A45" s="5">
        <f t="shared" si="22"/>
        <v>43494</v>
      </c>
      <c r="B45" s="6">
        <v>256.1946276000142</v>
      </c>
      <c r="C45" s="25">
        <v>47.16569939999841</v>
      </c>
      <c r="D45" s="6">
        <v>21.57</v>
      </c>
      <c r="E45" s="6">
        <f t="shared" si="17"/>
        <v>324.9303270000126</v>
      </c>
      <c r="F45">
        <f t="shared" si="10"/>
        <v>0</v>
      </c>
      <c r="G45" s="5">
        <f t="shared" si="23"/>
        <v>43859</v>
      </c>
      <c r="H45" s="6">
        <v>230.65537400007247</v>
      </c>
      <c r="I45" s="25">
        <v>48.202910499997436</v>
      </c>
      <c r="J45" s="6">
        <v>26.477</v>
      </c>
      <c r="K45" s="6">
        <f t="shared" si="18"/>
        <v>305.33528450006986</v>
      </c>
      <c r="L45">
        <f t="shared" si="11"/>
        <v>0</v>
      </c>
      <c r="M45" s="5">
        <f t="shared" si="24"/>
        <v>44225</v>
      </c>
      <c r="N45" s="6">
        <v>190.5935802999735</v>
      </c>
      <c r="O45" s="25">
        <v>53.246641800001264</v>
      </c>
      <c r="P45" s="6">
        <v>25.081899999999997</v>
      </c>
      <c r="Q45" s="6">
        <f t="shared" si="19"/>
        <v>268.92212209997479</v>
      </c>
      <c r="R45">
        <f t="shared" si="12"/>
        <v>0</v>
      </c>
      <c r="S45" s="5">
        <f t="shared" si="25"/>
        <v>44590</v>
      </c>
      <c r="T45" s="6">
        <v>211.33547109997272</v>
      </c>
      <c r="U45" s="25">
        <v>52.677882200002671</v>
      </c>
      <c r="V45" s="6">
        <v>18.073485500001116</v>
      </c>
      <c r="W45" s="6">
        <f t="shared" si="20"/>
        <v>282.08683879997653</v>
      </c>
      <c r="X45">
        <f t="shared" si="13"/>
        <v>0</v>
      </c>
      <c r="Z45" s="5">
        <f t="shared" si="26"/>
        <v>44590</v>
      </c>
      <c r="AA45" s="6">
        <v>212.45404979991912</v>
      </c>
      <c r="AB45" s="25">
        <v>48.916973700001833</v>
      </c>
      <c r="AC45" s="6">
        <v>18.94499000000069</v>
      </c>
      <c r="AD45" s="6">
        <f t="shared" si="21"/>
        <v>280.31601349992167</v>
      </c>
      <c r="AE45">
        <f t="shared" si="14"/>
        <v>0</v>
      </c>
      <c r="AF45" s="5">
        <f t="shared" si="27"/>
        <v>45320</v>
      </c>
      <c r="AG45" s="6"/>
      <c r="AH45" s="25"/>
      <c r="AI45" s="6"/>
      <c r="AJ45" s="6">
        <f t="shared" si="28"/>
        <v>0</v>
      </c>
      <c r="AK45">
        <f t="shared" si="15"/>
        <v>0</v>
      </c>
      <c r="AL45" s="5">
        <f t="shared" si="29"/>
        <v>45686</v>
      </c>
      <c r="AM45" s="6"/>
      <c r="AN45" s="25"/>
      <c r="AO45" s="6"/>
      <c r="AP45" s="6">
        <f t="shared" si="30"/>
        <v>0</v>
      </c>
      <c r="AQ45">
        <f t="shared" si="16"/>
        <v>0</v>
      </c>
    </row>
    <row r="46" spans="1:43" x14ac:dyDescent="0.3">
      <c r="A46" s="5">
        <f t="shared" si="22"/>
        <v>43495</v>
      </c>
      <c r="B46" s="6">
        <v>255.10060799998044</v>
      </c>
      <c r="C46" s="25">
        <v>44.406859800001605</v>
      </c>
      <c r="D46" s="6">
        <v>21.768999999999998</v>
      </c>
      <c r="E46" s="6">
        <f t="shared" si="17"/>
        <v>321.27646779998207</v>
      </c>
      <c r="F46">
        <f t="shared" si="10"/>
        <v>0</v>
      </c>
      <c r="G46" s="5">
        <f t="shared" si="23"/>
        <v>43860</v>
      </c>
      <c r="H46" s="6">
        <v>233.97902979993819</v>
      </c>
      <c r="I46" s="25">
        <v>46.063306200001392</v>
      </c>
      <c r="J46" s="6">
        <v>25.632999999999999</v>
      </c>
      <c r="K46" s="6">
        <f t="shared" si="18"/>
        <v>305.67533599993959</v>
      </c>
      <c r="L46">
        <f t="shared" si="11"/>
        <v>0</v>
      </c>
      <c r="M46" s="5">
        <f t="shared" si="24"/>
        <v>44226</v>
      </c>
      <c r="N46" s="6">
        <v>174.6641550000906</v>
      </c>
      <c r="O46" s="25">
        <v>51.898988199993966</v>
      </c>
      <c r="P46" s="6">
        <v>22.621800000000004</v>
      </c>
      <c r="Q46" s="6">
        <f t="shared" si="19"/>
        <v>249.18494320008458</v>
      </c>
      <c r="R46">
        <f t="shared" si="12"/>
        <v>0</v>
      </c>
      <c r="S46" s="5">
        <f t="shared" si="25"/>
        <v>44591</v>
      </c>
      <c r="T46" s="6">
        <v>170.69124849998951</v>
      </c>
      <c r="U46" s="25">
        <v>41.150412000000479</v>
      </c>
      <c r="V46" s="6">
        <v>13.688819700000343</v>
      </c>
      <c r="W46" s="6">
        <f t="shared" si="20"/>
        <v>225.53048019999034</v>
      </c>
      <c r="X46">
        <f t="shared" si="13"/>
        <v>0</v>
      </c>
      <c r="Z46" s="5">
        <f t="shared" si="26"/>
        <v>44591</v>
      </c>
      <c r="AA46" s="6">
        <v>240.27588620007037</v>
      </c>
      <c r="AB46" s="25">
        <v>58.093402099996808</v>
      </c>
      <c r="AC46" s="6">
        <v>22.379390599999578</v>
      </c>
      <c r="AD46" s="6">
        <f t="shared" si="21"/>
        <v>320.74867890006675</v>
      </c>
      <c r="AE46">
        <f t="shared" si="14"/>
        <v>0</v>
      </c>
      <c r="AF46" s="5">
        <f t="shared" si="27"/>
        <v>45321</v>
      </c>
      <c r="AG46" s="6"/>
      <c r="AH46" s="25"/>
      <c r="AI46" s="6"/>
      <c r="AJ46" s="6">
        <f t="shared" si="28"/>
        <v>0</v>
      </c>
      <c r="AK46">
        <f t="shared" si="15"/>
        <v>0</v>
      </c>
      <c r="AL46" s="5">
        <f t="shared" si="29"/>
        <v>45687</v>
      </c>
      <c r="AM46" s="6"/>
      <c r="AN46" s="25"/>
      <c r="AO46" s="6"/>
      <c r="AP46" s="6">
        <f t="shared" si="30"/>
        <v>0</v>
      </c>
      <c r="AQ46">
        <f t="shared" si="16"/>
        <v>0</v>
      </c>
    </row>
    <row r="47" spans="1:43" x14ac:dyDescent="0.3">
      <c r="A47" s="5">
        <f t="shared" si="22"/>
        <v>43496</v>
      </c>
      <c r="B47" s="6">
        <v>260.21298100000621</v>
      </c>
      <c r="C47" s="25">
        <v>43.976065700000149</v>
      </c>
      <c r="D47" s="6">
        <v>21.446999999999999</v>
      </c>
      <c r="E47" s="6">
        <f t="shared" si="17"/>
        <v>325.63604670000637</v>
      </c>
      <c r="F47">
        <f t="shared" si="10"/>
        <v>0</v>
      </c>
      <c r="G47" s="21">
        <f t="shared" si="23"/>
        <v>43861</v>
      </c>
      <c r="H47" s="6">
        <v>220.48724330008031</v>
      </c>
      <c r="I47" s="25">
        <v>42.913586699999868</v>
      </c>
      <c r="J47" s="6">
        <v>26.841999999999999</v>
      </c>
      <c r="K47" s="6">
        <f t="shared" si="18"/>
        <v>290.24283000008018</v>
      </c>
      <c r="L47">
        <f t="shared" si="11"/>
        <v>0</v>
      </c>
      <c r="M47" s="21">
        <f t="shared" si="24"/>
        <v>44227</v>
      </c>
      <c r="N47" s="6">
        <v>154.71246319997312</v>
      </c>
      <c r="O47" s="25">
        <v>41.13132260000706</v>
      </c>
      <c r="P47" s="6">
        <v>20.898400000000002</v>
      </c>
      <c r="Q47" s="6">
        <f t="shared" si="19"/>
        <v>216.74218579998018</v>
      </c>
      <c r="R47">
        <f t="shared" si="12"/>
        <v>0</v>
      </c>
      <c r="S47" s="21">
        <f t="shared" si="25"/>
        <v>44592</v>
      </c>
      <c r="T47" s="6">
        <v>190.16320340001582</v>
      </c>
      <c r="U47" s="25">
        <v>51.668299899995326</v>
      </c>
      <c r="V47" s="6">
        <v>16.052105799999087</v>
      </c>
      <c r="W47" s="6">
        <f t="shared" si="20"/>
        <v>257.88360910001023</v>
      </c>
      <c r="X47">
        <f t="shared" si="13"/>
        <v>0</v>
      </c>
      <c r="Z47" s="21">
        <f t="shared" si="26"/>
        <v>44592</v>
      </c>
      <c r="AA47" s="6">
        <v>214.98010689997673</v>
      </c>
      <c r="AB47" s="25">
        <v>57.408362800002095</v>
      </c>
      <c r="AC47" s="6">
        <v>23.381860300000291</v>
      </c>
      <c r="AD47" s="6">
        <f t="shared" si="21"/>
        <v>295.77032999997914</v>
      </c>
      <c r="AE47">
        <f t="shared" si="14"/>
        <v>0</v>
      </c>
      <c r="AF47" s="21">
        <f t="shared" si="27"/>
        <v>45322</v>
      </c>
      <c r="AG47" s="6"/>
      <c r="AH47" s="25"/>
      <c r="AI47" s="6"/>
      <c r="AJ47" s="6">
        <f t="shared" si="28"/>
        <v>0</v>
      </c>
      <c r="AK47">
        <f t="shared" si="15"/>
        <v>0</v>
      </c>
      <c r="AL47" s="21">
        <f t="shared" si="29"/>
        <v>45688</v>
      </c>
      <c r="AM47" s="6"/>
      <c r="AN47" s="25"/>
      <c r="AO47" s="6"/>
      <c r="AP47" s="6">
        <f t="shared" si="30"/>
        <v>0</v>
      </c>
      <c r="AQ47">
        <f t="shared" si="16"/>
        <v>0</v>
      </c>
    </row>
    <row r="48" spans="1:43" x14ac:dyDescent="0.3">
      <c r="A48" s="5">
        <f t="shared" si="22"/>
        <v>43497</v>
      </c>
      <c r="B48" s="6">
        <v>257.18742070001366</v>
      </c>
      <c r="C48" s="6">
        <v>42.997805399999024</v>
      </c>
      <c r="D48" s="6">
        <v>21.213999999999999</v>
      </c>
      <c r="E48" s="6">
        <f t="shared" si="17"/>
        <v>321.3992261000127</v>
      </c>
      <c r="F48">
        <f t="shared" si="10"/>
        <v>0</v>
      </c>
      <c r="G48" s="5">
        <f t="shared" si="23"/>
        <v>43862</v>
      </c>
      <c r="H48" s="6">
        <v>207.95559169995784</v>
      </c>
      <c r="I48" s="6">
        <v>43.159513900000604</v>
      </c>
      <c r="J48" s="6">
        <v>23.5654</v>
      </c>
      <c r="K48" s="6">
        <f t="shared" si="18"/>
        <v>274.68050559995845</v>
      </c>
      <c r="L48">
        <f t="shared" si="11"/>
        <v>0</v>
      </c>
      <c r="M48" s="5">
        <f t="shared" si="24"/>
        <v>44228</v>
      </c>
      <c r="N48" s="6">
        <v>180.82212160003186</v>
      </c>
      <c r="O48" s="6">
        <v>49.248759499996901</v>
      </c>
      <c r="P48" s="6">
        <v>26.463999999999999</v>
      </c>
      <c r="Q48" s="6">
        <f t="shared" si="19"/>
        <v>256.53488110002877</v>
      </c>
      <c r="R48">
        <f t="shared" si="12"/>
        <v>0</v>
      </c>
      <c r="S48" s="5">
        <f t="shared" si="25"/>
        <v>44593</v>
      </c>
      <c r="T48" s="6">
        <v>186.53539079999925</v>
      </c>
      <c r="U48" s="6">
        <v>51.900136700004339</v>
      </c>
      <c r="V48" s="6">
        <v>15.789676800001413</v>
      </c>
      <c r="W48" s="6">
        <f t="shared" si="20"/>
        <v>254.225204300005</v>
      </c>
      <c r="X48">
        <f t="shared" si="13"/>
        <v>0</v>
      </c>
      <c r="Z48" s="5">
        <f t="shared" si="26"/>
        <v>44593</v>
      </c>
      <c r="AA48" s="6">
        <v>213.39109509992599</v>
      </c>
      <c r="AB48" s="6">
        <v>57.8985067999959</v>
      </c>
      <c r="AC48" s="6">
        <v>23.910013099997769</v>
      </c>
      <c r="AD48" s="6">
        <f t="shared" si="21"/>
        <v>295.19961499991962</v>
      </c>
      <c r="AE48">
        <f t="shared" si="14"/>
        <v>0</v>
      </c>
      <c r="AF48" s="5">
        <f t="shared" si="27"/>
        <v>45323</v>
      </c>
      <c r="AG48" s="6"/>
      <c r="AH48" s="6"/>
      <c r="AI48" s="6"/>
      <c r="AJ48" s="6">
        <f t="shared" si="28"/>
        <v>0</v>
      </c>
      <c r="AK48">
        <f t="shared" si="15"/>
        <v>0</v>
      </c>
      <c r="AL48" s="5">
        <f t="shared" si="29"/>
        <v>45689</v>
      </c>
      <c r="AM48" s="6"/>
      <c r="AN48" s="6"/>
      <c r="AO48" s="6"/>
      <c r="AP48" s="6">
        <f t="shared" si="30"/>
        <v>0</v>
      </c>
      <c r="AQ48">
        <f t="shared" si="16"/>
        <v>0</v>
      </c>
    </row>
    <row r="49" spans="1:43" x14ac:dyDescent="0.3">
      <c r="A49" s="5">
        <f t="shared" si="22"/>
        <v>43498</v>
      </c>
      <c r="B49" s="6">
        <v>246.42585750001669</v>
      </c>
      <c r="C49" s="6">
        <v>42.690926699999721</v>
      </c>
      <c r="D49" s="6">
        <v>19.803999999999998</v>
      </c>
      <c r="E49" s="6">
        <f t="shared" si="17"/>
        <v>308.92078420001639</v>
      </c>
      <c r="F49">
        <f t="shared" si="10"/>
        <v>0</v>
      </c>
      <c r="G49" s="5">
        <f t="shared" si="23"/>
        <v>43863</v>
      </c>
      <c r="H49" s="6">
        <v>211.45287650001049</v>
      </c>
      <c r="I49" s="6">
        <v>37.696406700000168</v>
      </c>
      <c r="J49" s="6">
        <v>17.072650000000003</v>
      </c>
      <c r="K49" s="6">
        <f t="shared" si="18"/>
        <v>266.22193320001065</v>
      </c>
      <c r="L49">
        <f t="shared" si="11"/>
        <v>0</v>
      </c>
      <c r="M49" s="5">
        <f t="shared" si="24"/>
        <v>44229</v>
      </c>
      <c r="N49" s="6">
        <v>193.64434560000896</v>
      </c>
      <c r="O49" s="6">
        <v>51.302862099997697</v>
      </c>
      <c r="P49" s="6">
        <v>22.152999999999999</v>
      </c>
      <c r="Q49" s="6">
        <f t="shared" si="19"/>
        <v>267.10020770000665</v>
      </c>
      <c r="R49">
        <f t="shared" si="12"/>
        <v>0</v>
      </c>
      <c r="S49" s="5">
        <f t="shared" si="25"/>
        <v>44594</v>
      </c>
      <c r="T49" s="6">
        <v>228.92961389994622</v>
      </c>
      <c r="U49" s="6">
        <v>51.264387999996543</v>
      </c>
      <c r="V49" s="6">
        <v>17.630445599999511</v>
      </c>
      <c r="W49" s="6">
        <f t="shared" si="20"/>
        <v>297.82444749994227</v>
      </c>
      <c r="X49">
        <f t="shared" si="13"/>
        <v>0</v>
      </c>
      <c r="Z49" s="5">
        <f t="shared" si="26"/>
        <v>44594</v>
      </c>
      <c r="AA49" s="6">
        <v>237.45331740009786</v>
      </c>
      <c r="AB49" s="6">
        <v>56.502984300002453</v>
      </c>
      <c r="AC49" s="6">
        <v>21.994989600001833</v>
      </c>
      <c r="AD49" s="6">
        <f t="shared" si="21"/>
        <v>315.95129130010213</v>
      </c>
      <c r="AE49">
        <f t="shared" si="14"/>
        <v>0</v>
      </c>
      <c r="AF49" s="5">
        <f t="shared" si="27"/>
        <v>45324</v>
      </c>
      <c r="AG49" s="6"/>
      <c r="AH49" s="6"/>
      <c r="AI49" s="6"/>
      <c r="AJ49" s="6">
        <f t="shared" si="28"/>
        <v>0</v>
      </c>
      <c r="AK49">
        <f t="shared" si="15"/>
        <v>0</v>
      </c>
      <c r="AL49" s="5">
        <f t="shared" si="29"/>
        <v>45690</v>
      </c>
      <c r="AM49" s="6"/>
      <c r="AN49" s="6"/>
      <c r="AO49" s="6"/>
      <c r="AP49" s="6">
        <f t="shared" si="30"/>
        <v>0</v>
      </c>
      <c r="AQ49">
        <f t="shared" si="16"/>
        <v>0</v>
      </c>
    </row>
    <row r="50" spans="1:43" x14ac:dyDescent="0.3">
      <c r="A50" s="5">
        <f t="shared" si="22"/>
        <v>43499</v>
      </c>
      <c r="B50" s="6">
        <v>228.26678179997205</v>
      </c>
      <c r="C50" s="6">
        <v>40.954255000000821</v>
      </c>
      <c r="D50" s="6">
        <v>14.808999999999999</v>
      </c>
      <c r="E50" s="6">
        <f t="shared" si="17"/>
        <v>284.03003679997289</v>
      </c>
      <c r="F50">
        <f t="shared" si="10"/>
        <v>0</v>
      </c>
      <c r="G50" s="5">
        <f t="shared" si="23"/>
        <v>43864</v>
      </c>
      <c r="H50" s="6">
        <v>232.13058149993421</v>
      </c>
      <c r="I50" s="6">
        <v>45.220326699998232</v>
      </c>
      <c r="J50" s="6">
        <v>21.646000000000001</v>
      </c>
      <c r="K50" s="6">
        <f t="shared" si="18"/>
        <v>298.99690819993248</v>
      </c>
      <c r="L50">
        <f t="shared" si="11"/>
        <v>0</v>
      </c>
      <c r="M50" s="5">
        <f t="shared" si="24"/>
        <v>44230</v>
      </c>
      <c r="N50" s="6">
        <v>188.77043529999256</v>
      </c>
      <c r="O50" s="6">
        <v>51.549218100003898</v>
      </c>
      <c r="P50" s="6">
        <v>20.594000000000001</v>
      </c>
      <c r="Q50" s="6">
        <f t="shared" si="19"/>
        <v>260.91365339999646</v>
      </c>
      <c r="R50">
        <f t="shared" si="12"/>
        <v>0</v>
      </c>
      <c r="S50" s="5">
        <f t="shared" si="25"/>
        <v>44595</v>
      </c>
      <c r="T50" s="6">
        <v>234.95989110004902</v>
      </c>
      <c r="U50" s="6">
        <v>53.952603900000454</v>
      </c>
      <c r="V50" s="6">
        <v>21.334670999999972</v>
      </c>
      <c r="W50" s="6">
        <f t="shared" si="20"/>
        <v>310.24716600004945</v>
      </c>
      <c r="X50">
        <f t="shared" si="13"/>
        <v>0</v>
      </c>
      <c r="Z50" s="5">
        <f t="shared" si="26"/>
        <v>44595</v>
      </c>
      <c r="AA50" s="6">
        <v>216.45098879992963</v>
      </c>
      <c r="AB50" s="6">
        <v>56.055724199995396</v>
      </c>
      <c r="AC50" s="6">
        <v>19.160095900000073</v>
      </c>
      <c r="AD50" s="6">
        <f t="shared" si="21"/>
        <v>291.66680889992506</v>
      </c>
      <c r="AE50">
        <f t="shared" si="14"/>
        <v>0</v>
      </c>
      <c r="AF50" s="5">
        <f t="shared" si="27"/>
        <v>45325</v>
      </c>
      <c r="AG50" s="6"/>
      <c r="AH50" s="6"/>
      <c r="AI50" s="6"/>
      <c r="AJ50" s="6">
        <f t="shared" si="28"/>
        <v>0</v>
      </c>
      <c r="AK50">
        <f t="shared" si="15"/>
        <v>0</v>
      </c>
      <c r="AL50" s="5">
        <f t="shared" si="29"/>
        <v>45691</v>
      </c>
      <c r="AM50" s="6"/>
      <c r="AN50" s="6"/>
      <c r="AO50" s="6"/>
      <c r="AP50" s="6">
        <f t="shared" si="30"/>
        <v>0</v>
      </c>
      <c r="AQ50">
        <f t="shared" si="16"/>
        <v>0</v>
      </c>
    </row>
    <row r="51" spans="1:43" x14ac:dyDescent="0.3">
      <c r="A51" s="5">
        <f t="shared" si="22"/>
        <v>43500</v>
      </c>
      <c r="B51" s="6">
        <v>278.78901710003612</v>
      </c>
      <c r="C51" s="6">
        <v>46.132087799999866</v>
      </c>
      <c r="D51" s="6">
        <v>19.643000000000001</v>
      </c>
      <c r="E51" s="6">
        <f t="shared" si="17"/>
        <v>344.564104900036</v>
      </c>
      <c r="F51">
        <f t="shared" si="10"/>
        <v>0</v>
      </c>
      <c r="G51" s="5">
        <f t="shared" si="23"/>
        <v>43865</v>
      </c>
      <c r="H51" s="6">
        <v>219.02903050005435</v>
      </c>
      <c r="I51" s="6">
        <v>45.726586600001902</v>
      </c>
      <c r="J51" s="6">
        <v>21.908999999999999</v>
      </c>
      <c r="K51" s="6">
        <f t="shared" si="18"/>
        <v>286.66461710005626</v>
      </c>
      <c r="L51">
        <f t="shared" si="11"/>
        <v>0</v>
      </c>
      <c r="M51" s="5">
        <f t="shared" si="24"/>
        <v>44231</v>
      </c>
      <c r="N51" s="6">
        <v>181.45798420000077</v>
      </c>
      <c r="O51" s="6">
        <v>51.023250299997628</v>
      </c>
      <c r="P51" s="6">
        <v>20.085999999999999</v>
      </c>
      <c r="Q51" s="6">
        <f t="shared" si="19"/>
        <v>252.56723449999839</v>
      </c>
      <c r="R51">
        <f t="shared" si="12"/>
        <v>0</v>
      </c>
      <c r="S51" s="5">
        <f t="shared" si="25"/>
        <v>44596</v>
      </c>
      <c r="T51" s="6">
        <v>226.80655830001831</v>
      </c>
      <c r="U51" s="6">
        <v>53.210254500001668</v>
      </c>
      <c r="V51" s="6">
        <v>23.863734200001812</v>
      </c>
      <c r="W51" s="6">
        <f t="shared" si="20"/>
        <v>303.88054700002181</v>
      </c>
      <c r="X51">
        <f t="shared" si="13"/>
        <v>0</v>
      </c>
      <c r="Z51" s="5">
        <f t="shared" si="26"/>
        <v>44596</v>
      </c>
      <c r="AA51" s="6">
        <v>216.04212530004978</v>
      </c>
      <c r="AB51" s="6">
        <v>59.197432099997997</v>
      </c>
      <c r="AC51" s="6">
        <v>19.940302499999756</v>
      </c>
      <c r="AD51" s="6">
        <f t="shared" si="21"/>
        <v>295.17985990004752</v>
      </c>
      <c r="AE51">
        <f t="shared" si="14"/>
        <v>0</v>
      </c>
      <c r="AF51" s="5">
        <f t="shared" si="27"/>
        <v>45326</v>
      </c>
      <c r="AG51" s="6"/>
      <c r="AH51" s="6"/>
      <c r="AI51" s="6"/>
      <c r="AJ51" s="6">
        <f t="shared" si="28"/>
        <v>0</v>
      </c>
      <c r="AK51">
        <f t="shared" si="15"/>
        <v>0</v>
      </c>
      <c r="AL51" s="5">
        <f t="shared" si="29"/>
        <v>45692</v>
      </c>
      <c r="AM51" s="6"/>
      <c r="AN51" s="6"/>
      <c r="AO51" s="6"/>
      <c r="AP51" s="6">
        <f t="shared" si="30"/>
        <v>0</v>
      </c>
      <c r="AQ51">
        <f t="shared" si="16"/>
        <v>0</v>
      </c>
    </row>
    <row r="52" spans="1:43" x14ac:dyDescent="0.3">
      <c r="A52" s="5">
        <f t="shared" si="22"/>
        <v>43501</v>
      </c>
      <c r="B52" s="6">
        <v>272.66132910001278</v>
      </c>
      <c r="C52" s="6">
        <v>46.659140899999066</v>
      </c>
      <c r="D52" s="6">
        <v>21.498000000000001</v>
      </c>
      <c r="E52" s="6">
        <f t="shared" si="17"/>
        <v>340.81847000001181</v>
      </c>
      <c r="F52">
        <f t="shared" si="10"/>
        <v>0</v>
      </c>
      <c r="G52" s="5">
        <f t="shared" si="23"/>
        <v>43866</v>
      </c>
      <c r="H52" s="6">
        <v>250.76905879998208</v>
      </c>
      <c r="I52" s="6">
        <v>46.463314599998299</v>
      </c>
      <c r="J52" s="6">
        <v>21.366</v>
      </c>
      <c r="K52" s="6">
        <f t="shared" si="18"/>
        <v>318.59837339998035</v>
      </c>
      <c r="L52">
        <f t="shared" si="11"/>
        <v>0</v>
      </c>
      <c r="M52" s="5">
        <f t="shared" si="24"/>
        <v>44232</v>
      </c>
      <c r="N52" s="6">
        <v>178.70199539995193</v>
      </c>
      <c r="O52" s="6">
        <v>49.999999799996615</v>
      </c>
      <c r="P52" s="6">
        <v>20.047999999999998</v>
      </c>
      <c r="Q52" s="6">
        <f t="shared" si="19"/>
        <v>248.74999519994856</v>
      </c>
      <c r="R52">
        <f t="shared" si="12"/>
        <v>0</v>
      </c>
      <c r="S52" s="5">
        <f t="shared" si="25"/>
        <v>44597</v>
      </c>
      <c r="T52" s="6">
        <v>207.5055773999691</v>
      </c>
      <c r="U52" s="6">
        <v>49.693564800001681</v>
      </c>
      <c r="V52" s="6">
        <v>24.279647599997464</v>
      </c>
      <c r="W52" s="6">
        <f t="shared" si="20"/>
        <v>281.47878979996824</v>
      </c>
      <c r="X52">
        <f t="shared" si="13"/>
        <v>0</v>
      </c>
      <c r="Z52" s="5">
        <f t="shared" si="26"/>
        <v>44597</v>
      </c>
      <c r="AA52" s="6">
        <v>156.41380289995669</v>
      </c>
      <c r="AB52" s="6">
        <v>52.134082000002266</v>
      </c>
      <c r="AC52" s="6">
        <v>18.310486300001386</v>
      </c>
      <c r="AD52" s="6">
        <f t="shared" si="21"/>
        <v>226.85837119996035</v>
      </c>
      <c r="AE52">
        <f t="shared" si="14"/>
        <v>0</v>
      </c>
      <c r="AF52" s="5">
        <f t="shared" si="27"/>
        <v>45327</v>
      </c>
      <c r="AG52" s="6"/>
      <c r="AH52" s="6"/>
      <c r="AI52" s="6"/>
      <c r="AJ52" s="6">
        <f t="shared" si="28"/>
        <v>0</v>
      </c>
      <c r="AK52">
        <f t="shared" si="15"/>
        <v>0</v>
      </c>
      <c r="AL52" s="5">
        <f t="shared" si="29"/>
        <v>45693</v>
      </c>
      <c r="AM52" s="6"/>
      <c r="AN52" s="6"/>
      <c r="AO52" s="6"/>
      <c r="AP52" s="6">
        <f t="shared" si="30"/>
        <v>0</v>
      </c>
      <c r="AQ52">
        <f t="shared" si="16"/>
        <v>0</v>
      </c>
    </row>
    <row r="53" spans="1:43" x14ac:dyDescent="0.3">
      <c r="A53" s="5">
        <f t="shared" si="22"/>
        <v>43502</v>
      </c>
      <c r="B53" s="6">
        <v>262.56286949998139</v>
      </c>
      <c r="C53" s="6">
        <v>47.352254300000148</v>
      </c>
      <c r="D53" s="6">
        <v>21.439</v>
      </c>
      <c r="E53" s="6">
        <f t="shared" si="17"/>
        <v>331.35412379998155</v>
      </c>
      <c r="F53">
        <f t="shared" si="10"/>
        <v>0</v>
      </c>
      <c r="G53" s="5">
        <f t="shared" si="23"/>
        <v>43867</v>
      </c>
      <c r="H53" s="6">
        <v>221.97661779999734</v>
      </c>
      <c r="I53" s="6">
        <v>45.430050700001416</v>
      </c>
      <c r="J53" s="6">
        <v>22.85</v>
      </c>
      <c r="K53" s="6">
        <f t="shared" si="18"/>
        <v>290.2566684999988</v>
      </c>
      <c r="L53">
        <f t="shared" si="11"/>
        <v>0</v>
      </c>
      <c r="M53" s="5">
        <f t="shared" si="24"/>
        <v>44233</v>
      </c>
      <c r="N53" s="6">
        <v>198.19631749999525</v>
      </c>
      <c r="O53" s="6">
        <v>48.995745000004767</v>
      </c>
      <c r="P53" s="6">
        <v>19.928999999999998</v>
      </c>
      <c r="Q53" s="6">
        <f t="shared" si="19"/>
        <v>267.12106249999999</v>
      </c>
      <c r="R53">
        <f t="shared" si="12"/>
        <v>0</v>
      </c>
      <c r="S53" s="5">
        <f t="shared" si="25"/>
        <v>44598</v>
      </c>
      <c r="T53" s="6">
        <v>201.3254156999588</v>
      </c>
      <c r="U53" s="6">
        <v>41.832900199994448</v>
      </c>
      <c r="V53" s="6">
        <v>18.291621899999793</v>
      </c>
      <c r="W53" s="6">
        <f t="shared" si="20"/>
        <v>261.44993779995303</v>
      </c>
      <c r="X53">
        <f t="shared" si="13"/>
        <v>0</v>
      </c>
      <c r="Z53" s="5">
        <f t="shared" si="26"/>
        <v>44598</v>
      </c>
      <c r="AA53" s="6">
        <v>206.30328579998016</v>
      </c>
      <c r="AB53" s="6">
        <v>56.714804800003769</v>
      </c>
      <c r="AC53" s="6">
        <v>20.638585599997082</v>
      </c>
      <c r="AD53" s="6">
        <f t="shared" si="21"/>
        <v>283.65667619998101</v>
      </c>
      <c r="AE53">
        <f t="shared" si="14"/>
        <v>0</v>
      </c>
      <c r="AF53" s="5">
        <f t="shared" si="27"/>
        <v>45328</v>
      </c>
      <c r="AG53" s="6"/>
      <c r="AH53" s="6"/>
      <c r="AI53" s="6"/>
      <c r="AJ53" s="6">
        <f t="shared" si="28"/>
        <v>0</v>
      </c>
      <c r="AK53">
        <f t="shared" si="15"/>
        <v>0</v>
      </c>
      <c r="AL53" s="5">
        <f t="shared" si="29"/>
        <v>45694</v>
      </c>
      <c r="AM53" s="6"/>
      <c r="AN53" s="6"/>
      <c r="AO53" s="6"/>
      <c r="AP53" s="6">
        <f t="shared" si="30"/>
        <v>0</v>
      </c>
      <c r="AQ53">
        <f t="shared" si="16"/>
        <v>0</v>
      </c>
    </row>
    <row r="54" spans="1:43" x14ac:dyDescent="0.3">
      <c r="A54" s="5">
        <f t="shared" si="22"/>
        <v>43503</v>
      </c>
      <c r="B54" s="6">
        <v>271.68099930000307</v>
      </c>
      <c r="C54" s="6">
        <v>45.00381730000116</v>
      </c>
      <c r="D54" s="6">
        <v>21.402999999999999</v>
      </c>
      <c r="E54" s="6">
        <f t="shared" si="17"/>
        <v>338.08781660000426</v>
      </c>
      <c r="F54">
        <f t="shared" si="10"/>
        <v>0</v>
      </c>
      <c r="G54" s="5">
        <f t="shared" si="23"/>
        <v>43868</v>
      </c>
      <c r="H54" s="6">
        <v>228.12563549995423</v>
      </c>
      <c r="I54" s="6">
        <v>42.366992100000381</v>
      </c>
      <c r="J54" s="6">
        <v>24.486000000000001</v>
      </c>
      <c r="K54" s="6">
        <f t="shared" si="18"/>
        <v>294.97862759995462</v>
      </c>
      <c r="L54">
        <f t="shared" si="11"/>
        <v>0</v>
      </c>
      <c r="M54" s="5">
        <f t="shared" si="24"/>
        <v>44234</v>
      </c>
      <c r="N54" s="6">
        <v>189.57350830006598</v>
      </c>
      <c r="O54" s="6">
        <v>41.824881200000647</v>
      </c>
      <c r="P54" s="6">
        <v>17.632999999999999</v>
      </c>
      <c r="Q54" s="6">
        <f t="shared" si="19"/>
        <v>249.03138950006664</v>
      </c>
      <c r="R54">
        <f t="shared" si="12"/>
        <v>0</v>
      </c>
      <c r="S54" s="5">
        <f t="shared" si="25"/>
        <v>44599</v>
      </c>
      <c r="T54" s="6">
        <v>233.79905800008774</v>
      </c>
      <c r="U54" s="6">
        <v>53.504791799999772</v>
      </c>
      <c r="V54" s="6">
        <v>23.86720390000136</v>
      </c>
      <c r="W54" s="6">
        <f t="shared" si="20"/>
        <v>311.17105370008886</v>
      </c>
      <c r="X54">
        <f t="shared" si="13"/>
        <v>0</v>
      </c>
      <c r="Z54" s="5">
        <f t="shared" si="26"/>
        <v>44599</v>
      </c>
      <c r="AA54" s="6">
        <v>252.58464079999925</v>
      </c>
      <c r="AB54" s="6">
        <v>59.038739399999379</v>
      </c>
      <c r="AC54" s="6">
        <v>20.493169500001706</v>
      </c>
      <c r="AD54" s="6">
        <f t="shared" si="21"/>
        <v>332.11654970000035</v>
      </c>
      <c r="AE54">
        <f t="shared" si="14"/>
        <v>0</v>
      </c>
      <c r="AF54" s="5">
        <f t="shared" si="27"/>
        <v>45329</v>
      </c>
      <c r="AG54" s="6"/>
      <c r="AH54" s="6"/>
      <c r="AI54" s="6"/>
      <c r="AJ54" s="6">
        <f t="shared" si="28"/>
        <v>0</v>
      </c>
      <c r="AK54">
        <f t="shared" si="15"/>
        <v>0</v>
      </c>
      <c r="AL54" s="5">
        <f t="shared" si="29"/>
        <v>45695</v>
      </c>
      <c r="AM54" s="6"/>
      <c r="AN54" s="6"/>
      <c r="AO54" s="6"/>
      <c r="AP54" s="6">
        <f t="shared" si="30"/>
        <v>0</v>
      </c>
      <c r="AQ54">
        <f t="shared" si="16"/>
        <v>0</v>
      </c>
    </row>
    <row r="55" spans="1:43" x14ac:dyDescent="0.3">
      <c r="A55" s="5">
        <f t="shared" si="22"/>
        <v>43504</v>
      </c>
      <c r="B55" s="6">
        <v>269.61325349998475</v>
      </c>
      <c r="C55" s="6">
        <v>43.689305800000206</v>
      </c>
      <c r="D55" s="6">
        <v>21.228999999999999</v>
      </c>
      <c r="E55" s="6">
        <f t="shared" si="17"/>
        <v>334.53155929998496</v>
      </c>
      <c r="F55">
        <f t="shared" si="10"/>
        <v>0</v>
      </c>
      <c r="G55" s="5">
        <f t="shared" si="23"/>
        <v>43869</v>
      </c>
      <c r="H55" s="6">
        <v>208.37515010011197</v>
      </c>
      <c r="I55" s="6">
        <v>41.251074999999254</v>
      </c>
      <c r="J55" s="6">
        <v>22.355</v>
      </c>
      <c r="K55" s="6">
        <f t="shared" si="18"/>
        <v>271.9812251001112</v>
      </c>
      <c r="L55">
        <f t="shared" si="11"/>
        <v>0</v>
      </c>
      <c r="M55" s="5">
        <f t="shared" si="24"/>
        <v>44235</v>
      </c>
      <c r="N55" s="6">
        <v>228.2744605998993</v>
      </c>
      <c r="O55" s="6">
        <v>52.062950199998916</v>
      </c>
      <c r="P55" s="6">
        <v>21.896999999999998</v>
      </c>
      <c r="Q55" s="6">
        <f t="shared" si="19"/>
        <v>302.23441079989823</v>
      </c>
      <c r="R55">
        <f t="shared" si="12"/>
        <v>0</v>
      </c>
      <c r="S55" s="5">
        <f t="shared" si="25"/>
        <v>44600</v>
      </c>
      <c r="T55" s="6">
        <v>208.85944159996509</v>
      </c>
      <c r="U55" s="6">
        <v>52.259869000002745</v>
      </c>
      <c r="V55" s="6">
        <v>24.532707499999088</v>
      </c>
      <c r="W55" s="6">
        <f t="shared" si="20"/>
        <v>285.65201809996694</v>
      </c>
      <c r="X55">
        <f t="shared" si="13"/>
        <v>0</v>
      </c>
      <c r="Z55" s="5">
        <f t="shared" si="26"/>
        <v>44600</v>
      </c>
      <c r="AA55" s="6">
        <v>242.13824730002881</v>
      </c>
      <c r="AB55" s="6">
        <v>54.295416999995709</v>
      </c>
      <c r="AC55" s="6">
        <v>20.312540000000968</v>
      </c>
      <c r="AD55" s="6">
        <f t="shared" si="21"/>
        <v>316.74620430002551</v>
      </c>
      <c r="AE55">
        <f t="shared" si="14"/>
        <v>0</v>
      </c>
      <c r="AF55" s="5">
        <f t="shared" si="27"/>
        <v>45330</v>
      </c>
      <c r="AG55" s="6"/>
      <c r="AH55" s="6"/>
      <c r="AI55" s="6"/>
      <c r="AJ55" s="6">
        <f t="shared" si="28"/>
        <v>0</v>
      </c>
      <c r="AK55">
        <f t="shared" si="15"/>
        <v>0</v>
      </c>
      <c r="AL55" s="5">
        <f t="shared" si="29"/>
        <v>45696</v>
      </c>
      <c r="AM55" s="6"/>
      <c r="AN55" s="6"/>
      <c r="AO55" s="6"/>
      <c r="AP55" s="6">
        <f t="shared" si="30"/>
        <v>0</v>
      </c>
      <c r="AQ55">
        <f t="shared" si="16"/>
        <v>0</v>
      </c>
    </row>
    <row r="56" spans="1:43" x14ac:dyDescent="0.3">
      <c r="A56" s="5">
        <f t="shared" si="22"/>
        <v>43505</v>
      </c>
      <c r="B56" s="6">
        <v>240.46933130002023</v>
      </c>
      <c r="C56" s="6">
        <v>42.219649799998848</v>
      </c>
      <c r="D56" s="6">
        <v>19.061</v>
      </c>
      <c r="E56" s="6">
        <f t="shared" si="17"/>
        <v>301.74998110001906</v>
      </c>
      <c r="F56">
        <f t="shared" si="10"/>
        <v>0</v>
      </c>
      <c r="G56" s="5">
        <f t="shared" si="23"/>
        <v>43870</v>
      </c>
      <c r="H56" s="6">
        <v>199.86705789995193</v>
      </c>
      <c r="I56" s="6">
        <v>40.384694699998946</v>
      </c>
      <c r="J56" s="6">
        <v>15.992000000000001</v>
      </c>
      <c r="K56" s="6">
        <f t="shared" si="18"/>
        <v>256.24375259995088</v>
      </c>
      <c r="L56">
        <f t="shared" si="11"/>
        <v>0</v>
      </c>
      <c r="M56" s="5">
        <f t="shared" si="24"/>
        <v>44236</v>
      </c>
      <c r="N56" s="6">
        <v>261.1917459000349</v>
      </c>
      <c r="O56" s="6">
        <v>50.280428300000729</v>
      </c>
      <c r="P56" s="6">
        <v>24.202000000000002</v>
      </c>
      <c r="Q56" s="6">
        <f t="shared" si="19"/>
        <v>335.67417420003562</v>
      </c>
      <c r="R56">
        <f t="shared" si="12"/>
        <v>0</v>
      </c>
      <c r="S56" s="5">
        <f t="shared" si="25"/>
        <v>44601</v>
      </c>
      <c r="T56" s="6">
        <v>181.20071159994603</v>
      </c>
      <c r="U56" s="6">
        <v>50.84436140000075</v>
      </c>
      <c r="V56" s="6">
        <v>24.110142500001121</v>
      </c>
      <c r="W56" s="6">
        <f t="shared" si="20"/>
        <v>256.15521549994793</v>
      </c>
      <c r="X56">
        <f t="shared" si="13"/>
        <v>0</v>
      </c>
      <c r="Z56" s="5">
        <f t="shared" si="26"/>
        <v>44601</v>
      </c>
      <c r="AA56" s="6">
        <v>250.52541250002383</v>
      </c>
      <c r="AB56" s="6">
        <v>54.719376300007106</v>
      </c>
      <c r="AC56" s="6">
        <v>21.134670499998144</v>
      </c>
      <c r="AD56" s="6">
        <f t="shared" si="21"/>
        <v>326.37945930002911</v>
      </c>
      <c r="AE56">
        <f t="shared" si="14"/>
        <v>0</v>
      </c>
      <c r="AF56" s="5">
        <f t="shared" si="27"/>
        <v>45331</v>
      </c>
      <c r="AG56" s="6"/>
      <c r="AH56" s="6"/>
      <c r="AI56" s="6"/>
      <c r="AJ56" s="6">
        <f t="shared" si="28"/>
        <v>0</v>
      </c>
      <c r="AK56">
        <f t="shared" si="15"/>
        <v>0</v>
      </c>
      <c r="AL56" s="5">
        <f t="shared" si="29"/>
        <v>45697</v>
      </c>
      <c r="AM56" s="6"/>
      <c r="AN56" s="6"/>
      <c r="AO56" s="6"/>
      <c r="AP56" s="6">
        <f t="shared" si="30"/>
        <v>0</v>
      </c>
      <c r="AQ56">
        <f t="shared" si="16"/>
        <v>0</v>
      </c>
    </row>
    <row r="57" spans="1:43" x14ac:dyDescent="0.3">
      <c r="A57" s="5">
        <f t="shared" si="22"/>
        <v>43506</v>
      </c>
      <c r="B57" s="6">
        <v>220.63536869996787</v>
      </c>
      <c r="C57" s="6">
        <v>39.389744200000543</v>
      </c>
      <c r="D57" s="6">
        <v>15.231999999999999</v>
      </c>
      <c r="E57" s="6">
        <f t="shared" si="17"/>
        <v>275.25711289996843</v>
      </c>
      <c r="F57">
        <f t="shared" si="10"/>
        <v>0</v>
      </c>
      <c r="G57" s="5">
        <f t="shared" si="23"/>
        <v>43871</v>
      </c>
      <c r="H57" s="6">
        <v>239.02226779997349</v>
      </c>
      <c r="I57" s="6">
        <v>48.538986900001767</v>
      </c>
      <c r="J57" s="6">
        <v>21.806000000000001</v>
      </c>
      <c r="K57" s="6">
        <f t="shared" si="18"/>
        <v>309.36725469997526</v>
      </c>
      <c r="L57">
        <f t="shared" si="11"/>
        <v>0</v>
      </c>
      <c r="M57" s="5">
        <f t="shared" si="24"/>
        <v>44237</v>
      </c>
      <c r="N57" s="6">
        <v>252.33061720001697</v>
      </c>
      <c r="O57" s="6">
        <v>51.087821299999952</v>
      </c>
      <c r="P57" s="6">
        <v>22.812000000000001</v>
      </c>
      <c r="Q57" s="6">
        <f t="shared" si="19"/>
        <v>326.23043850001693</v>
      </c>
      <c r="R57">
        <f t="shared" si="12"/>
        <v>0</v>
      </c>
      <c r="S57" s="5">
        <f t="shared" si="25"/>
        <v>44602</v>
      </c>
      <c r="T57" s="6">
        <v>177.73832370007037</v>
      </c>
      <c r="U57" s="6">
        <v>49.149820600003004</v>
      </c>
      <c r="V57" s="6">
        <v>24.061309500001602</v>
      </c>
      <c r="W57" s="6">
        <f t="shared" si="20"/>
        <v>250.94945380007499</v>
      </c>
      <c r="X57">
        <f t="shared" si="13"/>
        <v>0</v>
      </c>
      <c r="Z57" s="5">
        <f t="shared" si="26"/>
        <v>44602</v>
      </c>
      <c r="AA57" s="6">
        <v>239.80814619994163</v>
      </c>
      <c r="AB57" s="6">
        <v>59.692820099994542</v>
      </c>
      <c r="AC57" s="6">
        <v>21.400337599999272</v>
      </c>
      <c r="AD57" s="6">
        <f t="shared" si="21"/>
        <v>320.90130389993544</v>
      </c>
      <c r="AE57">
        <f t="shared" si="14"/>
        <v>0</v>
      </c>
      <c r="AF57" s="5">
        <f t="shared" si="27"/>
        <v>45332</v>
      </c>
      <c r="AG57" s="6"/>
      <c r="AH57" s="6"/>
      <c r="AI57" s="6"/>
      <c r="AJ57" s="6">
        <f t="shared" si="28"/>
        <v>0</v>
      </c>
      <c r="AK57">
        <f t="shared" si="15"/>
        <v>0</v>
      </c>
      <c r="AL57" s="5">
        <f t="shared" si="29"/>
        <v>45698</v>
      </c>
      <c r="AM57" s="6"/>
      <c r="AN57" s="6"/>
      <c r="AO57" s="6"/>
      <c r="AP57" s="6">
        <f t="shared" si="30"/>
        <v>0</v>
      </c>
      <c r="AQ57">
        <f t="shared" si="16"/>
        <v>0</v>
      </c>
    </row>
    <row r="58" spans="1:43" x14ac:dyDescent="0.3">
      <c r="A58" s="5">
        <f t="shared" si="22"/>
        <v>43507</v>
      </c>
      <c r="B58" s="6">
        <v>254.61623190003633</v>
      </c>
      <c r="C58" s="6">
        <v>45.31868819999881</v>
      </c>
      <c r="D58" s="6">
        <v>21.177</v>
      </c>
      <c r="E58" s="6">
        <f t="shared" si="17"/>
        <v>321.11192010003515</v>
      </c>
      <c r="F58">
        <f t="shared" si="10"/>
        <v>0</v>
      </c>
      <c r="G58" s="5">
        <f t="shared" si="23"/>
        <v>43872</v>
      </c>
      <c r="H58" s="6">
        <v>253.21902550005913</v>
      </c>
      <c r="I58" s="6">
        <v>48.102993699997661</v>
      </c>
      <c r="J58" s="6">
        <v>23.658000000000001</v>
      </c>
      <c r="K58" s="6">
        <f t="shared" si="18"/>
        <v>324.9800192000568</v>
      </c>
      <c r="L58">
        <f t="shared" si="11"/>
        <v>0</v>
      </c>
      <c r="M58" s="5">
        <f t="shared" si="24"/>
        <v>44238</v>
      </c>
      <c r="N58" s="6">
        <v>239.56532889997959</v>
      </c>
      <c r="O58" s="6">
        <v>53.942738799996675</v>
      </c>
      <c r="P58" s="6">
        <v>25.233000000000001</v>
      </c>
      <c r="Q58" s="6">
        <f t="shared" si="19"/>
        <v>318.74106769997627</v>
      </c>
      <c r="R58">
        <f t="shared" si="12"/>
        <v>0</v>
      </c>
      <c r="S58" s="5">
        <f t="shared" si="25"/>
        <v>44603</v>
      </c>
      <c r="T58" s="6">
        <v>204.33692970001698</v>
      </c>
      <c r="U58" s="6">
        <v>47.116187699995933</v>
      </c>
      <c r="V58" s="6">
        <v>22.713661899996456</v>
      </c>
      <c r="W58" s="6">
        <f t="shared" si="20"/>
        <v>274.16677930000935</v>
      </c>
      <c r="X58">
        <f t="shared" si="13"/>
        <v>0</v>
      </c>
      <c r="Z58" s="5">
        <f t="shared" si="26"/>
        <v>44603</v>
      </c>
      <c r="AA58" s="6">
        <v>231.7254050000906</v>
      </c>
      <c r="AB58" s="6">
        <v>56.644397500008346</v>
      </c>
      <c r="AC58" s="6">
        <v>21.19434190000128</v>
      </c>
      <c r="AD58" s="6">
        <f t="shared" si="21"/>
        <v>309.56414440010025</v>
      </c>
      <c r="AE58">
        <f t="shared" si="14"/>
        <v>0</v>
      </c>
      <c r="AF58" s="5">
        <f t="shared" si="27"/>
        <v>45333</v>
      </c>
      <c r="AG58" s="6"/>
      <c r="AH58" s="6"/>
      <c r="AI58" s="6"/>
      <c r="AJ58" s="6">
        <f t="shared" si="28"/>
        <v>0</v>
      </c>
      <c r="AK58">
        <f t="shared" si="15"/>
        <v>0</v>
      </c>
      <c r="AL58" s="5">
        <f t="shared" si="29"/>
        <v>45699</v>
      </c>
      <c r="AM58" s="6"/>
      <c r="AN58" s="6"/>
      <c r="AO58" s="6"/>
      <c r="AP58" s="6">
        <f t="shared" si="30"/>
        <v>0</v>
      </c>
      <c r="AQ58">
        <f t="shared" si="16"/>
        <v>0</v>
      </c>
    </row>
    <row r="59" spans="1:43" x14ac:dyDescent="0.3">
      <c r="A59" s="5">
        <f t="shared" si="22"/>
        <v>43508</v>
      </c>
      <c r="B59" s="6">
        <v>251.8563163999915</v>
      </c>
      <c r="C59" s="6">
        <v>46.14343760000169</v>
      </c>
      <c r="D59" s="6">
        <v>21.515999999999998</v>
      </c>
      <c r="E59" s="6">
        <f t="shared" si="17"/>
        <v>319.51575399999319</v>
      </c>
      <c r="F59">
        <f t="shared" si="10"/>
        <v>0</v>
      </c>
      <c r="G59" s="5">
        <f t="shared" si="23"/>
        <v>43873</v>
      </c>
      <c r="H59" s="6">
        <v>217.2227634999752</v>
      </c>
      <c r="I59" s="6">
        <v>47.699589000001552</v>
      </c>
      <c r="J59" s="6">
        <v>22.481999999999999</v>
      </c>
      <c r="K59" s="6">
        <f t="shared" si="18"/>
        <v>287.40435249997677</v>
      </c>
      <c r="L59">
        <f t="shared" si="11"/>
        <v>0</v>
      </c>
      <c r="M59" s="5">
        <f t="shared" si="24"/>
        <v>44239</v>
      </c>
      <c r="N59" s="6">
        <v>239.31772060000895</v>
      </c>
      <c r="O59" s="6">
        <v>47.458393200002611</v>
      </c>
      <c r="P59" s="6">
        <v>24.587</v>
      </c>
      <c r="Q59" s="6">
        <f t="shared" si="19"/>
        <v>311.36311380001155</v>
      </c>
      <c r="R59">
        <f t="shared" si="12"/>
        <v>0</v>
      </c>
      <c r="S59" s="5">
        <f t="shared" si="25"/>
        <v>44604</v>
      </c>
      <c r="T59" s="6">
        <v>185.17419849991799</v>
      </c>
      <c r="U59" s="6">
        <v>47.999641300000249</v>
      </c>
      <c r="V59" s="6">
        <v>20.373079100001721</v>
      </c>
      <c r="W59" s="6">
        <f t="shared" si="20"/>
        <v>253.54691889991997</v>
      </c>
      <c r="X59">
        <f t="shared" si="13"/>
        <v>0</v>
      </c>
      <c r="Z59" s="5">
        <f t="shared" si="26"/>
        <v>44604</v>
      </c>
      <c r="AA59" s="6">
        <v>196.001095099926</v>
      </c>
      <c r="AB59" s="6">
        <v>48.244722499996421</v>
      </c>
      <c r="AC59" s="6">
        <v>18.015862899999135</v>
      </c>
      <c r="AD59" s="6">
        <f t="shared" si="21"/>
        <v>262.26168049992157</v>
      </c>
      <c r="AE59">
        <f t="shared" si="14"/>
        <v>0</v>
      </c>
      <c r="AF59" s="5">
        <f t="shared" si="27"/>
        <v>45334</v>
      </c>
      <c r="AG59" s="6"/>
      <c r="AH59" s="6"/>
      <c r="AI59" s="6"/>
      <c r="AJ59" s="6">
        <f t="shared" si="28"/>
        <v>0</v>
      </c>
      <c r="AK59">
        <f t="shared" si="15"/>
        <v>0</v>
      </c>
      <c r="AL59" s="5">
        <f t="shared" si="29"/>
        <v>45700</v>
      </c>
      <c r="AM59" s="6"/>
      <c r="AN59" s="6"/>
      <c r="AO59" s="6"/>
      <c r="AP59" s="6">
        <f t="shared" si="30"/>
        <v>0</v>
      </c>
      <c r="AQ59">
        <f t="shared" si="16"/>
        <v>0</v>
      </c>
    </row>
    <row r="60" spans="1:43" x14ac:dyDescent="0.3">
      <c r="A60" s="5">
        <f t="shared" si="22"/>
        <v>43509</v>
      </c>
      <c r="B60" s="6">
        <v>256.06068470001219</v>
      </c>
      <c r="C60" s="6">
        <v>42.509992199998351</v>
      </c>
      <c r="D60" s="6">
        <v>20.451000000000001</v>
      </c>
      <c r="E60" s="6">
        <f t="shared" si="17"/>
        <v>319.02167690001056</v>
      </c>
      <c r="F60">
        <f t="shared" si="10"/>
        <v>0</v>
      </c>
      <c r="G60" s="5">
        <f t="shared" si="23"/>
        <v>43874</v>
      </c>
      <c r="H60" s="6">
        <v>219.93127979993821</v>
      </c>
      <c r="I60" s="6">
        <v>47.732564100001007</v>
      </c>
      <c r="J60" s="6">
        <v>25.408000000000001</v>
      </c>
      <c r="K60" s="6">
        <f t="shared" si="18"/>
        <v>293.07184389993921</v>
      </c>
      <c r="L60">
        <f t="shared" si="11"/>
        <v>0</v>
      </c>
      <c r="M60" s="5">
        <f t="shared" si="24"/>
        <v>44240</v>
      </c>
      <c r="N60" s="6">
        <v>201.50741700005531</v>
      </c>
      <c r="O60" s="6">
        <v>48.914593499995767</v>
      </c>
      <c r="P60" s="6">
        <v>23.594999999999999</v>
      </c>
      <c r="Q60" s="6">
        <f t="shared" si="19"/>
        <v>274.01701050005107</v>
      </c>
      <c r="R60">
        <f t="shared" si="12"/>
        <v>0</v>
      </c>
      <c r="S60" s="5">
        <f t="shared" si="25"/>
        <v>44605</v>
      </c>
      <c r="T60" s="6">
        <v>189.43602790009976</v>
      </c>
      <c r="U60" s="6">
        <v>41.964759700000286</v>
      </c>
      <c r="V60" s="6">
        <v>13.797995900001494</v>
      </c>
      <c r="W60" s="6">
        <f t="shared" si="20"/>
        <v>245.19878350010154</v>
      </c>
      <c r="X60">
        <f t="shared" si="13"/>
        <v>0</v>
      </c>
      <c r="Z60" s="5">
        <f t="shared" si="26"/>
        <v>44605</v>
      </c>
      <c r="AA60" s="6">
        <v>251.84353210008143</v>
      </c>
      <c r="AB60" s="6">
        <v>57.801520699992778</v>
      </c>
      <c r="AC60" s="6">
        <v>21.191267200000119</v>
      </c>
      <c r="AD60" s="6">
        <f t="shared" si="21"/>
        <v>330.83632000007435</v>
      </c>
      <c r="AE60">
        <f t="shared" si="14"/>
        <v>0</v>
      </c>
      <c r="AF60" s="5">
        <f t="shared" si="27"/>
        <v>45335</v>
      </c>
      <c r="AG60" s="6"/>
      <c r="AH60" s="6"/>
      <c r="AI60" s="6"/>
      <c r="AJ60" s="6">
        <f t="shared" si="28"/>
        <v>0</v>
      </c>
      <c r="AK60">
        <f t="shared" si="15"/>
        <v>0</v>
      </c>
      <c r="AL60" s="5">
        <f t="shared" si="29"/>
        <v>45701</v>
      </c>
      <c r="AM60" s="6"/>
      <c r="AN60" s="6"/>
      <c r="AO60" s="6"/>
      <c r="AP60" s="6">
        <f t="shared" si="30"/>
        <v>0</v>
      </c>
      <c r="AQ60">
        <f t="shared" si="16"/>
        <v>0</v>
      </c>
    </row>
    <row r="61" spans="1:43" x14ac:dyDescent="0.3">
      <c r="A61" s="5">
        <f t="shared" si="22"/>
        <v>43510</v>
      </c>
      <c r="B61" s="6">
        <v>251.26017179995776</v>
      </c>
      <c r="C61" s="6">
        <v>42.213180600000548</v>
      </c>
      <c r="D61" s="6">
        <v>21.925999999999998</v>
      </c>
      <c r="E61" s="6">
        <f t="shared" si="17"/>
        <v>315.39935239995827</v>
      </c>
      <c r="F61">
        <f t="shared" si="10"/>
        <v>0</v>
      </c>
      <c r="G61" s="5">
        <f t="shared" si="23"/>
        <v>43875</v>
      </c>
      <c r="H61" s="6">
        <v>220.44200940001011</v>
      </c>
      <c r="I61" s="6">
        <v>46.380127000000329</v>
      </c>
      <c r="J61" s="6">
        <v>24.152999999999999</v>
      </c>
      <c r="K61" s="6">
        <f t="shared" si="18"/>
        <v>290.97513640001046</v>
      </c>
      <c r="L61">
        <f t="shared" si="11"/>
        <v>0</v>
      </c>
      <c r="M61" s="5">
        <f t="shared" si="24"/>
        <v>44241</v>
      </c>
      <c r="N61" s="6">
        <v>160.44914269995689</v>
      </c>
      <c r="O61" s="6">
        <v>39.905063900001345</v>
      </c>
      <c r="P61" s="6">
        <v>16.649000000000001</v>
      </c>
      <c r="Q61" s="6">
        <f t="shared" si="19"/>
        <v>217.00320659995825</v>
      </c>
      <c r="R61">
        <f t="shared" si="12"/>
        <v>0</v>
      </c>
      <c r="S61" s="5">
        <f t="shared" si="25"/>
        <v>44606</v>
      </c>
      <c r="T61" s="6">
        <v>218.66723399996758</v>
      </c>
      <c r="U61" s="6">
        <v>48.904487199999394</v>
      </c>
      <c r="V61" s="6">
        <v>22.623614700000033</v>
      </c>
      <c r="W61" s="6">
        <f t="shared" si="20"/>
        <v>290.19533589996701</v>
      </c>
      <c r="X61">
        <f t="shared" si="13"/>
        <v>0</v>
      </c>
      <c r="Z61" s="5">
        <f t="shared" si="26"/>
        <v>44606</v>
      </c>
      <c r="AA61" s="6">
        <v>239.06703039991856</v>
      </c>
      <c r="AB61" s="6">
        <v>57.678497100010517</v>
      </c>
      <c r="AC61" s="6">
        <v>19.892963700001129</v>
      </c>
      <c r="AD61" s="6">
        <f t="shared" si="21"/>
        <v>316.63849119993023</v>
      </c>
      <c r="AE61">
        <f t="shared" si="14"/>
        <v>0</v>
      </c>
      <c r="AF61" s="5">
        <f t="shared" si="27"/>
        <v>45336</v>
      </c>
      <c r="AG61" s="6"/>
      <c r="AH61" s="6"/>
      <c r="AI61" s="6"/>
      <c r="AJ61" s="6">
        <f t="shared" si="28"/>
        <v>0</v>
      </c>
      <c r="AK61">
        <f t="shared" si="15"/>
        <v>0</v>
      </c>
      <c r="AL61" s="5">
        <f t="shared" si="29"/>
        <v>45702</v>
      </c>
      <c r="AM61" s="6"/>
      <c r="AN61" s="6"/>
      <c r="AO61" s="6"/>
      <c r="AP61" s="6">
        <f t="shared" si="30"/>
        <v>0</v>
      </c>
      <c r="AQ61">
        <f t="shared" si="16"/>
        <v>0</v>
      </c>
    </row>
    <row r="62" spans="1:43" x14ac:dyDescent="0.3">
      <c r="A62" s="5">
        <f t="shared" si="22"/>
        <v>43511</v>
      </c>
      <c r="B62" s="6">
        <v>268.05710379999874</v>
      </c>
      <c r="C62" s="6">
        <v>39.547738600000741</v>
      </c>
      <c r="D62" s="6">
        <v>19.303000000000001</v>
      </c>
      <c r="E62" s="6">
        <f t="shared" si="17"/>
        <v>326.90784239999948</v>
      </c>
      <c r="F62">
        <f t="shared" si="10"/>
        <v>0</v>
      </c>
      <c r="G62" s="5">
        <f t="shared" si="23"/>
        <v>43876</v>
      </c>
      <c r="H62" s="6">
        <v>206.62862199997903</v>
      </c>
      <c r="I62" s="6">
        <v>44.449410799998788</v>
      </c>
      <c r="J62" s="6">
        <v>23.248999999999999</v>
      </c>
      <c r="K62" s="6">
        <f t="shared" si="18"/>
        <v>274.32703279997781</v>
      </c>
      <c r="L62">
        <f t="shared" si="11"/>
        <v>0</v>
      </c>
      <c r="M62" s="5">
        <f t="shared" si="24"/>
        <v>44242</v>
      </c>
      <c r="N62" s="6">
        <v>246.30818770003319</v>
      </c>
      <c r="O62" s="6">
        <v>51.52440640000254</v>
      </c>
      <c r="P62" s="6">
        <v>22.319500000000001</v>
      </c>
      <c r="Q62" s="6">
        <f t="shared" si="19"/>
        <v>320.15209410003575</v>
      </c>
      <c r="R62">
        <f t="shared" si="12"/>
        <v>0</v>
      </c>
      <c r="S62" s="5">
        <f t="shared" si="25"/>
        <v>44607</v>
      </c>
      <c r="T62" s="6">
        <v>201.26885889995097</v>
      </c>
      <c r="U62" s="6">
        <v>48.8222976000011</v>
      </c>
      <c r="V62" s="6">
        <v>23.841133499997319</v>
      </c>
      <c r="W62" s="6">
        <f t="shared" si="20"/>
        <v>273.93228999994938</v>
      </c>
      <c r="X62">
        <f t="shared" si="13"/>
        <v>0</v>
      </c>
      <c r="Z62" s="5">
        <f t="shared" si="26"/>
        <v>44607</v>
      </c>
      <c r="AA62" s="6">
        <v>219.38035010004043</v>
      </c>
      <c r="AB62" s="6">
        <v>62.045634800001977</v>
      </c>
      <c r="AC62" s="6">
        <v>21.669797399997712</v>
      </c>
      <c r="AD62" s="6">
        <f t="shared" si="21"/>
        <v>303.09578230004013</v>
      </c>
      <c r="AE62">
        <f t="shared" si="14"/>
        <v>0</v>
      </c>
      <c r="AF62" s="5">
        <f t="shared" si="27"/>
        <v>45337</v>
      </c>
      <c r="AG62" s="6"/>
      <c r="AH62" s="6"/>
      <c r="AI62" s="6"/>
      <c r="AJ62" s="6">
        <f t="shared" si="28"/>
        <v>0</v>
      </c>
      <c r="AK62">
        <f t="shared" si="15"/>
        <v>0</v>
      </c>
      <c r="AL62" s="5">
        <f t="shared" si="29"/>
        <v>45703</v>
      </c>
      <c r="AM62" s="6"/>
      <c r="AN62" s="6"/>
      <c r="AO62" s="6"/>
      <c r="AP62" s="6">
        <f t="shared" si="30"/>
        <v>0</v>
      </c>
      <c r="AQ62">
        <f t="shared" si="16"/>
        <v>0</v>
      </c>
    </row>
    <row r="63" spans="1:43" x14ac:dyDescent="0.3">
      <c r="A63" s="5">
        <f t="shared" si="22"/>
        <v>43512</v>
      </c>
      <c r="B63" s="6">
        <v>238.81030669999123</v>
      </c>
      <c r="C63" s="6">
        <v>39.202765100000427</v>
      </c>
      <c r="D63" s="6">
        <v>19.209</v>
      </c>
      <c r="E63" s="6">
        <f t="shared" si="17"/>
        <v>297.22207179999168</v>
      </c>
      <c r="F63">
        <f t="shared" si="10"/>
        <v>0</v>
      </c>
      <c r="G63" s="5">
        <f t="shared" si="23"/>
        <v>43877</v>
      </c>
      <c r="H63" s="6">
        <v>195.34679379999636</v>
      </c>
      <c r="I63" s="6">
        <v>39.649702500000593</v>
      </c>
      <c r="J63" s="6">
        <v>19.125</v>
      </c>
      <c r="K63" s="6">
        <f t="shared" si="18"/>
        <v>254.12149629999695</v>
      </c>
      <c r="L63">
        <f t="shared" si="11"/>
        <v>0</v>
      </c>
      <c r="M63" s="5">
        <f t="shared" si="24"/>
        <v>44243</v>
      </c>
      <c r="N63" s="6">
        <v>266.71303090000151</v>
      </c>
      <c r="O63" s="6">
        <v>51.618989000000063</v>
      </c>
      <c r="P63" s="6">
        <v>21.116099999999999</v>
      </c>
      <c r="Q63" s="6">
        <f t="shared" si="19"/>
        <v>339.44811990000159</v>
      </c>
      <c r="R63">
        <f t="shared" si="12"/>
        <v>0</v>
      </c>
      <c r="S63" s="5">
        <f t="shared" si="25"/>
        <v>44608</v>
      </c>
      <c r="T63" s="6">
        <v>206.33428380000592</v>
      </c>
      <c r="U63" s="6">
        <v>47.946022399999201</v>
      </c>
      <c r="V63" s="6">
        <v>20.832133600001921</v>
      </c>
      <c r="W63" s="6">
        <f t="shared" si="20"/>
        <v>275.11243980000705</v>
      </c>
      <c r="X63">
        <f t="shared" si="13"/>
        <v>0</v>
      </c>
      <c r="Z63" s="5">
        <f t="shared" si="26"/>
        <v>44608</v>
      </c>
      <c r="AA63" s="6">
        <v>250.46030499994754</v>
      </c>
      <c r="AB63" s="6">
        <v>60.340803799986837</v>
      </c>
      <c r="AC63" s="6">
        <v>25.00519610000169</v>
      </c>
      <c r="AD63" s="6">
        <f t="shared" si="21"/>
        <v>335.80630489993604</v>
      </c>
      <c r="AE63">
        <f t="shared" si="14"/>
        <v>0</v>
      </c>
      <c r="AF63" s="5">
        <f t="shared" si="27"/>
        <v>45338</v>
      </c>
      <c r="AG63" s="6"/>
      <c r="AH63" s="6"/>
      <c r="AI63" s="6"/>
      <c r="AJ63" s="6">
        <f t="shared" si="28"/>
        <v>0</v>
      </c>
      <c r="AK63">
        <f t="shared" si="15"/>
        <v>0</v>
      </c>
      <c r="AL63" s="5">
        <f t="shared" si="29"/>
        <v>45704</v>
      </c>
      <c r="AM63" s="6"/>
      <c r="AN63" s="6"/>
      <c r="AO63" s="6"/>
      <c r="AP63" s="6">
        <f t="shared" si="30"/>
        <v>0</v>
      </c>
      <c r="AQ63">
        <f t="shared" si="16"/>
        <v>0</v>
      </c>
    </row>
    <row r="64" spans="1:43" x14ac:dyDescent="0.3">
      <c r="A64" s="5">
        <f t="shared" si="22"/>
        <v>43513</v>
      </c>
      <c r="B64" s="6">
        <v>224.26498309999704</v>
      </c>
      <c r="C64" s="6">
        <v>39.759171599999071</v>
      </c>
      <c r="D64" s="6">
        <v>14.768000000000001</v>
      </c>
      <c r="E64" s="6">
        <f t="shared" si="17"/>
        <v>278.7921546999961</v>
      </c>
      <c r="F64">
        <f t="shared" si="10"/>
        <v>0</v>
      </c>
      <c r="G64" s="5">
        <f t="shared" si="23"/>
        <v>43878</v>
      </c>
      <c r="H64" s="6">
        <v>220.21380210006237</v>
      </c>
      <c r="I64" s="6">
        <v>46.360954900000245</v>
      </c>
      <c r="J64" s="6">
        <v>23.046200000000002</v>
      </c>
      <c r="K64" s="6">
        <f t="shared" si="18"/>
        <v>289.62095700006262</v>
      </c>
      <c r="L64">
        <f t="shared" si="11"/>
        <v>0</v>
      </c>
      <c r="M64" s="5">
        <f t="shared" si="24"/>
        <v>44244</v>
      </c>
      <c r="N64" s="6">
        <v>270.32930519998075</v>
      </c>
      <c r="O64" s="6">
        <v>52.113239000000057</v>
      </c>
      <c r="P64" s="6">
        <v>19.309000000000001</v>
      </c>
      <c r="Q64" s="6">
        <f t="shared" si="19"/>
        <v>341.75154419998086</v>
      </c>
      <c r="R64">
        <f t="shared" si="12"/>
        <v>0</v>
      </c>
      <c r="S64" s="5">
        <f t="shared" si="25"/>
        <v>44609</v>
      </c>
      <c r="T64" s="6">
        <v>196.65620080006121</v>
      </c>
      <c r="U64" s="6">
        <v>48.777413199998435</v>
      </c>
      <c r="V64" s="6">
        <v>22.45919899999874</v>
      </c>
      <c r="W64" s="6">
        <f t="shared" si="20"/>
        <v>267.89281300005842</v>
      </c>
      <c r="X64">
        <f t="shared" si="13"/>
        <v>0</v>
      </c>
      <c r="Z64" s="5">
        <f t="shared" si="26"/>
        <v>44609</v>
      </c>
      <c r="AA64" s="6">
        <v>246.98996130001544</v>
      </c>
      <c r="AB64" s="6">
        <v>60.419183600008488</v>
      </c>
      <c r="AC64" s="6">
        <v>26.090555800000672</v>
      </c>
      <c r="AD64" s="6">
        <f t="shared" si="21"/>
        <v>333.49970070002462</v>
      </c>
      <c r="AE64">
        <f t="shared" si="14"/>
        <v>0</v>
      </c>
      <c r="AF64" s="5">
        <f t="shared" si="27"/>
        <v>45339</v>
      </c>
      <c r="AG64" s="6"/>
      <c r="AH64" s="6"/>
      <c r="AI64" s="6"/>
      <c r="AJ64" s="6">
        <f t="shared" si="28"/>
        <v>0</v>
      </c>
      <c r="AK64">
        <f t="shared" si="15"/>
        <v>0</v>
      </c>
      <c r="AL64" s="5">
        <f t="shared" si="29"/>
        <v>45705</v>
      </c>
      <c r="AM64" s="6"/>
      <c r="AN64" s="6"/>
      <c r="AO64" s="6"/>
      <c r="AP64" s="6">
        <f t="shared" si="30"/>
        <v>0</v>
      </c>
      <c r="AQ64">
        <f t="shared" si="16"/>
        <v>0</v>
      </c>
    </row>
    <row r="65" spans="1:43" x14ac:dyDescent="0.3">
      <c r="A65" s="5">
        <f t="shared" si="22"/>
        <v>43514</v>
      </c>
      <c r="B65" s="6">
        <v>255.23707540005447</v>
      </c>
      <c r="C65" s="6">
        <v>42.353311900001017</v>
      </c>
      <c r="D65" s="6">
        <v>19.817</v>
      </c>
      <c r="E65" s="6">
        <f t="shared" si="17"/>
        <v>317.40738730005546</v>
      </c>
      <c r="F65">
        <f t="shared" si="10"/>
        <v>0</v>
      </c>
      <c r="G65" s="5">
        <f t="shared" si="23"/>
        <v>43879</v>
      </c>
      <c r="H65" s="6">
        <v>218.71552349996566</v>
      </c>
      <c r="I65" s="6">
        <v>44.729141699999573</v>
      </c>
      <c r="J65" s="6">
        <v>24.407</v>
      </c>
      <c r="K65" s="6">
        <f t="shared" si="18"/>
        <v>287.85166519996523</v>
      </c>
      <c r="L65">
        <f t="shared" si="11"/>
        <v>0</v>
      </c>
      <c r="M65" s="5">
        <f t="shared" si="24"/>
        <v>44245</v>
      </c>
      <c r="N65" s="6">
        <v>245.35510790002346</v>
      </c>
      <c r="O65" s="6">
        <v>51.297594200000169</v>
      </c>
      <c r="P65" s="6">
        <v>18.329000000000001</v>
      </c>
      <c r="Q65" s="6">
        <f t="shared" si="19"/>
        <v>314.98170210002365</v>
      </c>
      <c r="R65">
        <f t="shared" si="12"/>
        <v>0</v>
      </c>
      <c r="S65" s="5">
        <f t="shared" si="25"/>
        <v>44610</v>
      </c>
      <c r="T65" s="6">
        <v>228.20326409995556</v>
      </c>
      <c r="U65" s="6">
        <v>49.862068199999634</v>
      </c>
      <c r="V65" s="6">
        <v>13.597533899999689</v>
      </c>
      <c r="W65" s="6">
        <f t="shared" si="20"/>
        <v>291.66286619995486</v>
      </c>
      <c r="X65">
        <f t="shared" si="13"/>
        <v>0</v>
      </c>
      <c r="Z65" s="5">
        <f t="shared" si="26"/>
        <v>44610</v>
      </c>
      <c r="AA65" s="6">
        <v>225.40082400000097</v>
      </c>
      <c r="AB65" s="6">
        <v>58.457997199997308</v>
      </c>
      <c r="AC65" s="6">
        <v>25.74066049999697</v>
      </c>
      <c r="AD65" s="6">
        <f t="shared" si="21"/>
        <v>309.59948169999524</v>
      </c>
      <c r="AE65">
        <f t="shared" si="14"/>
        <v>0</v>
      </c>
      <c r="AF65" s="5">
        <f t="shared" si="27"/>
        <v>45340</v>
      </c>
      <c r="AG65" s="6"/>
      <c r="AH65" s="6"/>
      <c r="AI65" s="6"/>
      <c r="AJ65" s="6">
        <f t="shared" si="28"/>
        <v>0</v>
      </c>
      <c r="AK65">
        <f t="shared" si="15"/>
        <v>0</v>
      </c>
      <c r="AL65" s="5">
        <f t="shared" si="29"/>
        <v>45706</v>
      </c>
      <c r="AM65" s="6"/>
      <c r="AN65" s="6"/>
      <c r="AO65" s="6"/>
      <c r="AP65" s="6">
        <f t="shared" si="30"/>
        <v>0</v>
      </c>
      <c r="AQ65">
        <f t="shared" si="16"/>
        <v>0</v>
      </c>
    </row>
    <row r="66" spans="1:43" x14ac:dyDescent="0.3">
      <c r="A66" s="5">
        <f t="shared" si="22"/>
        <v>43515</v>
      </c>
      <c r="B66" s="6">
        <v>257.91731639999153</v>
      </c>
      <c r="C66" s="6">
        <v>44.209745099999012</v>
      </c>
      <c r="D66" s="6">
        <v>19.358000000000001</v>
      </c>
      <c r="E66" s="6">
        <f t="shared" si="17"/>
        <v>321.48506149999054</v>
      </c>
      <c r="F66">
        <f t="shared" si="10"/>
        <v>0</v>
      </c>
      <c r="G66" s="5">
        <f t="shared" si="23"/>
        <v>43880</v>
      </c>
      <c r="H66" s="6">
        <v>227.42414410007001</v>
      </c>
      <c r="I66" s="6">
        <v>47.49921189999953</v>
      </c>
      <c r="J66" s="6">
        <v>22.982800000000005</v>
      </c>
      <c r="K66" s="6">
        <f t="shared" si="18"/>
        <v>297.90615600006953</v>
      </c>
      <c r="L66">
        <f t="shared" si="11"/>
        <v>0</v>
      </c>
      <c r="M66" s="5">
        <f t="shared" si="24"/>
        <v>44246</v>
      </c>
      <c r="N66" s="6">
        <v>254.55051049995421</v>
      </c>
      <c r="O66" s="6">
        <v>52.030206399999557</v>
      </c>
      <c r="P66" s="6">
        <v>17.404</v>
      </c>
      <c r="Q66" s="6">
        <f t="shared" si="19"/>
        <v>323.98471689995375</v>
      </c>
      <c r="R66">
        <f t="shared" si="12"/>
        <v>0</v>
      </c>
      <c r="S66" s="5">
        <f t="shared" si="25"/>
        <v>44611</v>
      </c>
      <c r="T66" s="6">
        <v>209.69995860004425</v>
      </c>
      <c r="U66" s="6">
        <v>48.715391300000249</v>
      </c>
      <c r="V66" s="6">
        <v>23.193135300001828</v>
      </c>
      <c r="W66" s="6">
        <f t="shared" si="20"/>
        <v>281.60848520004629</v>
      </c>
      <c r="X66">
        <f t="shared" si="13"/>
        <v>0</v>
      </c>
      <c r="Z66" s="5">
        <f t="shared" si="26"/>
        <v>44611</v>
      </c>
      <c r="AA66" s="6">
        <v>203.94043250000476</v>
      </c>
      <c r="AB66" s="6">
        <v>52.363682999998332</v>
      </c>
      <c r="AC66" s="6">
        <v>20.712976400001907</v>
      </c>
      <c r="AD66" s="6">
        <f t="shared" si="21"/>
        <v>277.01709190000497</v>
      </c>
      <c r="AE66">
        <f t="shared" si="14"/>
        <v>0</v>
      </c>
      <c r="AF66" s="5">
        <f t="shared" si="27"/>
        <v>45341</v>
      </c>
      <c r="AG66" s="6"/>
      <c r="AH66" s="6"/>
      <c r="AI66" s="6"/>
      <c r="AJ66" s="6">
        <f t="shared" si="28"/>
        <v>0</v>
      </c>
      <c r="AK66">
        <f t="shared" si="15"/>
        <v>0</v>
      </c>
      <c r="AL66" s="5">
        <f t="shared" si="29"/>
        <v>45707</v>
      </c>
      <c r="AM66" s="6"/>
      <c r="AN66" s="6"/>
      <c r="AO66" s="6"/>
      <c r="AP66" s="6">
        <f t="shared" si="30"/>
        <v>0</v>
      </c>
      <c r="AQ66">
        <f t="shared" si="16"/>
        <v>0</v>
      </c>
    </row>
    <row r="67" spans="1:43" x14ac:dyDescent="0.3">
      <c r="A67" s="5">
        <f t="shared" si="22"/>
        <v>43516</v>
      </c>
      <c r="B67" s="6">
        <v>257.72216459995508</v>
      </c>
      <c r="C67" s="6">
        <v>42.761658700000496</v>
      </c>
      <c r="D67" s="6">
        <v>19.704999999999998</v>
      </c>
      <c r="E67" s="6">
        <f t="shared" si="17"/>
        <v>320.18882329995557</v>
      </c>
      <c r="F67">
        <f t="shared" si="10"/>
        <v>0</v>
      </c>
      <c r="G67" s="5">
        <f t="shared" si="23"/>
        <v>43881</v>
      </c>
      <c r="H67" s="6">
        <v>217.19006229996683</v>
      </c>
      <c r="I67" s="6">
        <v>43.642691199999305</v>
      </c>
      <c r="J67" s="6">
        <v>24.667999999999999</v>
      </c>
      <c r="K67" s="6">
        <f t="shared" si="18"/>
        <v>285.50075349996615</v>
      </c>
      <c r="L67">
        <f t="shared" si="11"/>
        <v>0</v>
      </c>
      <c r="M67" s="5">
        <f t="shared" si="24"/>
        <v>44247</v>
      </c>
      <c r="N67" s="6">
        <v>183.87196519994737</v>
      </c>
      <c r="O67" s="6">
        <v>49.533815200001001</v>
      </c>
      <c r="P67" s="6">
        <v>18.844000000000001</v>
      </c>
      <c r="Q67" s="6">
        <f t="shared" si="19"/>
        <v>252.24978039994835</v>
      </c>
      <c r="R67">
        <f t="shared" si="12"/>
        <v>0</v>
      </c>
      <c r="S67" s="5">
        <f t="shared" si="25"/>
        <v>44612</v>
      </c>
      <c r="T67" s="6">
        <v>202.84571689999103</v>
      </c>
      <c r="U67" s="6">
        <v>43.276631999999282</v>
      </c>
      <c r="V67" s="6">
        <v>15.832236299998826</v>
      </c>
      <c r="W67" s="6">
        <f t="shared" si="20"/>
        <v>261.95458519998914</v>
      </c>
      <c r="X67">
        <f t="shared" si="13"/>
        <v>0</v>
      </c>
      <c r="Z67" s="5">
        <f t="shared" si="26"/>
        <v>44612</v>
      </c>
      <c r="AA67" s="6">
        <v>237.14605850005151</v>
      </c>
      <c r="AB67" s="6">
        <v>58.232598300009968</v>
      </c>
      <c r="AC67" s="6">
        <v>25.665292000000832</v>
      </c>
      <c r="AD67" s="6">
        <f t="shared" si="21"/>
        <v>321.04394880006231</v>
      </c>
      <c r="AE67">
        <f t="shared" si="14"/>
        <v>0</v>
      </c>
      <c r="AF67" s="5">
        <f t="shared" si="27"/>
        <v>45342</v>
      </c>
      <c r="AG67" s="6"/>
      <c r="AH67" s="6"/>
      <c r="AI67" s="6"/>
      <c r="AJ67" s="6">
        <f t="shared" si="28"/>
        <v>0</v>
      </c>
      <c r="AK67">
        <f t="shared" si="15"/>
        <v>0</v>
      </c>
      <c r="AL67" s="5">
        <f t="shared" si="29"/>
        <v>45708</v>
      </c>
      <c r="AM67" s="6"/>
      <c r="AN67" s="6"/>
      <c r="AO67" s="6"/>
      <c r="AP67" s="6">
        <f t="shared" si="30"/>
        <v>0</v>
      </c>
      <c r="AQ67">
        <f t="shared" si="16"/>
        <v>0</v>
      </c>
    </row>
    <row r="68" spans="1:43" x14ac:dyDescent="0.3">
      <c r="A68" s="5">
        <f t="shared" si="22"/>
        <v>43517</v>
      </c>
      <c r="B68" s="6">
        <v>259.86932510000469</v>
      </c>
      <c r="C68" s="6">
        <v>43.253601900000128</v>
      </c>
      <c r="D68" s="6">
        <v>20.632999999999999</v>
      </c>
      <c r="E68" s="6">
        <f t="shared" si="17"/>
        <v>323.75592700000482</v>
      </c>
      <c r="F68">
        <f t="shared" si="10"/>
        <v>0</v>
      </c>
      <c r="G68" s="5">
        <f t="shared" si="23"/>
        <v>43882</v>
      </c>
      <c r="H68" s="6">
        <v>215.77258700001241</v>
      </c>
      <c r="I68" s="6">
        <v>45.854791799999774</v>
      </c>
      <c r="J68" s="6">
        <v>24.97</v>
      </c>
      <c r="K68" s="6">
        <f t="shared" si="18"/>
        <v>286.59737880001217</v>
      </c>
      <c r="L68">
        <f t="shared" si="11"/>
        <v>0</v>
      </c>
      <c r="M68" s="5">
        <f t="shared" si="24"/>
        <v>44248</v>
      </c>
      <c r="N68" s="6">
        <v>187.54113100004196</v>
      </c>
      <c r="O68" s="6">
        <v>41.464772299997506</v>
      </c>
      <c r="P68" s="6">
        <v>17.251200000000001</v>
      </c>
      <c r="Q68" s="6">
        <f t="shared" si="19"/>
        <v>246.25710330003946</v>
      </c>
      <c r="R68">
        <f t="shared" si="12"/>
        <v>0</v>
      </c>
      <c r="S68" s="5">
        <f t="shared" si="25"/>
        <v>44613</v>
      </c>
      <c r="T68" s="6">
        <v>246.60053839993478</v>
      </c>
      <c r="U68" s="6">
        <v>52.753911900006237</v>
      </c>
      <c r="V68" s="6">
        <v>21.673634599999524</v>
      </c>
      <c r="W68" s="6">
        <f t="shared" si="20"/>
        <v>321.0280848999405</v>
      </c>
      <c r="X68">
        <f t="shared" si="13"/>
        <v>0</v>
      </c>
      <c r="Z68" s="5">
        <f t="shared" si="26"/>
        <v>44613</v>
      </c>
      <c r="AA68" s="6">
        <v>223.91320219993591</v>
      </c>
      <c r="AB68" s="6">
        <v>56.002439999997613</v>
      </c>
      <c r="AC68" s="6">
        <v>26.138328200000338</v>
      </c>
      <c r="AD68" s="6">
        <f t="shared" si="21"/>
        <v>306.05397039993386</v>
      </c>
      <c r="AE68">
        <f t="shared" si="14"/>
        <v>0</v>
      </c>
      <c r="AF68" s="5">
        <f t="shared" si="27"/>
        <v>45343</v>
      </c>
      <c r="AG68" s="6"/>
      <c r="AH68" s="6"/>
      <c r="AI68" s="6"/>
      <c r="AJ68" s="6">
        <f t="shared" si="28"/>
        <v>0</v>
      </c>
      <c r="AK68">
        <f t="shared" si="15"/>
        <v>0</v>
      </c>
      <c r="AL68" s="5">
        <f t="shared" si="29"/>
        <v>45709</v>
      </c>
      <c r="AM68" s="6"/>
      <c r="AN68" s="6"/>
      <c r="AO68" s="6"/>
      <c r="AP68" s="6">
        <f t="shared" si="30"/>
        <v>0</v>
      </c>
      <c r="AQ68">
        <f t="shared" si="16"/>
        <v>0</v>
      </c>
    </row>
    <row r="69" spans="1:43" x14ac:dyDescent="0.3">
      <c r="A69" s="5">
        <f t="shared" si="22"/>
        <v>43518</v>
      </c>
      <c r="B69" s="6">
        <v>262.1483275000453</v>
      </c>
      <c r="C69" s="6">
        <v>42.746806499999018</v>
      </c>
      <c r="D69" s="6">
        <v>20.916</v>
      </c>
      <c r="E69" s="6">
        <f t="shared" si="17"/>
        <v>325.81113400004432</v>
      </c>
      <c r="F69">
        <f t="shared" si="10"/>
        <v>0</v>
      </c>
      <c r="G69" s="5">
        <f t="shared" si="23"/>
        <v>43883</v>
      </c>
      <c r="H69" s="6">
        <v>228.70761220002174</v>
      </c>
      <c r="I69" s="6">
        <v>45.480237900000063</v>
      </c>
      <c r="J69" s="6">
        <v>23.559000000000001</v>
      </c>
      <c r="K69" s="6">
        <f t="shared" si="18"/>
        <v>297.74685010002185</v>
      </c>
      <c r="L69">
        <f t="shared" si="11"/>
        <v>0</v>
      </c>
      <c r="M69" s="5">
        <f t="shared" si="24"/>
        <v>44249</v>
      </c>
      <c r="N69" s="6">
        <v>216.17453390002251</v>
      </c>
      <c r="O69" s="6">
        <v>51.892624099999665</v>
      </c>
      <c r="P69" s="6">
        <v>20.504999999999999</v>
      </c>
      <c r="Q69" s="6">
        <f t="shared" si="19"/>
        <v>288.57215800002217</v>
      </c>
      <c r="R69">
        <f t="shared" si="12"/>
        <v>0</v>
      </c>
      <c r="S69" s="5">
        <f t="shared" si="25"/>
        <v>44614</v>
      </c>
      <c r="T69" s="6">
        <v>217.45778500008583</v>
      </c>
      <c r="U69" s="6">
        <v>52.504097300000488</v>
      </c>
      <c r="V69" s="6">
        <v>21.052410900002112</v>
      </c>
      <c r="W69" s="6">
        <f t="shared" si="20"/>
        <v>291.01429320008839</v>
      </c>
      <c r="X69">
        <f t="shared" si="13"/>
        <v>0</v>
      </c>
      <c r="Z69" s="5">
        <f t="shared" si="26"/>
        <v>44614</v>
      </c>
      <c r="AA69" s="6">
        <v>222.04081130003928</v>
      </c>
      <c r="AB69" s="6">
        <v>58.137058599993587</v>
      </c>
      <c r="AC69" s="6">
        <v>25.819696999997831</v>
      </c>
      <c r="AD69" s="6">
        <f t="shared" si="21"/>
        <v>305.99756690003073</v>
      </c>
      <c r="AE69">
        <f t="shared" si="14"/>
        <v>0</v>
      </c>
      <c r="AF69" s="5">
        <f t="shared" si="27"/>
        <v>45344</v>
      </c>
      <c r="AG69" s="6"/>
      <c r="AH69" s="6"/>
      <c r="AI69" s="6"/>
      <c r="AJ69" s="6">
        <f t="shared" si="28"/>
        <v>0</v>
      </c>
      <c r="AK69">
        <f t="shared" si="15"/>
        <v>0</v>
      </c>
      <c r="AL69" s="5">
        <f t="shared" si="29"/>
        <v>45710</v>
      </c>
      <c r="AM69" s="6"/>
      <c r="AN69" s="6"/>
      <c r="AO69" s="6"/>
      <c r="AP69" s="6">
        <f t="shared" si="30"/>
        <v>0</v>
      </c>
      <c r="AQ69">
        <f t="shared" si="16"/>
        <v>0</v>
      </c>
    </row>
    <row r="70" spans="1:43" x14ac:dyDescent="0.3">
      <c r="A70" s="5">
        <f t="shared" si="22"/>
        <v>43519</v>
      </c>
      <c r="B70" s="6">
        <v>243.73672990000247</v>
      </c>
      <c r="C70" s="6">
        <v>41.505762400001288</v>
      </c>
      <c r="D70" s="6">
        <v>19.132000000000001</v>
      </c>
      <c r="E70" s="6">
        <f t="shared" si="17"/>
        <v>304.37449230000374</v>
      </c>
      <c r="F70">
        <f t="shared" si="10"/>
        <v>0</v>
      </c>
      <c r="G70" s="5">
        <f t="shared" si="23"/>
        <v>43884</v>
      </c>
      <c r="H70" s="6">
        <v>201.47998430001735</v>
      </c>
      <c r="I70" s="6">
        <v>39.534369400002063</v>
      </c>
      <c r="J70" s="6">
        <v>16.962</v>
      </c>
      <c r="K70" s="6">
        <f t="shared" si="18"/>
        <v>257.97635370001939</v>
      </c>
      <c r="L70">
        <f t="shared" si="11"/>
        <v>0</v>
      </c>
      <c r="M70" s="5">
        <f t="shared" si="24"/>
        <v>44250</v>
      </c>
      <c r="N70" s="6">
        <v>246.16838839995862</v>
      </c>
      <c r="O70" s="6">
        <v>49.849771400004627</v>
      </c>
      <c r="P70" s="6">
        <v>21.515999999999998</v>
      </c>
      <c r="Q70" s="6">
        <f t="shared" si="19"/>
        <v>317.53415979996328</v>
      </c>
      <c r="R70">
        <f t="shared" si="12"/>
        <v>0</v>
      </c>
      <c r="S70" s="5">
        <f t="shared" si="25"/>
        <v>44615</v>
      </c>
      <c r="T70" s="6">
        <v>241.4872809998989</v>
      </c>
      <c r="U70" s="6">
        <v>52.648562799997627</v>
      </c>
      <c r="V70" s="6">
        <v>20.855164499999258</v>
      </c>
      <c r="W70" s="6">
        <f t="shared" si="20"/>
        <v>314.99100829989578</v>
      </c>
      <c r="X70">
        <f t="shared" si="13"/>
        <v>0</v>
      </c>
      <c r="Z70" s="5">
        <f t="shared" si="26"/>
        <v>44615</v>
      </c>
      <c r="AA70" s="6">
        <v>240.34470060002803</v>
      </c>
      <c r="AB70" s="6">
        <v>57.506395500004288</v>
      </c>
      <c r="AC70" s="6">
        <v>25.529358100001236</v>
      </c>
      <c r="AD70" s="6">
        <f t="shared" si="21"/>
        <v>323.38045420003357</v>
      </c>
      <c r="AE70">
        <f t="shared" si="14"/>
        <v>0</v>
      </c>
      <c r="AF70" s="5">
        <f t="shared" si="27"/>
        <v>45345</v>
      </c>
      <c r="AG70" s="6"/>
      <c r="AH70" s="6"/>
      <c r="AI70" s="6"/>
      <c r="AJ70" s="6">
        <f t="shared" si="28"/>
        <v>0</v>
      </c>
      <c r="AK70">
        <f t="shared" si="15"/>
        <v>0</v>
      </c>
      <c r="AL70" s="5">
        <f t="shared" si="29"/>
        <v>45711</v>
      </c>
      <c r="AM70" s="6"/>
      <c r="AN70" s="6"/>
      <c r="AO70" s="6"/>
      <c r="AP70" s="6">
        <f t="shared" si="30"/>
        <v>0</v>
      </c>
      <c r="AQ70">
        <f t="shared" si="16"/>
        <v>0</v>
      </c>
    </row>
    <row r="71" spans="1:43" x14ac:dyDescent="0.3">
      <c r="A71" s="5">
        <f t="shared" si="22"/>
        <v>43520</v>
      </c>
      <c r="B71" s="6">
        <v>229.25612509995699</v>
      </c>
      <c r="C71" s="6">
        <v>39.162832899998875</v>
      </c>
      <c r="D71" s="6">
        <v>15.927</v>
      </c>
      <c r="E71" s="6">
        <f t="shared" si="17"/>
        <v>284.34595799995589</v>
      </c>
      <c r="F71">
        <f t="shared" si="10"/>
        <v>0</v>
      </c>
      <c r="G71" s="5">
        <f t="shared" si="23"/>
        <v>43885</v>
      </c>
      <c r="H71" s="6">
        <v>214.8078693999052</v>
      </c>
      <c r="I71" s="6">
        <v>41.804796699997034</v>
      </c>
      <c r="J71" s="6">
        <v>23.555</v>
      </c>
      <c r="K71" s="6">
        <f t="shared" si="18"/>
        <v>280.16766609990225</v>
      </c>
      <c r="L71">
        <f t="shared" si="11"/>
        <v>0</v>
      </c>
      <c r="M71" s="5">
        <f t="shared" si="24"/>
        <v>44251</v>
      </c>
      <c r="N71" s="6">
        <v>226.64317570006847</v>
      </c>
      <c r="O71" s="6">
        <v>49.340794199995699</v>
      </c>
      <c r="P71" s="6">
        <v>20.373000000000001</v>
      </c>
      <c r="Q71" s="6">
        <f t="shared" si="19"/>
        <v>296.35696990006414</v>
      </c>
      <c r="R71">
        <f t="shared" si="12"/>
        <v>0</v>
      </c>
      <c r="S71" s="5">
        <f t="shared" si="25"/>
        <v>44616</v>
      </c>
      <c r="T71" s="6">
        <v>232.6947841000557</v>
      </c>
      <c r="U71" s="6">
        <v>50.6751352000013</v>
      </c>
      <c r="V71" s="6">
        <v>22.170472599999048</v>
      </c>
      <c r="W71" s="6">
        <f t="shared" si="20"/>
        <v>305.54039190005608</v>
      </c>
      <c r="X71">
        <f t="shared" si="13"/>
        <v>0</v>
      </c>
      <c r="Z71" s="5">
        <f t="shared" si="26"/>
        <v>44616</v>
      </c>
      <c r="AA71" s="6">
        <v>227.33898210000993</v>
      </c>
      <c r="AB71" s="6">
        <v>58.980970799997451</v>
      </c>
      <c r="AC71" s="6">
        <v>25.366419199999889</v>
      </c>
      <c r="AD71" s="6">
        <f t="shared" si="21"/>
        <v>311.68637210000725</v>
      </c>
      <c r="AE71">
        <f t="shared" si="14"/>
        <v>0</v>
      </c>
      <c r="AF71" s="5">
        <f t="shared" si="27"/>
        <v>45346</v>
      </c>
      <c r="AG71" s="6"/>
      <c r="AH71" s="6"/>
      <c r="AI71" s="6"/>
      <c r="AJ71" s="6">
        <f t="shared" si="28"/>
        <v>0</v>
      </c>
      <c r="AK71">
        <f t="shared" si="15"/>
        <v>0</v>
      </c>
      <c r="AL71" s="5">
        <f t="shared" si="29"/>
        <v>45712</v>
      </c>
      <c r="AM71" s="6"/>
      <c r="AN71" s="6"/>
      <c r="AO71" s="6"/>
      <c r="AP71" s="6">
        <f t="shared" si="30"/>
        <v>0</v>
      </c>
      <c r="AQ71">
        <f t="shared" si="16"/>
        <v>0</v>
      </c>
    </row>
    <row r="72" spans="1:43" x14ac:dyDescent="0.3">
      <c r="A72" s="5">
        <f t="shared" si="22"/>
        <v>43521</v>
      </c>
      <c r="B72" s="6">
        <v>265.08967590004204</v>
      </c>
      <c r="C72" s="6">
        <v>41.767761099999774</v>
      </c>
      <c r="D72" s="6">
        <v>19.332000000000001</v>
      </c>
      <c r="E72" s="6">
        <f t="shared" si="17"/>
        <v>326.18943700004183</v>
      </c>
      <c r="F72">
        <f t="shared" si="10"/>
        <v>0</v>
      </c>
      <c r="G72" s="5">
        <f t="shared" si="23"/>
        <v>43886</v>
      </c>
      <c r="H72" s="6">
        <v>233.27028070008754</v>
      </c>
      <c r="I72" s="6">
        <v>44.592480600003157</v>
      </c>
      <c r="J72" s="6">
        <v>24.134</v>
      </c>
      <c r="K72" s="6">
        <f t="shared" si="18"/>
        <v>301.99676130009072</v>
      </c>
      <c r="L72">
        <f t="shared" si="11"/>
        <v>0</v>
      </c>
      <c r="M72" s="5">
        <f t="shared" si="24"/>
        <v>44252</v>
      </c>
      <c r="N72" s="6">
        <v>252.29915369999409</v>
      </c>
      <c r="O72" s="6">
        <v>51.163621899999676</v>
      </c>
      <c r="P72" s="6">
        <v>21.8232</v>
      </c>
      <c r="Q72" s="6">
        <f t="shared" si="19"/>
        <v>325.28597559999378</v>
      </c>
      <c r="R72">
        <f t="shared" si="12"/>
        <v>0</v>
      </c>
      <c r="S72" s="5">
        <f t="shared" si="25"/>
        <v>44617</v>
      </c>
      <c r="T72" s="6">
        <v>222.67767460000516</v>
      </c>
      <c r="U72" s="6">
        <v>49.454647399999203</v>
      </c>
      <c r="V72" s="6">
        <v>22.859800799999501</v>
      </c>
      <c r="W72" s="6">
        <f t="shared" si="20"/>
        <v>294.99212280000387</v>
      </c>
      <c r="X72">
        <f t="shared" si="13"/>
        <v>0</v>
      </c>
      <c r="Z72" s="5">
        <f t="shared" si="26"/>
        <v>44617</v>
      </c>
      <c r="AA72" s="6">
        <v>195.76166719996928</v>
      </c>
      <c r="AB72" s="6">
        <v>56.555127700001002</v>
      </c>
      <c r="AC72" s="6">
        <v>23.902274200000335</v>
      </c>
      <c r="AD72" s="6">
        <f t="shared" si="21"/>
        <v>276.21906909997062</v>
      </c>
      <c r="AE72">
        <f t="shared" si="14"/>
        <v>0</v>
      </c>
      <c r="AF72" s="5">
        <f t="shared" si="27"/>
        <v>45347</v>
      </c>
      <c r="AG72" s="6"/>
      <c r="AH72" s="6"/>
      <c r="AI72" s="6"/>
      <c r="AJ72" s="6">
        <f t="shared" si="28"/>
        <v>0</v>
      </c>
      <c r="AK72">
        <f t="shared" si="15"/>
        <v>0</v>
      </c>
      <c r="AL72" s="5">
        <f t="shared" si="29"/>
        <v>45713</v>
      </c>
      <c r="AM72" s="6"/>
      <c r="AN72" s="6"/>
      <c r="AO72" s="6"/>
      <c r="AP72" s="6">
        <f t="shared" si="30"/>
        <v>0</v>
      </c>
      <c r="AQ72">
        <f t="shared" si="16"/>
        <v>0</v>
      </c>
    </row>
    <row r="73" spans="1:43" x14ac:dyDescent="0.3">
      <c r="A73" s="5">
        <f t="shared" si="22"/>
        <v>43522</v>
      </c>
      <c r="B73" s="6">
        <v>259.68297089999913</v>
      </c>
      <c r="C73" s="6">
        <v>41.615008899999779</v>
      </c>
      <c r="D73" s="6">
        <v>21.358000000000001</v>
      </c>
      <c r="E73" s="6">
        <f t="shared" si="17"/>
        <v>322.65597979999893</v>
      </c>
      <c r="F73">
        <f t="shared" si="10"/>
        <v>0</v>
      </c>
      <c r="G73" s="5">
        <f t="shared" si="23"/>
        <v>43887</v>
      </c>
      <c r="H73" s="6">
        <v>236.65321939992904</v>
      </c>
      <c r="I73" s="6">
        <v>48.415329599998891</v>
      </c>
      <c r="J73" s="6">
        <v>24.338000000000001</v>
      </c>
      <c r="K73" s="6">
        <f t="shared" si="18"/>
        <v>309.40654899992796</v>
      </c>
      <c r="L73">
        <f t="shared" si="11"/>
        <v>0</v>
      </c>
      <c r="M73" s="5">
        <f t="shared" si="24"/>
        <v>44253</v>
      </c>
      <c r="N73" s="6">
        <v>267.14025650000571</v>
      </c>
      <c r="O73" s="6">
        <v>51.200268600001934</v>
      </c>
      <c r="P73" s="6">
        <v>20.7544</v>
      </c>
      <c r="Q73" s="6">
        <f t="shared" si="19"/>
        <v>339.09492510000763</v>
      </c>
      <c r="R73">
        <f t="shared" si="12"/>
        <v>0</v>
      </c>
      <c r="S73" s="5">
        <f t="shared" si="25"/>
        <v>44618</v>
      </c>
      <c r="T73" s="6">
        <v>217.76906350004674</v>
      </c>
      <c r="U73" s="6">
        <v>48.745756999999287</v>
      </c>
      <c r="V73" s="6">
        <v>22.6249131000021</v>
      </c>
      <c r="W73" s="6">
        <f t="shared" si="20"/>
        <v>289.13973360004815</v>
      </c>
      <c r="X73">
        <f t="shared" si="13"/>
        <v>0</v>
      </c>
      <c r="Z73" s="5">
        <f t="shared" si="26"/>
        <v>44618</v>
      </c>
      <c r="AA73" s="6">
        <v>208.04881850004196</v>
      </c>
      <c r="AB73" s="6">
        <v>47.717841000005606</v>
      </c>
      <c r="AC73" s="6">
        <v>18.708493900000118</v>
      </c>
      <c r="AD73" s="6">
        <f t="shared" si="21"/>
        <v>274.4751534000477</v>
      </c>
      <c r="AE73">
        <f t="shared" si="14"/>
        <v>0</v>
      </c>
      <c r="AF73" s="5">
        <f t="shared" si="27"/>
        <v>45348</v>
      </c>
      <c r="AG73" s="6"/>
      <c r="AH73" s="6"/>
      <c r="AI73" s="6"/>
      <c r="AJ73" s="6">
        <f t="shared" si="28"/>
        <v>0</v>
      </c>
      <c r="AK73">
        <f t="shared" si="15"/>
        <v>0</v>
      </c>
      <c r="AL73" s="5">
        <f t="shared" si="29"/>
        <v>45714</v>
      </c>
      <c r="AM73" s="6"/>
      <c r="AN73" s="6"/>
      <c r="AO73" s="6"/>
      <c r="AP73" s="6">
        <f t="shared" si="30"/>
        <v>0</v>
      </c>
      <c r="AQ73">
        <f t="shared" si="16"/>
        <v>0</v>
      </c>
    </row>
    <row r="74" spans="1:43" x14ac:dyDescent="0.3">
      <c r="A74" s="5">
        <f t="shared" si="22"/>
        <v>43523</v>
      </c>
      <c r="B74" s="6">
        <v>262.1095366999507</v>
      </c>
      <c r="C74" s="6">
        <v>42.343941300000992</v>
      </c>
      <c r="D74" s="6">
        <v>20.837</v>
      </c>
      <c r="E74" s="6">
        <f t="shared" si="17"/>
        <v>325.29047799995169</v>
      </c>
      <c r="F74">
        <f t="shared" si="10"/>
        <v>0</v>
      </c>
      <c r="G74" s="5">
        <f t="shared" si="23"/>
        <v>43888</v>
      </c>
      <c r="H74" s="6">
        <v>217.81615499997139</v>
      </c>
      <c r="I74" s="6">
        <v>45.158576499998567</v>
      </c>
      <c r="J74" s="6">
        <v>23.772200000000002</v>
      </c>
      <c r="K74" s="6">
        <f t="shared" si="18"/>
        <v>286.74693149996995</v>
      </c>
      <c r="L74">
        <f t="shared" si="11"/>
        <v>0</v>
      </c>
      <c r="M74" s="5">
        <f t="shared" si="24"/>
        <v>44254</v>
      </c>
      <c r="N74" s="6">
        <v>221.41098259997369</v>
      </c>
      <c r="O74" s="6">
        <v>49.686267200000586</v>
      </c>
      <c r="P74" s="6">
        <v>20.305299999999999</v>
      </c>
      <c r="Q74" s="6">
        <f t="shared" si="19"/>
        <v>291.40254979997428</v>
      </c>
      <c r="R74">
        <f t="shared" si="12"/>
        <v>0</v>
      </c>
      <c r="S74" s="5">
        <f t="shared" si="25"/>
        <v>44619</v>
      </c>
      <c r="T74" s="6">
        <v>189.46785599994661</v>
      </c>
      <c r="U74" s="6">
        <v>41.894407899998129</v>
      </c>
      <c r="V74" s="6">
        <v>16.838490199998255</v>
      </c>
      <c r="W74" s="6">
        <f t="shared" si="20"/>
        <v>248.200754099943</v>
      </c>
      <c r="X74">
        <f t="shared" si="13"/>
        <v>0</v>
      </c>
      <c r="Z74" s="5">
        <f t="shared" si="26"/>
        <v>44619</v>
      </c>
      <c r="AA74" s="6">
        <v>234.94117639994622</v>
      </c>
      <c r="AB74" s="6">
        <v>56.184157199993727</v>
      </c>
      <c r="AC74" s="6">
        <v>24.879398700001648</v>
      </c>
      <c r="AD74" s="6">
        <f t="shared" si="21"/>
        <v>316.00473229994162</v>
      </c>
      <c r="AE74">
        <f t="shared" si="14"/>
        <v>0</v>
      </c>
      <c r="AF74" s="5">
        <f t="shared" si="27"/>
        <v>45349</v>
      </c>
      <c r="AG74" s="6"/>
      <c r="AH74" s="6"/>
      <c r="AI74" s="6"/>
      <c r="AJ74" s="6">
        <f t="shared" si="28"/>
        <v>0</v>
      </c>
      <c r="AK74">
        <f t="shared" si="15"/>
        <v>0</v>
      </c>
      <c r="AL74" s="5">
        <f t="shared" si="29"/>
        <v>45715</v>
      </c>
      <c r="AM74" s="6"/>
      <c r="AN74" s="6"/>
      <c r="AO74" s="6"/>
      <c r="AP74" s="6">
        <f t="shared" si="30"/>
        <v>0</v>
      </c>
      <c r="AQ74">
        <f t="shared" si="16"/>
        <v>0</v>
      </c>
    </row>
    <row r="75" spans="1:43" x14ac:dyDescent="0.3">
      <c r="A75" s="21">
        <f t="shared" si="22"/>
        <v>43524</v>
      </c>
      <c r="B75" s="6">
        <v>277.55879919999836</v>
      </c>
      <c r="C75" s="6">
        <v>42.161709799999372</v>
      </c>
      <c r="D75" s="6">
        <v>20.992000000000001</v>
      </c>
      <c r="E75" s="6">
        <f t="shared" si="17"/>
        <v>340.71250899999774</v>
      </c>
      <c r="F75">
        <f t="shared" si="10"/>
        <v>0</v>
      </c>
      <c r="G75" s="5">
        <f t="shared" si="23"/>
        <v>43889</v>
      </c>
      <c r="H75" s="6">
        <v>215.60892370009421</v>
      </c>
      <c r="I75" s="6">
        <v>46.755463700000199</v>
      </c>
      <c r="J75" s="6">
        <v>21.8004</v>
      </c>
      <c r="K75" s="6">
        <f t="shared" si="18"/>
        <v>284.16478740009444</v>
      </c>
      <c r="L75">
        <f t="shared" si="11"/>
        <v>0</v>
      </c>
      <c r="M75" s="5">
        <f t="shared" si="24"/>
        <v>44255</v>
      </c>
      <c r="N75" s="6">
        <v>180.61616719996928</v>
      </c>
      <c r="O75" s="6">
        <v>41.808434599995614</v>
      </c>
      <c r="P75" s="6">
        <v>17.953599999999998</v>
      </c>
      <c r="Q75" s="6">
        <f t="shared" si="19"/>
        <v>240.3782017999649</v>
      </c>
      <c r="R75">
        <f t="shared" si="12"/>
        <v>0</v>
      </c>
      <c r="S75" s="21">
        <f t="shared" si="25"/>
        <v>44620</v>
      </c>
      <c r="T75" s="6">
        <v>214.57641929996015</v>
      </c>
      <c r="U75" s="6">
        <v>52.791487199999395</v>
      </c>
      <c r="V75" s="6">
        <v>23.162123300000211</v>
      </c>
      <c r="W75" s="6">
        <f t="shared" si="20"/>
        <v>290.53002979995972</v>
      </c>
      <c r="X75">
        <f t="shared" si="13"/>
        <v>0</v>
      </c>
      <c r="Z75" s="21">
        <f t="shared" si="26"/>
        <v>44620</v>
      </c>
      <c r="AA75" s="6">
        <v>230.24346150004862</v>
      </c>
      <c r="AB75" s="6">
        <v>56.101337099999192</v>
      </c>
      <c r="AC75" s="6">
        <v>25.312364499996882</v>
      </c>
      <c r="AD75" s="6">
        <f t="shared" si="21"/>
        <v>311.65716310004467</v>
      </c>
      <c r="AE75">
        <f t="shared" si="14"/>
        <v>0</v>
      </c>
      <c r="AF75" s="21">
        <f t="shared" si="27"/>
        <v>45350</v>
      </c>
      <c r="AG75" s="6"/>
      <c r="AH75" s="6"/>
      <c r="AI75" s="6"/>
      <c r="AJ75" s="6">
        <f t="shared" si="28"/>
        <v>0</v>
      </c>
      <c r="AK75">
        <f t="shared" si="15"/>
        <v>0</v>
      </c>
      <c r="AL75" s="21">
        <f t="shared" si="29"/>
        <v>45716</v>
      </c>
      <c r="AM75" s="6"/>
      <c r="AN75" s="6"/>
      <c r="AO75" s="6"/>
      <c r="AP75" s="6">
        <f t="shared" si="30"/>
        <v>0</v>
      </c>
      <c r="AQ75">
        <f t="shared" si="16"/>
        <v>0</v>
      </c>
    </row>
    <row r="76" spans="1:43" x14ac:dyDescent="0.3">
      <c r="A76" s="5">
        <f t="shared" si="22"/>
        <v>43525</v>
      </c>
      <c r="B76" s="6">
        <v>274.72490260004997</v>
      </c>
      <c r="C76" s="6">
        <v>41.968974200000986</v>
      </c>
      <c r="D76" s="6">
        <v>20.745999999999999</v>
      </c>
      <c r="E76" s="6">
        <f t="shared" si="17"/>
        <v>337.43987680005091</v>
      </c>
      <c r="F76">
        <f t="shared" si="10"/>
        <v>0</v>
      </c>
      <c r="G76" s="21">
        <f t="shared" si="23"/>
        <v>43890</v>
      </c>
      <c r="H76" s="6">
        <v>206.54958299994468</v>
      </c>
      <c r="I76" s="6">
        <v>44.391828700002286</v>
      </c>
      <c r="J76" s="6">
        <v>23.2529</v>
      </c>
      <c r="K76" s="6">
        <f t="shared" si="18"/>
        <v>274.19431169994698</v>
      </c>
      <c r="L76">
        <f t="shared" si="11"/>
        <v>0</v>
      </c>
      <c r="M76" s="21">
        <f t="shared" si="24"/>
        <v>44256</v>
      </c>
      <c r="N76" s="6">
        <v>202.49311230003835</v>
      </c>
      <c r="O76" s="6">
        <v>51.222514600001276</v>
      </c>
      <c r="P76" s="6">
        <v>23.341999999999999</v>
      </c>
      <c r="Q76" s="6">
        <f t="shared" si="19"/>
        <v>277.05762690003962</v>
      </c>
      <c r="R76">
        <f t="shared" si="12"/>
        <v>0</v>
      </c>
      <c r="S76" s="5">
        <f t="shared" si="25"/>
        <v>44621</v>
      </c>
      <c r="T76" s="6">
        <v>206.65423010003568</v>
      </c>
      <c r="U76" s="6">
        <v>52.670092500001189</v>
      </c>
      <c r="V76" s="6">
        <v>23.435439699998707</v>
      </c>
      <c r="W76" s="6">
        <f t="shared" si="20"/>
        <v>282.75976230003556</v>
      </c>
      <c r="X76">
        <f t="shared" si="13"/>
        <v>0</v>
      </c>
      <c r="Z76" s="5">
        <f t="shared" si="26"/>
        <v>44621</v>
      </c>
      <c r="AA76" s="6">
        <v>205.43628529989721</v>
      </c>
      <c r="AB76" s="6">
        <v>57.561620499998334</v>
      </c>
      <c r="AC76" s="6">
        <v>25.198787300000898</v>
      </c>
      <c r="AD76" s="6">
        <f t="shared" si="21"/>
        <v>288.19669309989644</v>
      </c>
      <c r="AE76">
        <f t="shared" si="14"/>
        <v>0</v>
      </c>
      <c r="AF76" s="5">
        <f t="shared" si="27"/>
        <v>45351</v>
      </c>
      <c r="AG76" s="6"/>
      <c r="AH76" s="6"/>
      <c r="AI76" s="6"/>
      <c r="AJ76" s="6">
        <f t="shared" si="28"/>
        <v>0</v>
      </c>
      <c r="AK76">
        <f t="shared" si="15"/>
        <v>0</v>
      </c>
      <c r="AL76" s="5">
        <f t="shared" si="29"/>
        <v>45717</v>
      </c>
      <c r="AM76" s="6"/>
      <c r="AN76" s="6"/>
      <c r="AO76" s="6"/>
      <c r="AP76" s="6">
        <f t="shared" si="30"/>
        <v>0</v>
      </c>
      <c r="AQ76">
        <f t="shared" si="16"/>
        <v>0</v>
      </c>
    </row>
    <row r="77" spans="1:43" x14ac:dyDescent="0.3">
      <c r="A77" s="5">
        <f t="shared" si="22"/>
        <v>43526</v>
      </c>
      <c r="B77" s="6">
        <v>259.34531779998542</v>
      </c>
      <c r="C77" s="6">
        <v>41.584764299999925</v>
      </c>
      <c r="D77" s="6">
        <v>19.827000000000002</v>
      </c>
      <c r="E77" s="6">
        <f t="shared" si="17"/>
        <v>320.75708209998533</v>
      </c>
      <c r="F77">
        <f t="shared" si="10"/>
        <v>0</v>
      </c>
      <c r="G77" s="5">
        <f t="shared" si="23"/>
        <v>43891</v>
      </c>
      <c r="H77" s="6">
        <v>193.53629620003701</v>
      </c>
      <c r="I77" s="6">
        <v>38.173383799999954</v>
      </c>
      <c r="J77" s="6">
        <v>19.202249999999999</v>
      </c>
      <c r="K77" s="6">
        <f t="shared" si="18"/>
        <v>250.91193000003696</v>
      </c>
      <c r="L77">
        <f t="shared" si="11"/>
        <v>0</v>
      </c>
      <c r="M77" s="5">
        <f t="shared" si="24"/>
        <v>44257</v>
      </c>
      <c r="N77" s="6">
        <v>205.92728859996797</v>
      </c>
      <c r="O77" s="6">
        <v>47.358169399999085</v>
      </c>
      <c r="P77" s="6">
        <v>23.850999999999999</v>
      </c>
      <c r="Q77" s="6">
        <f>SUM(N77:P77)</f>
        <v>277.13645799996704</v>
      </c>
      <c r="R77">
        <f>IF(Q77&gt;321500,1,0)</f>
        <v>0</v>
      </c>
      <c r="S77" s="5">
        <f t="shared" si="25"/>
        <v>44622</v>
      </c>
      <c r="T77" s="6">
        <v>246.99494070005417</v>
      </c>
      <c r="U77" s="6">
        <v>56.177641800001261</v>
      </c>
      <c r="V77" s="6">
        <v>23.257140700000104</v>
      </c>
      <c r="W77" s="6">
        <f t="shared" si="20"/>
        <v>326.42972320005555</v>
      </c>
      <c r="X77">
        <f>IF(W77&gt;321500,1,0)</f>
        <v>0</v>
      </c>
      <c r="Z77" s="5">
        <f t="shared" si="26"/>
        <v>44622</v>
      </c>
      <c r="AA77" s="6">
        <v>235.69146320009233</v>
      </c>
      <c r="AB77" s="6">
        <v>54.919993000000716</v>
      </c>
      <c r="AC77" s="6">
        <v>23.917825899999588</v>
      </c>
      <c r="AD77" s="6">
        <f t="shared" si="21"/>
        <v>314.52928210009259</v>
      </c>
      <c r="AE77">
        <f>IF(AD77&gt;321500,1,0)</f>
        <v>0</v>
      </c>
      <c r="AF77" s="5">
        <f t="shared" si="27"/>
        <v>45352</v>
      </c>
      <c r="AG77" s="6"/>
      <c r="AH77" s="6"/>
      <c r="AI77" s="6"/>
      <c r="AJ77" s="6">
        <f t="shared" si="28"/>
        <v>0</v>
      </c>
      <c r="AK77">
        <f>IF(AJ77&gt;321500,1,0)</f>
        <v>0</v>
      </c>
      <c r="AL77" s="5">
        <f t="shared" si="29"/>
        <v>45718</v>
      </c>
      <c r="AM77" s="6"/>
      <c r="AN77" s="6"/>
      <c r="AO77" s="6"/>
      <c r="AP77" s="6">
        <f t="shared" si="30"/>
        <v>0</v>
      </c>
      <c r="AQ77">
        <f>IF(AP77&gt;321500,1,0)</f>
        <v>0</v>
      </c>
    </row>
    <row r="78" spans="1:43" x14ac:dyDescent="0.3">
      <c r="A78" s="5">
        <f t="shared" si="22"/>
        <v>43527</v>
      </c>
      <c r="B78" s="6">
        <v>235.40810689997673</v>
      </c>
      <c r="C78" s="6">
        <v>39.874426699999717</v>
      </c>
      <c r="D78" s="6">
        <v>14.52</v>
      </c>
      <c r="E78" s="6">
        <f t="shared" si="17"/>
        <v>289.80253359997641</v>
      </c>
      <c r="F78">
        <f t="shared" si="10"/>
        <v>0</v>
      </c>
      <c r="G78" s="5">
        <f t="shared" si="23"/>
        <v>43892</v>
      </c>
      <c r="H78" s="6">
        <v>232.86371829998492</v>
      </c>
      <c r="I78" s="6">
        <v>46.659109299998732</v>
      </c>
      <c r="J78" s="6">
        <v>24.452000000000002</v>
      </c>
      <c r="K78" s="6">
        <f t="shared" si="18"/>
        <v>303.97482759998366</v>
      </c>
      <c r="L78">
        <f t="shared" si="11"/>
        <v>0</v>
      </c>
      <c r="M78" s="5">
        <f t="shared" si="24"/>
        <v>44258</v>
      </c>
      <c r="N78" s="6">
        <v>205.39485329997541</v>
      </c>
      <c r="O78" s="6">
        <v>47.200654700003561</v>
      </c>
      <c r="P78" s="6">
        <v>22.873999999999999</v>
      </c>
      <c r="Q78" s="6">
        <f>SUM(N78:P78)</f>
        <v>275.46950799997899</v>
      </c>
      <c r="R78">
        <f>IF(Q78&gt;321500,1,0)</f>
        <v>0</v>
      </c>
      <c r="S78" s="5">
        <f t="shared" si="25"/>
        <v>44623</v>
      </c>
      <c r="T78" s="6">
        <v>228.0230911999941</v>
      </c>
      <c r="U78" s="6">
        <v>52.556720100000504</v>
      </c>
      <c r="V78" s="6">
        <v>20.663670600000653</v>
      </c>
      <c r="W78" s="6">
        <f t="shared" si="20"/>
        <v>301.24348189999529</v>
      </c>
      <c r="X78">
        <f>IF(W78&gt;321500,1,0)</f>
        <v>0</v>
      </c>
      <c r="Z78" s="5">
        <f t="shared" si="26"/>
        <v>44623</v>
      </c>
      <c r="AA78" s="6">
        <v>212.95739889991285</v>
      </c>
      <c r="AB78" s="6">
        <v>55.718860300004479</v>
      </c>
      <c r="AC78" s="6">
        <v>23.340877400000114</v>
      </c>
      <c r="AD78" s="6">
        <f t="shared" si="21"/>
        <v>292.01713659991748</v>
      </c>
      <c r="AE78">
        <f>IF(AD78&gt;321500,1,0)</f>
        <v>0</v>
      </c>
      <c r="AF78" s="5">
        <f t="shared" si="27"/>
        <v>45353</v>
      </c>
      <c r="AG78" s="6"/>
      <c r="AH78" s="6"/>
      <c r="AI78" s="6"/>
      <c r="AJ78" s="6">
        <f t="shared" si="28"/>
        <v>0</v>
      </c>
      <c r="AK78">
        <f>IF(AJ78&gt;321500,1,0)</f>
        <v>0</v>
      </c>
      <c r="AL78" s="5">
        <f t="shared" si="29"/>
        <v>45719</v>
      </c>
      <c r="AM78" s="6"/>
      <c r="AN78" s="6"/>
      <c r="AO78" s="6"/>
      <c r="AP78" s="6">
        <f t="shared" si="30"/>
        <v>0</v>
      </c>
      <c r="AQ78">
        <f>IF(AP78&gt;321500,1,0)</f>
        <v>0</v>
      </c>
    </row>
    <row r="79" spans="1:43" x14ac:dyDescent="0.3">
      <c r="A79" s="5">
        <f t="shared" si="22"/>
        <v>43528</v>
      </c>
      <c r="B79" s="6">
        <v>265.75361739999056</v>
      </c>
      <c r="C79" s="6">
        <v>46.208982499999927</v>
      </c>
      <c r="D79" s="6">
        <v>20.132999999999999</v>
      </c>
      <c r="E79" s="6">
        <f t="shared" si="17"/>
        <v>332.09559989999048</v>
      </c>
      <c r="F79">
        <f t="shared" si="10"/>
        <v>0</v>
      </c>
      <c r="G79" s="5">
        <f t="shared" si="23"/>
        <v>43893</v>
      </c>
      <c r="H79" s="6">
        <v>240.07082130002976</v>
      </c>
      <c r="I79" s="6">
        <v>48.666542500000446</v>
      </c>
      <c r="J79" s="6">
        <v>23.788</v>
      </c>
      <c r="K79" s="6">
        <f t="shared" si="18"/>
        <v>312.52536380003022</v>
      </c>
      <c r="L79">
        <f t="shared" si="11"/>
        <v>0</v>
      </c>
      <c r="M79" s="5">
        <f t="shared" si="24"/>
        <v>44259</v>
      </c>
      <c r="N79" s="6">
        <v>201.92803729999065</v>
      </c>
      <c r="O79" s="6">
        <v>47.616633599996568</v>
      </c>
      <c r="P79" s="6">
        <v>23.91</v>
      </c>
      <c r="Q79" s="6">
        <f>SUM(N79:P79)</f>
        <v>273.45467089998721</v>
      </c>
      <c r="R79">
        <f>IF(Q79&gt;321500,1,0)</f>
        <v>0</v>
      </c>
      <c r="S79" s="5">
        <f t="shared" si="25"/>
        <v>44624</v>
      </c>
      <c r="T79" s="6">
        <v>205.95686099994182</v>
      </c>
      <c r="U79" s="6">
        <v>54.721585799999538</v>
      </c>
      <c r="V79" s="6">
        <v>22.753017299999716</v>
      </c>
      <c r="W79" s="6">
        <f t="shared" si="20"/>
        <v>283.43146409994108</v>
      </c>
      <c r="X79">
        <f>IF(W79&gt;321500,1,0)</f>
        <v>0</v>
      </c>
      <c r="Z79" s="5">
        <f t="shared" si="26"/>
        <v>44624</v>
      </c>
      <c r="AA79" s="6">
        <v>236.11665680003165</v>
      </c>
      <c r="AB79" s="6">
        <v>52.004862000003456</v>
      </c>
      <c r="AC79" s="6">
        <v>23.591807599999477</v>
      </c>
      <c r="AD79" s="6">
        <f t="shared" si="21"/>
        <v>311.71332640003459</v>
      </c>
      <c r="AE79">
        <f>IF(AD79&gt;321500,1,0)</f>
        <v>0</v>
      </c>
      <c r="AF79" s="5">
        <f t="shared" si="27"/>
        <v>45354</v>
      </c>
      <c r="AG79" s="6"/>
      <c r="AH79" s="6"/>
      <c r="AI79" s="6"/>
      <c r="AJ79" s="6">
        <f t="shared" si="28"/>
        <v>0</v>
      </c>
      <c r="AK79">
        <f>IF(AJ79&gt;321500,1,0)</f>
        <v>0</v>
      </c>
      <c r="AL79" s="5">
        <f t="shared" si="29"/>
        <v>45720</v>
      </c>
      <c r="AM79" s="6"/>
      <c r="AN79" s="6"/>
      <c r="AO79" s="6"/>
      <c r="AP79" s="6">
        <f t="shared" si="30"/>
        <v>0</v>
      </c>
      <c r="AQ79">
        <f>IF(AP79&gt;321500,1,0)</f>
        <v>0</v>
      </c>
    </row>
    <row r="80" spans="1:43" x14ac:dyDescent="0.3">
      <c r="A80" s="5">
        <f t="shared" si="22"/>
        <v>43529</v>
      </c>
      <c r="B80" s="6">
        <v>267.44419240003822</v>
      </c>
      <c r="C80" s="6">
        <v>45.439883500000462</v>
      </c>
      <c r="D80" s="6">
        <v>20.637</v>
      </c>
      <c r="E80" s="6">
        <f t="shared" si="17"/>
        <v>333.52107590003868</v>
      </c>
      <c r="F80">
        <f t="shared" si="10"/>
        <v>0</v>
      </c>
      <c r="G80" s="5">
        <f t="shared" si="23"/>
        <v>43894</v>
      </c>
      <c r="H80" s="6">
        <v>240.26674199998379</v>
      </c>
      <c r="I80" s="6">
        <v>48.776533399999138</v>
      </c>
      <c r="J80" s="6">
        <v>23.795000000000002</v>
      </c>
      <c r="K80" s="6">
        <f t="shared" si="18"/>
        <v>312.83827539998293</v>
      </c>
      <c r="L80">
        <f t="shared" si="11"/>
        <v>0</v>
      </c>
      <c r="M80" s="5">
        <f t="shared" si="24"/>
        <v>44260</v>
      </c>
      <c r="N80" s="6">
        <v>221.04309180009366</v>
      </c>
      <c r="O80" s="6">
        <v>48.152541500002144</v>
      </c>
      <c r="P80" s="6">
        <v>23.251000000000001</v>
      </c>
      <c r="Q80" s="6">
        <f>SUM(N80:P80)</f>
        <v>292.44663330009575</v>
      </c>
      <c r="R80">
        <f t="shared" ref="R80:R135" si="31">IF(Q80&gt;321500,1,0)</f>
        <v>0</v>
      </c>
      <c r="S80" s="5">
        <f t="shared" si="25"/>
        <v>44625</v>
      </c>
      <c r="T80" s="6">
        <v>186.70119290006161</v>
      </c>
      <c r="U80" s="6">
        <v>53.294692900002005</v>
      </c>
      <c r="V80" s="6">
        <v>23.198704000000841</v>
      </c>
      <c r="W80" s="6">
        <f t="shared" si="20"/>
        <v>263.19458980006442</v>
      </c>
      <c r="X80">
        <f t="shared" ref="X80:X135" si="32">IF(W80&gt;321500,1,0)</f>
        <v>0</v>
      </c>
      <c r="Z80" s="5">
        <f t="shared" si="26"/>
        <v>44625</v>
      </c>
      <c r="AA80" s="6">
        <v>223.03718970000745</v>
      </c>
      <c r="AB80" s="6">
        <v>50.589318399995562</v>
      </c>
      <c r="AC80" s="6">
        <v>19.882772500000428</v>
      </c>
      <c r="AD80" s="6">
        <f t="shared" si="21"/>
        <v>293.50928060000342</v>
      </c>
      <c r="AE80">
        <f t="shared" ref="AE80:AE135" si="33">IF(AD80&gt;321500,1,0)</f>
        <v>0</v>
      </c>
      <c r="AF80" s="5">
        <f t="shared" si="27"/>
        <v>45355</v>
      </c>
      <c r="AG80" s="6"/>
      <c r="AH80" s="6"/>
      <c r="AI80" s="6"/>
      <c r="AJ80" s="6">
        <f t="shared" si="28"/>
        <v>0</v>
      </c>
      <c r="AK80">
        <f t="shared" ref="AK80:AK135" si="34">IF(AJ80&gt;321500,1,0)</f>
        <v>0</v>
      </c>
      <c r="AL80" s="5">
        <f t="shared" si="29"/>
        <v>45721</v>
      </c>
      <c r="AM80" s="6"/>
      <c r="AN80" s="6"/>
      <c r="AO80" s="6"/>
      <c r="AP80" s="6">
        <f t="shared" si="30"/>
        <v>0</v>
      </c>
      <c r="AQ80">
        <f t="shared" ref="AQ80:AQ135" si="35">IF(AP80&gt;321500,1,0)</f>
        <v>0</v>
      </c>
    </row>
    <row r="81" spans="1:43" x14ac:dyDescent="0.3">
      <c r="A81" s="5">
        <f t="shared" si="22"/>
        <v>43530</v>
      </c>
      <c r="B81" s="6">
        <v>271.85084149998426</v>
      </c>
      <c r="C81" s="6">
        <v>45.803404399998485</v>
      </c>
      <c r="D81" s="6">
        <v>20.890999999999998</v>
      </c>
      <c r="E81" s="6">
        <f t="shared" si="17"/>
        <v>338.54524589998277</v>
      </c>
      <c r="F81">
        <f t="shared" ref="F81:F136" si="36">IF(E81&gt;321500,1,0)</f>
        <v>0</v>
      </c>
      <c r="G81" s="5">
        <f t="shared" si="23"/>
        <v>43895</v>
      </c>
      <c r="H81" s="6">
        <v>255.01887979996204</v>
      </c>
      <c r="I81" s="6">
        <v>50.097789000000802</v>
      </c>
      <c r="J81" s="6">
        <v>23.26</v>
      </c>
      <c r="K81" s="6">
        <f t="shared" si="18"/>
        <v>328.37666879996283</v>
      </c>
      <c r="L81">
        <f t="shared" ref="L81:L136" si="37">IF(K81&gt;321500,1,0)</f>
        <v>0</v>
      </c>
      <c r="M81" s="5">
        <f t="shared" si="24"/>
        <v>44261</v>
      </c>
      <c r="N81" s="6">
        <v>178.85834139990806</v>
      </c>
      <c r="O81" s="6">
        <v>49.59949270000309</v>
      </c>
      <c r="P81" s="6">
        <v>23.443000000000001</v>
      </c>
      <c r="Q81" s="6">
        <f t="shared" ref="Q81:Q144" si="38">SUM(N81:P81)</f>
        <v>251.90083409991115</v>
      </c>
      <c r="R81">
        <f t="shared" si="31"/>
        <v>0</v>
      </c>
      <c r="S81" s="5">
        <f t="shared" si="25"/>
        <v>44626</v>
      </c>
      <c r="T81" s="6">
        <v>207.4056712999344</v>
      </c>
      <c r="U81" s="6">
        <v>42.532950300000607</v>
      </c>
      <c r="V81" s="6">
        <v>16.962464200002142</v>
      </c>
      <c r="W81" s="6">
        <f t="shared" si="20"/>
        <v>266.90108579993716</v>
      </c>
      <c r="X81">
        <f t="shared" si="32"/>
        <v>0</v>
      </c>
      <c r="Z81" s="5">
        <f t="shared" si="26"/>
        <v>44626</v>
      </c>
      <c r="AA81" s="6">
        <v>245.09454229998587</v>
      </c>
      <c r="AB81" s="6">
        <v>55.653726999998092</v>
      </c>
      <c r="AC81" s="6">
        <v>24.958832799999509</v>
      </c>
      <c r="AD81" s="6">
        <f t="shared" si="21"/>
        <v>325.7071020999835</v>
      </c>
      <c r="AE81">
        <f t="shared" si="33"/>
        <v>0</v>
      </c>
      <c r="AF81" s="5">
        <f t="shared" si="27"/>
        <v>45356</v>
      </c>
      <c r="AG81" s="6"/>
      <c r="AH81" s="6"/>
      <c r="AI81" s="6"/>
      <c r="AJ81" s="6">
        <f t="shared" si="28"/>
        <v>0</v>
      </c>
      <c r="AK81">
        <f t="shared" si="34"/>
        <v>0</v>
      </c>
      <c r="AL81" s="5">
        <f t="shared" si="29"/>
        <v>45722</v>
      </c>
      <c r="AM81" s="6"/>
      <c r="AN81" s="6"/>
      <c r="AO81" s="6"/>
      <c r="AP81" s="6">
        <f t="shared" si="30"/>
        <v>0</v>
      </c>
      <c r="AQ81">
        <f t="shared" si="35"/>
        <v>0</v>
      </c>
    </row>
    <row r="82" spans="1:43" x14ac:dyDescent="0.3">
      <c r="A82" s="5">
        <f t="shared" si="22"/>
        <v>43531</v>
      </c>
      <c r="B82" s="6">
        <v>268.65504699999093</v>
      </c>
      <c r="C82" s="6">
        <v>43.876521100001412</v>
      </c>
      <c r="D82" s="6">
        <v>22.04</v>
      </c>
      <c r="E82" s="6">
        <f t="shared" ref="E82:E145" si="39">SUM(B82:D82)</f>
        <v>334.57156809999236</v>
      </c>
      <c r="F82">
        <f t="shared" si="36"/>
        <v>0</v>
      </c>
      <c r="G82" s="5">
        <f t="shared" si="23"/>
        <v>43896</v>
      </c>
      <c r="H82" s="6">
        <v>224.61118669998646</v>
      </c>
      <c r="I82" s="6">
        <v>50.767434399999679</v>
      </c>
      <c r="J82" s="6">
        <v>22.423999999999999</v>
      </c>
      <c r="K82" s="6">
        <f t="shared" ref="K82:K145" si="40">SUM(H82:J82)</f>
        <v>297.80262109998614</v>
      </c>
      <c r="L82">
        <f t="shared" si="37"/>
        <v>0</v>
      </c>
      <c r="M82" s="5">
        <f t="shared" si="24"/>
        <v>44262</v>
      </c>
      <c r="N82" s="6">
        <v>161.01447180008887</v>
      </c>
      <c r="O82" s="6">
        <v>39.282999499998986</v>
      </c>
      <c r="P82" s="6">
        <v>18.369</v>
      </c>
      <c r="Q82" s="6">
        <f t="shared" si="38"/>
        <v>218.66647130008786</v>
      </c>
      <c r="R82">
        <f t="shared" si="31"/>
        <v>0</v>
      </c>
      <c r="S82" s="5">
        <f t="shared" si="25"/>
        <v>44627</v>
      </c>
      <c r="T82" s="6">
        <v>240.97938180005551</v>
      </c>
      <c r="U82" s="6">
        <v>55.404729399994018</v>
      </c>
      <c r="V82" s="6">
        <v>23.461352399998809</v>
      </c>
      <c r="W82" s="6">
        <f t="shared" ref="W82:W145" si="41">SUM(T82:V82)</f>
        <v>319.84546360004833</v>
      </c>
      <c r="X82">
        <f t="shared" si="32"/>
        <v>0</v>
      </c>
      <c r="Z82" s="5">
        <f t="shared" si="26"/>
        <v>44627</v>
      </c>
      <c r="AA82" s="6">
        <v>242.18264470005036</v>
      </c>
      <c r="AB82" s="6">
        <v>56.471116400003432</v>
      </c>
      <c r="AC82" s="6">
        <v>21.127863700001502</v>
      </c>
      <c r="AD82" s="6">
        <f t="shared" ref="AD82:AD145" si="42">SUM(AA82:AC82)</f>
        <v>319.78162480005528</v>
      </c>
      <c r="AE82">
        <f t="shared" si="33"/>
        <v>0</v>
      </c>
      <c r="AF82" s="5">
        <f t="shared" si="27"/>
        <v>45357</v>
      </c>
      <c r="AG82" s="6"/>
      <c r="AH82" s="6"/>
      <c r="AI82" s="6"/>
      <c r="AJ82" s="6">
        <f t="shared" ref="AJ82:AJ145" si="43">SUM(AG82:AI82)</f>
        <v>0</v>
      </c>
      <c r="AK82">
        <f t="shared" si="34"/>
        <v>0</v>
      </c>
      <c r="AL82" s="5">
        <f t="shared" si="29"/>
        <v>45723</v>
      </c>
      <c r="AM82" s="6"/>
      <c r="AN82" s="6"/>
      <c r="AO82" s="6"/>
      <c r="AP82" s="6">
        <f t="shared" ref="AP82:AP145" si="44">SUM(AM82:AO82)</f>
        <v>0</v>
      </c>
      <c r="AQ82">
        <f t="shared" si="35"/>
        <v>0</v>
      </c>
    </row>
    <row r="83" spans="1:43" x14ac:dyDescent="0.3">
      <c r="A83" s="5">
        <f t="shared" ref="A83:A146" si="45">A82+1</f>
        <v>43532</v>
      </c>
      <c r="B83" s="6">
        <v>269.03031419998405</v>
      </c>
      <c r="C83" s="6">
        <v>43.998703199999404</v>
      </c>
      <c r="D83" s="6">
        <v>22.111999999999998</v>
      </c>
      <c r="E83" s="6">
        <f t="shared" si="39"/>
        <v>335.14101739998347</v>
      </c>
      <c r="F83">
        <f t="shared" si="36"/>
        <v>0</v>
      </c>
      <c r="G83" s="5">
        <f t="shared" ref="G83:G146" si="46">G82+1</f>
        <v>43897</v>
      </c>
      <c r="H83" s="6">
        <v>236.60073360002042</v>
      </c>
      <c r="I83" s="6">
        <v>47.120679200001064</v>
      </c>
      <c r="J83" s="6">
        <v>21.222000000000001</v>
      </c>
      <c r="K83" s="6">
        <f t="shared" si="40"/>
        <v>304.94341280002146</v>
      </c>
      <c r="L83">
        <f t="shared" si="37"/>
        <v>0</v>
      </c>
      <c r="M83" s="5">
        <f t="shared" ref="M83:M146" si="47">M82+1</f>
        <v>44263</v>
      </c>
      <c r="N83" s="6">
        <v>178.49994900000095</v>
      </c>
      <c r="O83" s="6">
        <v>49.435208200000226</v>
      </c>
      <c r="P83" s="6">
        <v>23.841999999999999</v>
      </c>
      <c r="Q83" s="6">
        <f t="shared" si="38"/>
        <v>251.77715720000117</v>
      </c>
      <c r="R83">
        <f t="shared" si="31"/>
        <v>0</v>
      </c>
      <c r="S83" s="5">
        <f t="shared" ref="S83:S146" si="48">S82+1</f>
        <v>44628</v>
      </c>
      <c r="T83" s="6">
        <v>227.79322969996929</v>
      </c>
      <c r="U83" s="6">
        <v>54.971019500002264</v>
      </c>
      <c r="V83" s="6">
        <v>22.860863799997606</v>
      </c>
      <c r="W83" s="6">
        <f t="shared" si="41"/>
        <v>305.62511299996919</v>
      </c>
      <c r="X83">
        <f t="shared" si="32"/>
        <v>0</v>
      </c>
      <c r="Z83" s="5">
        <f t="shared" ref="Z83:Z146" si="49">Z82+1</f>
        <v>44628</v>
      </c>
      <c r="AA83" s="6">
        <v>284.23179729998111</v>
      </c>
      <c r="AB83" s="6">
        <v>57.927728200003507</v>
      </c>
      <c r="AC83" s="6">
        <v>21.88166209999984</v>
      </c>
      <c r="AD83" s="6">
        <f t="shared" si="42"/>
        <v>364.04118759998448</v>
      </c>
      <c r="AE83">
        <f t="shared" si="33"/>
        <v>0</v>
      </c>
      <c r="AF83" s="5">
        <f t="shared" ref="AF83:AF146" si="50">AF82+1</f>
        <v>45358</v>
      </c>
      <c r="AG83" s="6"/>
      <c r="AH83" s="6"/>
      <c r="AI83" s="6"/>
      <c r="AJ83" s="6">
        <f t="shared" si="43"/>
        <v>0</v>
      </c>
      <c r="AK83">
        <f t="shared" si="34"/>
        <v>0</v>
      </c>
      <c r="AL83" s="5">
        <f t="shared" ref="AL83:AL146" si="51">AL82+1</f>
        <v>45724</v>
      </c>
      <c r="AM83" s="6"/>
      <c r="AN83" s="6"/>
      <c r="AO83" s="6"/>
      <c r="AP83" s="6">
        <f t="shared" si="44"/>
        <v>0</v>
      </c>
      <c r="AQ83">
        <f t="shared" si="35"/>
        <v>0</v>
      </c>
    </row>
    <row r="84" spans="1:43" x14ac:dyDescent="0.3">
      <c r="A84" s="5">
        <f t="shared" si="45"/>
        <v>43533</v>
      </c>
      <c r="B84" s="6">
        <v>256.47673680001498</v>
      </c>
      <c r="C84" s="6">
        <v>41.881278699999676</v>
      </c>
      <c r="D84" s="6">
        <v>22.225000000000001</v>
      </c>
      <c r="E84" s="6">
        <f t="shared" si="39"/>
        <v>320.58301550001465</v>
      </c>
      <c r="F84">
        <f t="shared" si="36"/>
        <v>0</v>
      </c>
      <c r="G84" s="5">
        <f t="shared" si="46"/>
        <v>43898</v>
      </c>
      <c r="H84" s="6">
        <v>194.90480390000343</v>
      </c>
      <c r="I84" s="6">
        <v>39.949146800000221</v>
      </c>
      <c r="J84" s="6">
        <v>18.574999999999999</v>
      </c>
      <c r="K84" s="6">
        <f t="shared" si="40"/>
        <v>253.42895070000364</v>
      </c>
      <c r="L84">
        <f t="shared" si="37"/>
        <v>0</v>
      </c>
      <c r="M84" s="5">
        <f t="shared" si="47"/>
        <v>44264</v>
      </c>
      <c r="N84" s="6">
        <v>219.9933747999668</v>
      </c>
      <c r="O84" s="6">
        <v>48.603501099996272</v>
      </c>
      <c r="P84" s="6">
        <v>23.716000000000001</v>
      </c>
      <c r="Q84" s="6">
        <f t="shared" si="38"/>
        <v>292.3128758999631</v>
      </c>
      <c r="R84">
        <f t="shared" si="31"/>
        <v>0</v>
      </c>
      <c r="S84" s="5">
        <f t="shared" si="48"/>
        <v>44629</v>
      </c>
      <c r="T84" s="6">
        <v>242.31112720000743</v>
      </c>
      <c r="U84" s="6">
        <v>54.419184900000694</v>
      </c>
      <c r="V84" s="6">
        <v>22.830151000001468</v>
      </c>
      <c r="W84" s="6">
        <f t="shared" si="41"/>
        <v>319.5604631000096</v>
      </c>
      <c r="X84">
        <f t="shared" si="32"/>
        <v>0</v>
      </c>
      <c r="Z84" s="5">
        <f t="shared" si="49"/>
        <v>44629</v>
      </c>
      <c r="AA84" s="6">
        <v>267.17112049996854</v>
      </c>
      <c r="AB84" s="6">
        <v>56.655289999991652</v>
      </c>
      <c r="AC84" s="6">
        <v>21.947517299999017</v>
      </c>
      <c r="AD84" s="6">
        <f t="shared" si="42"/>
        <v>345.77392779995915</v>
      </c>
      <c r="AE84">
        <f t="shared" si="33"/>
        <v>0</v>
      </c>
      <c r="AF84" s="5">
        <f t="shared" si="50"/>
        <v>45359</v>
      </c>
      <c r="AG84" s="6"/>
      <c r="AH84" s="6"/>
      <c r="AI84" s="6"/>
      <c r="AJ84" s="6">
        <f t="shared" si="43"/>
        <v>0</v>
      </c>
      <c r="AK84">
        <f t="shared" si="34"/>
        <v>0</v>
      </c>
      <c r="AL84" s="5">
        <f t="shared" si="51"/>
        <v>45725</v>
      </c>
      <c r="AM84" s="6"/>
      <c r="AN84" s="6"/>
      <c r="AO84" s="6"/>
      <c r="AP84" s="6">
        <f t="shared" si="44"/>
        <v>0</v>
      </c>
      <c r="AQ84">
        <f t="shared" si="35"/>
        <v>0</v>
      </c>
    </row>
    <row r="85" spans="1:43" x14ac:dyDescent="0.3">
      <c r="A85" s="5">
        <f t="shared" si="45"/>
        <v>43534</v>
      </c>
      <c r="B85" s="6">
        <v>235.04982170003652</v>
      </c>
      <c r="C85" s="6">
        <v>38.424488900000227</v>
      </c>
      <c r="D85" s="6">
        <v>18.244</v>
      </c>
      <c r="E85" s="6">
        <f t="shared" si="39"/>
        <v>291.71831060003672</v>
      </c>
      <c r="F85">
        <f t="shared" si="36"/>
        <v>0</v>
      </c>
      <c r="G85" s="5">
        <f t="shared" si="46"/>
        <v>43899</v>
      </c>
      <c r="H85" s="6">
        <v>239.35663800001146</v>
      </c>
      <c r="I85" s="6">
        <v>50.401560199998322</v>
      </c>
      <c r="J85" s="6">
        <v>22.341999999999999</v>
      </c>
      <c r="K85" s="6">
        <f t="shared" si="40"/>
        <v>312.10019820000974</v>
      </c>
      <c r="L85">
        <f t="shared" si="37"/>
        <v>0</v>
      </c>
      <c r="M85" s="5">
        <f t="shared" si="47"/>
        <v>44265</v>
      </c>
      <c r="N85" s="6">
        <v>189.64948160004616</v>
      </c>
      <c r="O85" s="6">
        <v>48.622292300000787</v>
      </c>
      <c r="P85" s="6">
        <v>24.149000000000001</v>
      </c>
      <c r="Q85" s="6">
        <f t="shared" si="38"/>
        <v>262.42077390004692</v>
      </c>
      <c r="R85">
        <f t="shared" si="31"/>
        <v>0</v>
      </c>
      <c r="S85" s="5">
        <f t="shared" si="48"/>
        <v>44630</v>
      </c>
      <c r="T85" s="6">
        <v>270.73075950002669</v>
      </c>
      <c r="U85" s="6">
        <v>53.730597199998797</v>
      </c>
      <c r="V85" s="6">
        <v>23.56023609999998</v>
      </c>
      <c r="W85" s="6">
        <f t="shared" si="41"/>
        <v>348.02159280002547</v>
      </c>
      <c r="X85">
        <f t="shared" si="32"/>
        <v>0</v>
      </c>
      <c r="Z85" s="5">
        <f t="shared" si="49"/>
        <v>44630</v>
      </c>
      <c r="AA85" s="6">
        <v>264.30232080006601</v>
      </c>
      <c r="AB85" s="6">
        <v>59.322520700007679</v>
      </c>
      <c r="AC85" s="6">
        <v>25.726695400002413</v>
      </c>
      <c r="AD85" s="6">
        <f t="shared" si="42"/>
        <v>349.3515369000761</v>
      </c>
      <c r="AE85">
        <f t="shared" si="33"/>
        <v>0</v>
      </c>
      <c r="AF85" s="5">
        <f t="shared" si="50"/>
        <v>45360</v>
      </c>
      <c r="AG85" s="6"/>
      <c r="AH85" s="6"/>
      <c r="AI85" s="6"/>
      <c r="AJ85" s="6">
        <f t="shared" si="43"/>
        <v>0</v>
      </c>
      <c r="AK85">
        <f t="shared" si="34"/>
        <v>0</v>
      </c>
      <c r="AL85" s="5">
        <f t="shared" si="51"/>
        <v>45726</v>
      </c>
      <c r="AM85" s="6"/>
      <c r="AN85" s="6"/>
      <c r="AO85" s="6"/>
      <c r="AP85" s="6">
        <f t="shared" si="44"/>
        <v>0</v>
      </c>
      <c r="AQ85">
        <f t="shared" si="35"/>
        <v>0</v>
      </c>
    </row>
    <row r="86" spans="1:43" x14ac:dyDescent="0.3">
      <c r="A86" s="5">
        <f t="shared" si="45"/>
        <v>43535</v>
      </c>
      <c r="B86" s="6">
        <v>274.78649809998274</v>
      </c>
      <c r="C86" s="6">
        <v>43.713716299999504</v>
      </c>
      <c r="D86" s="6">
        <v>22.193000000000001</v>
      </c>
      <c r="E86" s="6">
        <f t="shared" si="39"/>
        <v>340.69321439998225</v>
      </c>
      <c r="F86">
        <f t="shared" si="36"/>
        <v>0</v>
      </c>
      <c r="G86" s="5">
        <f t="shared" si="46"/>
        <v>43900</v>
      </c>
      <c r="H86" s="6">
        <v>238.93025230002402</v>
      </c>
      <c r="I86" s="6">
        <v>49.410938499998302</v>
      </c>
      <c r="J86" s="6">
        <v>21.765000000000001</v>
      </c>
      <c r="K86" s="6">
        <f t="shared" si="40"/>
        <v>310.10619080002232</v>
      </c>
      <c r="L86">
        <f t="shared" si="37"/>
        <v>0</v>
      </c>
      <c r="M86" s="5">
        <f t="shared" si="47"/>
        <v>44266</v>
      </c>
      <c r="N86" s="6">
        <v>197.6530543999672</v>
      </c>
      <c r="O86" s="6">
        <v>48.469880400002005</v>
      </c>
      <c r="P86" s="6">
        <v>22.917999999999999</v>
      </c>
      <c r="Q86" s="6">
        <f t="shared" si="38"/>
        <v>269.04093479996919</v>
      </c>
      <c r="R86">
        <f t="shared" si="31"/>
        <v>0</v>
      </c>
      <c r="S86" s="5">
        <f t="shared" si="48"/>
        <v>44631</v>
      </c>
      <c r="T86" s="6">
        <v>269.02667149996756</v>
      </c>
      <c r="U86" s="6">
        <v>54.762031700000165</v>
      </c>
      <c r="V86" s="6">
        <v>20.700209000002125</v>
      </c>
      <c r="W86" s="6">
        <f t="shared" si="41"/>
        <v>344.48891219996983</v>
      </c>
      <c r="X86">
        <f t="shared" si="32"/>
        <v>0</v>
      </c>
      <c r="Z86" s="5">
        <f t="shared" si="49"/>
        <v>44631</v>
      </c>
      <c r="AA86" s="6">
        <v>249.62566479992867</v>
      </c>
      <c r="AB86" s="6">
        <v>55.711090799987318</v>
      </c>
      <c r="AC86" s="6">
        <v>24.762952999997417</v>
      </c>
      <c r="AD86" s="6">
        <f t="shared" si="42"/>
        <v>330.09970859991341</v>
      </c>
      <c r="AE86">
        <f t="shared" si="33"/>
        <v>0</v>
      </c>
      <c r="AF86" s="5">
        <f t="shared" si="50"/>
        <v>45361</v>
      </c>
      <c r="AG86" s="6"/>
      <c r="AH86" s="6"/>
      <c r="AI86" s="6"/>
      <c r="AJ86" s="6">
        <f t="shared" si="43"/>
        <v>0</v>
      </c>
      <c r="AK86">
        <f t="shared" si="34"/>
        <v>0</v>
      </c>
      <c r="AL86" s="5">
        <f t="shared" si="51"/>
        <v>45727</v>
      </c>
      <c r="AM86" s="6"/>
      <c r="AN86" s="6"/>
      <c r="AO86" s="6"/>
      <c r="AP86" s="6">
        <f t="shared" si="44"/>
        <v>0</v>
      </c>
      <c r="AQ86">
        <f t="shared" si="35"/>
        <v>0</v>
      </c>
    </row>
    <row r="87" spans="1:43" x14ac:dyDescent="0.3">
      <c r="A87" s="5">
        <f t="shared" si="45"/>
        <v>43536</v>
      </c>
      <c r="B87" s="6">
        <v>274.03357919996978</v>
      </c>
      <c r="C87" s="6">
        <v>45.969420700000597</v>
      </c>
      <c r="D87" s="6">
        <v>21.763000000000002</v>
      </c>
      <c r="E87" s="6">
        <f t="shared" si="39"/>
        <v>341.76599989997038</v>
      </c>
      <c r="F87">
        <f t="shared" si="36"/>
        <v>0</v>
      </c>
      <c r="G87" s="5">
        <f t="shared" si="46"/>
        <v>43901</v>
      </c>
      <c r="H87" s="6">
        <v>251.94998819994927</v>
      </c>
      <c r="I87" s="6">
        <v>50.099384899999947</v>
      </c>
      <c r="J87" s="6">
        <v>21.817</v>
      </c>
      <c r="K87" s="6">
        <f t="shared" si="40"/>
        <v>323.86637309994921</v>
      </c>
      <c r="L87">
        <f t="shared" si="37"/>
        <v>0</v>
      </c>
      <c r="M87" s="5">
        <f t="shared" si="47"/>
        <v>44267</v>
      </c>
      <c r="N87" s="6">
        <v>199.57107159996033</v>
      </c>
      <c r="O87" s="6">
        <v>47.249649199999865</v>
      </c>
      <c r="P87" s="6">
        <v>20.811</v>
      </c>
      <c r="Q87" s="6">
        <f t="shared" si="38"/>
        <v>267.63172079996019</v>
      </c>
      <c r="R87">
        <f t="shared" si="31"/>
        <v>0</v>
      </c>
      <c r="S87" s="5">
        <f t="shared" si="48"/>
        <v>44632</v>
      </c>
      <c r="T87" s="6">
        <v>232.36856690001488</v>
      </c>
      <c r="U87" s="6">
        <v>53.098026299998168</v>
      </c>
      <c r="V87" s="6">
        <v>20.722478699999627</v>
      </c>
      <c r="W87" s="6">
        <f t="shared" si="41"/>
        <v>306.18907190001266</v>
      </c>
      <c r="X87">
        <f t="shared" si="32"/>
        <v>0</v>
      </c>
      <c r="Z87" s="5">
        <f t="shared" si="49"/>
        <v>44632</v>
      </c>
      <c r="AA87" s="6">
        <v>206.90514760005473</v>
      </c>
      <c r="AB87" s="6">
        <v>52.674587000012394</v>
      </c>
      <c r="AC87" s="6">
        <v>15.078348100001923</v>
      </c>
      <c r="AD87" s="6">
        <f t="shared" si="42"/>
        <v>274.65808270006903</v>
      </c>
      <c r="AE87">
        <f t="shared" si="33"/>
        <v>0</v>
      </c>
      <c r="AF87" s="5">
        <f t="shared" si="50"/>
        <v>45362</v>
      </c>
      <c r="AG87" s="6"/>
      <c r="AH87" s="6"/>
      <c r="AI87" s="6"/>
      <c r="AJ87" s="6">
        <f t="shared" si="43"/>
        <v>0</v>
      </c>
      <c r="AK87">
        <f t="shared" si="34"/>
        <v>0</v>
      </c>
      <c r="AL87" s="5">
        <f t="shared" si="51"/>
        <v>45728</v>
      </c>
      <c r="AM87" s="6"/>
      <c r="AN87" s="6"/>
      <c r="AO87" s="6"/>
      <c r="AP87" s="6">
        <f t="shared" si="44"/>
        <v>0</v>
      </c>
      <c r="AQ87">
        <f t="shared" si="35"/>
        <v>0</v>
      </c>
    </row>
    <row r="88" spans="1:43" x14ac:dyDescent="0.3">
      <c r="A88" s="5">
        <f t="shared" si="45"/>
        <v>43537</v>
      </c>
      <c r="B88" s="6">
        <v>275.63046350002287</v>
      </c>
      <c r="C88" s="6">
        <v>46.656926799999553</v>
      </c>
      <c r="D88" s="6">
        <v>20.318000000000001</v>
      </c>
      <c r="E88" s="6">
        <f t="shared" si="39"/>
        <v>342.60539030002241</v>
      </c>
      <c r="F88">
        <f t="shared" si="36"/>
        <v>0</v>
      </c>
      <c r="G88" s="5">
        <f t="shared" si="46"/>
        <v>43902</v>
      </c>
      <c r="H88" s="6">
        <v>254.51124510002137</v>
      </c>
      <c r="I88" s="6">
        <v>49.242069700002673</v>
      </c>
      <c r="J88" s="6">
        <v>22.888999999999999</v>
      </c>
      <c r="K88" s="6">
        <f t="shared" si="40"/>
        <v>326.64231480002405</v>
      </c>
      <c r="L88">
        <f t="shared" si="37"/>
        <v>0</v>
      </c>
      <c r="M88" s="5">
        <f t="shared" si="47"/>
        <v>44268</v>
      </c>
      <c r="N88" s="6">
        <v>223.00664250004291</v>
      </c>
      <c r="O88" s="6">
        <v>46.16761469999701</v>
      </c>
      <c r="P88" s="6">
        <v>23.393000000000001</v>
      </c>
      <c r="Q88" s="6">
        <f t="shared" si="38"/>
        <v>292.56725720003988</v>
      </c>
      <c r="R88">
        <f t="shared" si="31"/>
        <v>0</v>
      </c>
      <c r="S88" s="5">
        <f t="shared" si="48"/>
        <v>44633</v>
      </c>
      <c r="T88" s="6">
        <v>192.06279939997196</v>
      </c>
      <c r="U88" s="6">
        <v>45.444053100004794</v>
      </c>
      <c r="V88" s="6">
        <v>18.025031799997205</v>
      </c>
      <c r="W88" s="6">
        <f t="shared" si="41"/>
        <v>255.53188429997397</v>
      </c>
      <c r="X88">
        <f t="shared" si="32"/>
        <v>0</v>
      </c>
      <c r="Z88" s="5">
        <f t="shared" si="49"/>
        <v>44633</v>
      </c>
      <c r="AA88" s="6">
        <v>279.3659780999422</v>
      </c>
      <c r="AB88" s="6">
        <v>59.896793999999758</v>
      </c>
      <c r="AC88" s="6">
        <v>22.974378299999049</v>
      </c>
      <c r="AD88" s="6">
        <f t="shared" si="42"/>
        <v>362.23715039994102</v>
      </c>
      <c r="AE88">
        <f t="shared" si="33"/>
        <v>0</v>
      </c>
      <c r="AF88" s="5">
        <f t="shared" si="50"/>
        <v>45363</v>
      </c>
      <c r="AG88" s="6"/>
      <c r="AH88" s="6"/>
      <c r="AI88" s="6"/>
      <c r="AJ88" s="6">
        <f t="shared" si="43"/>
        <v>0</v>
      </c>
      <c r="AK88">
        <f t="shared" si="34"/>
        <v>0</v>
      </c>
      <c r="AL88" s="5">
        <f t="shared" si="51"/>
        <v>45729</v>
      </c>
      <c r="AM88" s="6"/>
      <c r="AN88" s="6"/>
      <c r="AO88" s="6"/>
      <c r="AP88" s="6">
        <f t="shared" si="44"/>
        <v>0</v>
      </c>
      <c r="AQ88">
        <f t="shared" si="35"/>
        <v>0</v>
      </c>
    </row>
    <row r="89" spans="1:43" x14ac:dyDescent="0.3">
      <c r="A89" s="5">
        <f t="shared" si="45"/>
        <v>43538</v>
      </c>
      <c r="B89" s="6">
        <v>253.36188819998503</v>
      </c>
      <c r="C89" s="6">
        <v>46.328050499999897</v>
      </c>
      <c r="D89" s="6">
        <v>21.56</v>
      </c>
      <c r="E89" s="6">
        <f t="shared" si="39"/>
        <v>321.24993869998491</v>
      </c>
      <c r="F89">
        <f t="shared" si="36"/>
        <v>0</v>
      </c>
      <c r="G89" s="5">
        <f t="shared" si="46"/>
        <v>43903</v>
      </c>
      <c r="H89" s="6">
        <v>244.17579540002345</v>
      </c>
      <c r="I89" s="6">
        <v>47.880295199997725</v>
      </c>
      <c r="J89" s="6">
        <v>21.946000000000002</v>
      </c>
      <c r="K89" s="6">
        <f t="shared" si="40"/>
        <v>314.00209060002118</v>
      </c>
      <c r="L89">
        <f t="shared" si="37"/>
        <v>0</v>
      </c>
      <c r="M89" s="5">
        <f t="shared" si="47"/>
        <v>44269</v>
      </c>
      <c r="N89" s="6">
        <v>212.47831989991664</v>
      </c>
      <c r="O89" s="6">
        <v>41.325116900004446</v>
      </c>
      <c r="P89" s="6">
        <v>19.123000000000001</v>
      </c>
      <c r="Q89" s="6">
        <f t="shared" si="38"/>
        <v>272.92643679992108</v>
      </c>
      <c r="R89">
        <f t="shared" si="31"/>
        <v>0</v>
      </c>
      <c r="S89" s="5">
        <f t="shared" si="48"/>
        <v>44634</v>
      </c>
      <c r="T89" s="6">
        <v>246.57806749999523</v>
      </c>
      <c r="U89" s="6">
        <v>53.923720699995755</v>
      </c>
      <c r="V89" s="6">
        <v>23.211143300003371</v>
      </c>
      <c r="W89" s="6">
        <f t="shared" si="41"/>
        <v>323.71293149999434</v>
      </c>
      <c r="X89">
        <f t="shared" si="32"/>
        <v>0</v>
      </c>
      <c r="Z89" s="5">
        <f t="shared" si="49"/>
        <v>44634</v>
      </c>
      <c r="AA89" s="6">
        <v>296.33580799996855</v>
      </c>
      <c r="AB89" s="6">
        <v>61.665438999995587</v>
      </c>
      <c r="AC89" s="6">
        <v>25.600546399999875</v>
      </c>
      <c r="AD89" s="6">
        <f t="shared" si="42"/>
        <v>383.60179339996398</v>
      </c>
      <c r="AE89">
        <f t="shared" si="33"/>
        <v>0</v>
      </c>
      <c r="AF89" s="5">
        <f t="shared" si="50"/>
        <v>45364</v>
      </c>
      <c r="AG89" s="6"/>
      <c r="AH89" s="6"/>
      <c r="AI89" s="6"/>
      <c r="AJ89" s="6">
        <f t="shared" si="43"/>
        <v>0</v>
      </c>
      <c r="AK89">
        <f t="shared" si="34"/>
        <v>0</v>
      </c>
      <c r="AL89" s="5">
        <f t="shared" si="51"/>
        <v>45730</v>
      </c>
      <c r="AM89" s="6"/>
      <c r="AN89" s="6"/>
      <c r="AO89" s="6"/>
      <c r="AP89" s="6">
        <f t="shared" si="44"/>
        <v>0</v>
      </c>
      <c r="AQ89">
        <f t="shared" si="35"/>
        <v>0</v>
      </c>
    </row>
    <row r="90" spans="1:43" x14ac:dyDescent="0.3">
      <c r="A90" s="5">
        <f t="shared" si="45"/>
        <v>43539</v>
      </c>
      <c r="B90" s="6">
        <v>252.41999700003862</v>
      </c>
      <c r="C90" s="6">
        <v>46.63731770000048</v>
      </c>
      <c r="D90" s="6">
        <v>22.158000000000001</v>
      </c>
      <c r="E90" s="6">
        <f t="shared" si="39"/>
        <v>321.21531470003913</v>
      </c>
      <c r="F90">
        <f t="shared" si="36"/>
        <v>0</v>
      </c>
      <c r="G90" s="5">
        <f t="shared" si="46"/>
        <v>43904</v>
      </c>
      <c r="H90" s="6">
        <v>214.46380959999561</v>
      </c>
      <c r="I90" s="6">
        <v>47.150162500001493</v>
      </c>
      <c r="J90" s="6">
        <v>22.027000000000001</v>
      </c>
      <c r="K90" s="6">
        <f t="shared" si="40"/>
        <v>283.6409720999971</v>
      </c>
      <c r="L90">
        <f t="shared" si="37"/>
        <v>0</v>
      </c>
      <c r="M90" s="5">
        <f t="shared" si="47"/>
        <v>44270</v>
      </c>
      <c r="N90" s="6">
        <v>233.60272010004522</v>
      </c>
      <c r="O90" s="6">
        <v>50.61768109999597</v>
      </c>
      <c r="P90" s="6">
        <v>21.771999999999998</v>
      </c>
      <c r="Q90" s="6">
        <f t="shared" si="38"/>
        <v>305.99240120004117</v>
      </c>
      <c r="R90">
        <f t="shared" si="31"/>
        <v>0</v>
      </c>
      <c r="S90" s="5">
        <f t="shared" si="48"/>
        <v>44635</v>
      </c>
      <c r="T90" s="6">
        <v>250.56480019998551</v>
      </c>
      <c r="U90" s="6">
        <v>53.572138300001619</v>
      </c>
      <c r="V90" s="6">
        <v>23.051591699997427</v>
      </c>
      <c r="W90" s="6">
        <f t="shared" si="41"/>
        <v>327.18853019998454</v>
      </c>
      <c r="X90">
        <f t="shared" si="32"/>
        <v>0</v>
      </c>
      <c r="Z90" s="5">
        <f t="shared" si="49"/>
        <v>44635</v>
      </c>
      <c r="AA90" s="6">
        <v>272.75073750007152</v>
      </c>
      <c r="AB90" s="6">
        <v>59.941429099991915</v>
      </c>
      <c r="AC90" s="6">
        <v>25.617449299999048</v>
      </c>
      <c r="AD90" s="6">
        <f t="shared" si="42"/>
        <v>358.30961590006251</v>
      </c>
      <c r="AE90">
        <f t="shared" si="33"/>
        <v>0</v>
      </c>
      <c r="AF90" s="5">
        <f t="shared" si="50"/>
        <v>45365</v>
      </c>
      <c r="AG90" s="6"/>
      <c r="AH90" s="6"/>
      <c r="AI90" s="6"/>
      <c r="AJ90" s="6">
        <f t="shared" si="43"/>
        <v>0</v>
      </c>
      <c r="AK90">
        <f t="shared" si="34"/>
        <v>0</v>
      </c>
      <c r="AL90" s="5">
        <f t="shared" si="51"/>
        <v>45731</v>
      </c>
      <c r="AM90" s="6"/>
      <c r="AN90" s="6"/>
      <c r="AO90" s="6"/>
      <c r="AP90" s="6">
        <f t="shared" si="44"/>
        <v>0</v>
      </c>
      <c r="AQ90">
        <f t="shared" si="35"/>
        <v>0</v>
      </c>
    </row>
    <row r="91" spans="1:43" x14ac:dyDescent="0.3">
      <c r="A91" s="5">
        <f t="shared" si="45"/>
        <v>43540</v>
      </c>
      <c r="B91" s="6">
        <v>244.687282499969</v>
      </c>
      <c r="C91" s="6">
        <v>44.825906700000168</v>
      </c>
      <c r="D91" s="6">
        <v>20.033999999999999</v>
      </c>
      <c r="E91" s="6">
        <f t="shared" si="39"/>
        <v>309.54718919996918</v>
      </c>
      <c r="F91">
        <f t="shared" si="36"/>
        <v>0</v>
      </c>
      <c r="G91" s="5">
        <f t="shared" si="46"/>
        <v>43905</v>
      </c>
      <c r="H91" s="6">
        <v>199.06367690002918</v>
      </c>
      <c r="I91" s="6">
        <v>41.454406899999825</v>
      </c>
      <c r="J91" s="6">
        <v>17.526</v>
      </c>
      <c r="K91" s="6">
        <f t="shared" si="40"/>
        <v>258.044083800029</v>
      </c>
      <c r="L91">
        <f t="shared" si="37"/>
        <v>0</v>
      </c>
      <c r="M91" s="5">
        <f t="shared" si="47"/>
        <v>44271</v>
      </c>
      <c r="N91" s="6">
        <v>217.65053569996357</v>
      </c>
      <c r="O91" s="6">
        <v>51.516762500002983</v>
      </c>
      <c r="P91" s="6">
        <v>23.489099999999997</v>
      </c>
      <c r="Q91" s="6">
        <f t="shared" si="38"/>
        <v>292.65639819996659</v>
      </c>
      <c r="R91">
        <f t="shared" si="31"/>
        <v>0</v>
      </c>
      <c r="S91" s="5">
        <f t="shared" si="48"/>
        <v>44636</v>
      </c>
      <c r="T91" s="6">
        <v>243.55004649996758</v>
      </c>
      <c r="U91" s="6">
        <v>53.948880900003019</v>
      </c>
      <c r="V91" s="6">
        <v>23.220151700001441</v>
      </c>
      <c r="W91" s="6">
        <f t="shared" si="41"/>
        <v>320.71907909997208</v>
      </c>
      <c r="X91">
        <f t="shared" si="32"/>
        <v>0</v>
      </c>
      <c r="Z91" s="5">
        <f t="shared" si="49"/>
        <v>44636</v>
      </c>
      <c r="AA91" s="6">
        <v>257.00753890001772</v>
      </c>
      <c r="AB91" s="6">
        <v>61.921816400006414</v>
      </c>
      <c r="AC91" s="6">
        <v>25.930556599999314</v>
      </c>
      <c r="AD91" s="6">
        <f t="shared" si="42"/>
        <v>344.85991190002346</v>
      </c>
      <c r="AE91">
        <f t="shared" si="33"/>
        <v>0</v>
      </c>
      <c r="AF91" s="5">
        <f t="shared" si="50"/>
        <v>45366</v>
      </c>
      <c r="AG91" s="6"/>
      <c r="AH91" s="6"/>
      <c r="AI91" s="6"/>
      <c r="AJ91" s="6">
        <f t="shared" si="43"/>
        <v>0</v>
      </c>
      <c r="AK91">
        <f t="shared" si="34"/>
        <v>0</v>
      </c>
      <c r="AL91" s="5">
        <f t="shared" si="51"/>
        <v>45732</v>
      </c>
      <c r="AM91" s="6"/>
      <c r="AN91" s="6"/>
      <c r="AO91" s="6"/>
      <c r="AP91" s="6">
        <f t="shared" si="44"/>
        <v>0</v>
      </c>
      <c r="AQ91">
        <f t="shared" si="35"/>
        <v>0</v>
      </c>
    </row>
    <row r="92" spans="1:43" x14ac:dyDescent="0.3">
      <c r="A92" s="5">
        <f t="shared" si="45"/>
        <v>43541</v>
      </c>
      <c r="B92" s="6">
        <v>220.38818840003015</v>
      </c>
      <c r="C92" s="6">
        <v>39.227700099999083</v>
      </c>
      <c r="D92" s="6">
        <v>16.742999999999999</v>
      </c>
      <c r="E92" s="6">
        <f t="shared" si="39"/>
        <v>276.3588885000292</v>
      </c>
      <c r="F92">
        <f t="shared" si="36"/>
        <v>0</v>
      </c>
      <c r="G92" s="5">
        <f t="shared" si="46"/>
        <v>43906</v>
      </c>
      <c r="H92" s="6">
        <v>228.80739959990979</v>
      </c>
      <c r="I92" s="6">
        <v>49.48107609999925</v>
      </c>
      <c r="J92" s="6">
        <v>22.515999999999998</v>
      </c>
      <c r="K92" s="6">
        <f t="shared" si="40"/>
        <v>300.80447569990906</v>
      </c>
      <c r="L92">
        <f t="shared" si="37"/>
        <v>0</v>
      </c>
      <c r="M92" s="5">
        <f t="shared" si="47"/>
        <v>44272</v>
      </c>
      <c r="N92" s="6">
        <v>238.90185940003394</v>
      </c>
      <c r="O92" s="6">
        <v>48.790836000002919</v>
      </c>
      <c r="P92" s="6">
        <v>24.369499999999999</v>
      </c>
      <c r="Q92" s="6">
        <f t="shared" si="38"/>
        <v>312.0621954000369</v>
      </c>
      <c r="R92">
        <f t="shared" si="31"/>
        <v>0</v>
      </c>
      <c r="S92" s="5">
        <f t="shared" si="48"/>
        <v>44637</v>
      </c>
      <c r="T92" s="6">
        <v>233.54242690002917</v>
      </c>
      <c r="U92" s="6">
        <v>57.153966699995102</v>
      </c>
      <c r="V92" s="6">
        <v>23.811136800000444</v>
      </c>
      <c r="W92" s="6">
        <f t="shared" si="41"/>
        <v>314.50753040002473</v>
      </c>
      <c r="X92">
        <f t="shared" si="32"/>
        <v>0</v>
      </c>
      <c r="Z92" s="5">
        <f t="shared" si="49"/>
        <v>44637</v>
      </c>
      <c r="AA92" s="6">
        <v>246.0100011999607</v>
      </c>
      <c r="AB92" s="6">
        <v>62.624098900005222</v>
      </c>
      <c r="AC92" s="6">
        <v>26.376985800001769</v>
      </c>
      <c r="AD92" s="6">
        <f t="shared" si="42"/>
        <v>335.01108589996767</v>
      </c>
      <c r="AE92">
        <f t="shared" si="33"/>
        <v>0</v>
      </c>
      <c r="AF92" s="5">
        <f t="shared" si="50"/>
        <v>45367</v>
      </c>
      <c r="AG92" s="6"/>
      <c r="AH92" s="6"/>
      <c r="AI92" s="6"/>
      <c r="AJ92" s="6">
        <f t="shared" si="43"/>
        <v>0</v>
      </c>
      <c r="AK92">
        <f t="shared" si="34"/>
        <v>0</v>
      </c>
      <c r="AL92" s="5">
        <f t="shared" si="51"/>
        <v>45733</v>
      </c>
      <c r="AM92" s="6"/>
      <c r="AN92" s="6"/>
      <c r="AO92" s="6"/>
      <c r="AP92" s="6">
        <f t="shared" si="44"/>
        <v>0</v>
      </c>
      <c r="AQ92">
        <f t="shared" si="35"/>
        <v>0</v>
      </c>
    </row>
    <row r="93" spans="1:43" x14ac:dyDescent="0.3">
      <c r="A93" s="5">
        <f t="shared" si="45"/>
        <v>43542</v>
      </c>
      <c r="B93" s="6">
        <v>250.19403479999303</v>
      </c>
      <c r="C93" s="6">
        <v>46.817619900001212</v>
      </c>
      <c r="D93" s="6">
        <v>20.015999999999998</v>
      </c>
      <c r="E93" s="6">
        <f t="shared" si="39"/>
        <v>317.02765469999429</v>
      </c>
      <c r="F93">
        <f t="shared" si="36"/>
        <v>0</v>
      </c>
      <c r="G93" s="5">
        <f t="shared" si="46"/>
        <v>43907</v>
      </c>
      <c r="H93" s="6">
        <v>242.46184810006619</v>
      </c>
      <c r="I93" s="6">
        <v>49.143383799999953</v>
      </c>
      <c r="J93" s="6">
        <v>22.818999999999999</v>
      </c>
      <c r="K93" s="6">
        <f t="shared" si="40"/>
        <v>314.42423190006616</v>
      </c>
      <c r="L93">
        <f t="shared" si="37"/>
        <v>0</v>
      </c>
      <c r="M93" s="5">
        <f t="shared" si="47"/>
        <v>44273</v>
      </c>
      <c r="N93" s="6">
        <v>210.92952569997311</v>
      </c>
      <c r="O93" s="6">
        <v>49.257944099999968</v>
      </c>
      <c r="P93" s="6">
        <v>26.596</v>
      </c>
      <c r="Q93" s="6">
        <f t="shared" si="38"/>
        <v>286.78346979997309</v>
      </c>
      <c r="R93">
        <f t="shared" si="31"/>
        <v>0</v>
      </c>
      <c r="S93" s="5">
        <f t="shared" si="48"/>
        <v>44638</v>
      </c>
      <c r="T93" s="6">
        <v>276.00668400001524</v>
      </c>
      <c r="U93" s="6">
        <v>57.023760200001298</v>
      </c>
      <c r="V93" s="6">
        <v>23.885625399998155</v>
      </c>
      <c r="W93" s="6">
        <f t="shared" si="41"/>
        <v>356.91606960001468</v>
      </c>
      <c r="X93">
        <f t="shared" si="32"/>
        <v>0</v>
      </c>
      <c r="Z93" s="5">
        <f t="shared" si="49"/>
        <v>44638</v>
      </c>
      <c r="AA93" s="6">
        <v>238.14032630002498</v>
      </c>
      <c r="AB93" s="6">
        <v>59.854678499996659</v>
      </c>
      <c r="AC93" s="6">
        <v>25.184928099999205</v>
      </c>
      <c r="AD93" s="6">
        <f t="shared" si="42"/>
        <v>323.17993290002084</v>
      </c>
      <c r="AE93">
        <f t="shared" si="33"/>
        <v>0</v>
      </c>
      <c r="AF93" s="5">
        <f t="shared" si="50"/>
        <v>45368</v>
      </c>
      <c r="AG93" s="6"/>
      <c r="AH93" s="6"/>
      <c r="AI93" s="6"/>
      <c r="AJ93" s="6">
        <f t="shared" si="43"/>
        <v>0</v>
      </c>
      <c r="AK93">
        <f t="shared" si="34"/>
        <v>0</v>
      </c>
      <c r="AL93" s="5">
        <f t="shared" si="51"/>
        <v>45734</v>
      </c>
      <c r="AM93" s="6"/>
      <c r="AN93" s="6"/>
      <c r="AO93" s="6"/>
      <c r="AP93" s="6">
        <f t="shared" si="44"/>
        <v>0</v>
      </c>
      <c r="AQ93">
        <f t="shared" si="35"/>
        <v>0</v>
      </c>
    </row>
    <row r="94" spans="1:43" x14ac:dyDescent="0.3">
      <c r="A94" s="5">
        <f t="shared" si="45"/>
        <v>43543</v>
      </c>
      <c r="B94" s="6">
        <v>255.26618790000677</v>
      </c>
      <c r="C94" s="6">
        <v>45.366951600000263</v>
      </c>
      <c r="D94" s="6">
        <v>20.097999999999999</v>
      </c>
      <c r="E94" s="6">
        <f t="shared" si="39"/>
        <v>320.73113950000703</v>
      </c>
      <c r="F94">
        <f t="shared" si="36"/>
        <v>0</v>
      </c>
      <c r="G94" s="5">
        <f t="shared" si="46"/>
        <v>43908</v>
      </c>
      <c r="H94" s="6">
        <v>243.55091689991951</v>
      </c>
      <c r="I94" s="6">
        <v>47.326429099999366</v>
      </c>
      <c r="J94" s="6">
        <v>22.024999999999999</v>
      </c>
      <c r="K94" s="6">
        <f t="shared" si="40"/>
        <v>312.90234599991885</v>
      </c>
      <c r="L94">
        <f t="shared" si="37"/>
        <v>0</v>
      </c>
      <c r="M94" s="5">
        <f t="shared" si="47"/>
        <v>44274</v>
      </c>
      <c r="N94" s="6">
        <v>221.55893520009516</v>
      </c>
      <c r="O94" s="6">
        <v>49.599381599999965</v>
      </c>
      <c r="P94" s="6">
        <v>24.148</v>
      </c>
      <c r="Q94" s="6">
        <f t="shared" si="38"/>
        <v>295.30631680009515</v>
      </c>
      <c r="R94">
        <f t="shared" si="31"/>
        <v>0</v>
      </c>
      <c r="S94" s="5">
        <f t="shared" si="48"/>
        <v>44639</v>
      </c>
      <c r="T94" s="6">
        <v>251.6600298000574</v>
      </c>
      <c r="U94" s="6">
        <v>53.034340000003574</v>
      </c>
      <c r="V94" s="6">
        <v>23.283679599998518</v>
      </c>
      <c r="W94" s="6">
        <f t="shared" si="41"/>
        <v>327.97804940005949</v>
      </c>
      <c r="X94">
        <f t="shared" si="32"/>
        <v>0</v>
      </c>
      <c r="Z94" s="5">
        <f t="shared" si="49"/>
        <v>44639</v>
      </c>
      <c r="AA94" s="6">
        <v>186.43571889996528</v>
      </c>
      <c r="AB94" s="6">
        <v>54.517086999997495</v>
      </c>
      <c r="AC94" s="6">
        <v>19.975677200002131</v>
      </c>
      <c r="AD94" s="6">
        <f t="shared" si="42"/>
        <v>260.92848309996492</v>
      </c>
      <c r="AE94">
        <f t="shared" si="33"/>
        <v>0</v>
      </c>
      <c r="AF94" s="5">
        <f t="shared" si="50"/>
        <v>45369</v>
      </c>
      <c r="AG94" s="6"/>
      <c r="AH94" s="6"/>
      <c r="AI94" s="6"/>
      <c r="AJ94" s="6">
        <f t="shared" si="43"/>
        <v>0</v>
      </c>
      <c r="AK94">
        <f t="shared" si="34"/>
        <v>0</v>
      </c>
      <c r="AL94" s="5">
        <f t="shared" si="51"/>
        <v>45735</v>
      </c>
      <c r="AM94" s="6"/>
      <c r="AN94" s="6"/>
      <c r="AO94" s="6"/>
      <c r="AP94" s="6">
        <f t="shared" si="44"/>
        <v>0</v>
      </c>
      <c r="AQ94">
        <f t="shared" si="35"/>
        <v>0</v>
      </c>
    </row>
    <row r="95" spans="1:43" x14ac:dyDescent="0.3">
      <c r="A95" s="5">
        <f t="shared" si="45"/>
        <v>43544</v>
      </c>
      <c r="B95" s="6">
        <v>255.31784469997882</v>
      </c>
      <c r="C95" s="6">
        <v>45.480499999999999</v>
      </c>
      <c r="D95" s="6">
        <v>19.783999999999999</v>
      </c>
      <c r="E95" s="6">
        <f t="shared" si="39"/>
        <v>320.58234469997882</v>
      </c>
      <c r="F95">
        <f t="shared" si="36"/>
        <v>0</v>
      </c>
      <c r="G95" s="5">
        <f t="shared" si="46"/>
        <v>43909</v>
      </c>
      <c r="H95" s="6">
        <v>221.10362740004064</v>
      </c>
      <c r="I95" s="6">
        <v>45.850319099999965</v>
      </c>
      <c r="J95" s="6">
        <v>23.363</v>
      </c>
      <c r="K95" s="6">
        <f t="shared" si="40"/>
        <v>290.31694650004061</v>
      </c>
      <c r="L95">
        <f t="shared" si="37"/>
        <v>0</v>
      </c>
      <c r="M95" s="5">
        <f t="shared" si="47"/>
        <v>44275</v>
      </c>
      <c r="N95" s="6">
        <v>180.86461899995803</v>
      </c>
      <c r="O95" s="6">
        <v>47.163070999994872</v>
      </c>
      <c r="P95" s="6">
        <v>22.649000000000001</v>
      </c>
      <c r="Q95" s="6">
        <f t="shared" si="38"/>
        <v>250.67668999995288</v>
      </c>
      <c r="R95">
        <f t="shared" si="31"/>
        <v>0</v>
      </c>
      <c r="S95" s="5">
        <f t="shared" si="48"/>
        <v>44640</v>
      </c>
      <c r="T95" s="6">
        <v>247.67966799998283</v>
      </c>
      <c r="U95" s="6">
        <v>45.94484629999846</v>
      </c>
      <c r="V95" s="6">
        <v>16.166693900002631</v>
      </c>
      <c r="W95" s="6">
        <f t="shared" si="41"/>
        <v>309.79120819998394</v>
      </c>
      <c r="X95">
        <f t="shared" si="32"/>
        <v>0</v>
      </c>
      <c r="Z95" s="5">
        <f t="shared" si="49"/>
        <v>44640</v>
      </c>
      <c r="AA95" s="6">
        <v>226.52211110007764</v>
      </c>
      <c r="AB95" s="6">
        <v>61.214395500004294</v>
      </c>
      <c r="AC95" s="6">
        <v>26.179871399998664</v>
      </c>
      <c r="AD95" s="6">
        <f t="shared" si="42"/>
        <v>313.91637800008061</v>
      </c>
      <c r="AE95">
        <f t="shared" si="33"/>
        <v>0</v>
      </c>
      <c r="AF95" s="5">
        <f t="shared" si="50"/>
        <v>45370</v>
      </c>
      <c r="AG95" s="6"/>
      <c r="AH95" s="6"/>
      <c r="AI95" s="6"/>
      <c r="AJ95" s="6">
        <f t="shared" si="43"/>
        <v>0</v>
      </c>
      <c r="AK95">
        <f t="shared" si="34"/>
        <v>0</v>
      </c>
      <c r="AL95" s="5">
        <f t="shared" si="51"/>
        <v>45736</v>
      </c>
      <c r="AM95" s="6"/>
      <c r="AN95" s="6"/>
      <c r="AO95" s="6"/>
      <c r="AP95" s="6">
        <f t="shared" si="44"/>
        <v>0</v>
      </c>
      <c r="AQ95">
        <f t="shared" si="35"/>
        <v>0</v>
      </c>
    </row>
    <row r="96" spans="1:43" x14ac:dyDescent="0.3">
      <c r="A96" s="5">
        <f t="shared" si="45"/>
        <v>43545</v>
      </c>
      <c r="B96" s="6">
        <v>258.47550859999654</v>
      </c>
      <c r="C96" s="6">
        <v>43.696890599999577</v>
      </c>
      <c r="D96" s="6">
        <v>20.113</v>
      </c>
      <c r="E96" s="6">
        <f t="shared" si="39"/>
        <v>322.28539919999611</v>
      </c>
      <c r="F96">
        <f t="shared" si="36"/>
        <v>0</v>
      </c>
      <c r="G96" s="5">
        <f t="shared" si="46"/>
        <v>43910</v>
      </c>
      <c r="H96" s="6">
        <v>211.20271169996261</v>
      </c>
      <c r="I96" s="6">
        <v>47.043326500002294</v>
      </c>
      <c r="J96" s="6">
        <v>23.128</v>
      </c>
      <c r="K96" s="6">
        <f t="shared" si="40"/>
        <v>281.3740381999649</v>
      </c>
      <c r="L96">
        <f t="shared" si="37"/>
        <v>0</v>
      </c>
      <c r="M96" s="5">
        <f t="shared" si="47"/>
        <v>44276</v>
      </c>
      <c r="N96" s="6">
        <v>193.22633860003947</v>
      </c>
      <c r="O96" s="6">
        <v>39.255236400000754</v>
      </c>
      <c r="P96" s="6">
        <v>17.88</v>
      </c>
      <c r="Q96" s="6">
        <f t="shared" si="38"/>
        <v>250.3615750000402</v>
      </c>
      <c r="R96">
        <f t="shared" si="31"/>
        <v>0</v>
      </c>
      <c r="S96" s="5">
        <f t="shared" si="48"/>
        <v>44641</v>
      </c>
      <c r="T96" s="6">
        <v>259.60193839991092</v>
      </c>
      <c r="U96" s="6">
        <v>54.577441100001337</v>
      </c>
      <c r="V96" s="6">
        <v>20.849223300000652</v>
      </c>
      <c r="W96" s="6">
        <f t="shared" si="41"/>
        <v>335.0286027999129</v>
      </c>
      <c r="X96">
        <f t="shared" si="32"/>
        <v>0</v>
      </c>
      <c r="Z96" s="5">
        <f t="shared" si="49"/>
        <v>44641</v>
      </c>
      <c r="AA96" s="6">
        <v>285.16000559997559</v>
      </c>
      <c r="AB96" s="6">
        <v>61.807615899994971</v>
      </c>
      <c r="AC96" s="6">
        <v>25.774454299999867</v>
      </c>
      <c r="AD96" s="6">
        <f t="shared" si="42"/>
        <v>372.74207579997045</v>
      </c>
      <c r="AE96">
        <f t="shared" si="33"/>
        <v>0</v>
      </c>
      <c r="AF96" s="5">
        <f t="shared" si="50"/>
        <v>45371</v>
      </c>
      <c r="AG96" s="6"/>
      <c r="AH96" s="6"/>
      <c r="AI96" s="6"/>
      <c r="AJ96" s="6">
        <f t="shared" si="43"/>
        <v>0</v>
      </c>
      <c r="AK96">
        <f t="shared" si="34"/>
        <v>0</v>
      </c>
      <c r="AL96" s="5">
        <f t="shared" si="51"/>
        <v>45737</v>
      </c>
      <c r="AM96" s="6"/>
      <c r="AN96" s="6"/>
      <c r="AO96" s="6"/>
      <c r="AP96" s="6">
        <f t="shared" si="44"/>
        <v>0</v>
      </c>
      <c r="AQ96">
        <f t="shared" si="35"/>
        <v>0</v>
      </c>
    </row>
    <row r="97" spans="1:43" x14ac:dyDescent="0.3">
      <c r="A97" s="5">
        <f t="shared" si="45"/>
        <v>43546</v>
      </c>
      <c r="B97" s="6">
        <v>255.86809359997511</v>
      </c>
      <c r="C97" s="6">
        <v>43.073409099999814</v>
      </c>
      <c r="D97" s="6">
        <v>20.204999999999998</v>
      </c>
      <c r="E97" s="6">
        <f t="shared" si="39"/>
        <v>319.14650269997492</v>
      </c>
      <c r="F97">
        <f t="shared" si="36"/>
        <v>0</v>
      </c>
      <c r="G97" s="5">
        <f t="shared" si="46"/>
        <v>43911</v>
      </c>
      <c r="H97" s="6">
        <v>206.33558810007571</v>
      </c>
      <c r="I97" s="6">
        <v>44.305890399999917</v>
      </c>
      <c r="J97" s="6">
        <v>22.07</v>
      </c>
      <c r="K97" s="6">
        <f t="shared" si="40"/>
        <v>272.71147850007566</v>
      </c>
      <c r="L97">
        <f t="shared" si="37"/>
        <v>0</v>
      </c>
      <c r="M97" s="5">
        <f t="shared" si="47"/>
        <v>44277</v>
      </c>
      <c r="N97" s="6">
        <v>235.60066349995137</v>
      </c>
      <c r="O97" s="6">
        <v>51.379538800001143</v>
      </c>
      <c r="P97" s="6">
        <v>25.210999999999999</v>
      </c>
      <c r="Q97" s="6">
        <f t="shared" si="38"/>
        <v>312.19120229995252</v>
      </c>
      <c r="R97">
        <f t="shared" si="31"/>
        <v>0</v>
      </c>
      <c r="S97" s="5">
        <f t="shared" si="48"/>
        <v>44642</v>
      </c>
      <c r="T97" s="6">
        <v>260.63716440010069</v>
      </c>
      <c r="U97" s="6">
        <v>55.298470799997446</v>
      </c>
      <c r="V97" s="6">
        <v>19.379892700000202</v>
      </c>
      <c r="W97" s="6">
        <f t="shared" si="41"/>
        <v>335.31552790009835</v>
      </c>
      <c r="X97">
        <f t="shared" si="32"/>
        <v>0</v>
      </c>
      <c r="Z97" s="5">
        <f t="shared" si="49"/>
        <v>44642</v>
      </c>
      <c r="AA97" s="6">
        <v>219.4166792999506</v>
      </c>
      <c r="AB97" s="6">
        <v>62.251898599997162</v>
      </c>
      <c r="AC97" s="6">
        <v>24.937470500001684</v>
      </c>
      <c r="AD97" s="6">
        <f t="shared" si="42"/>
        <v>306.60604839994943</v>
      </c>
      <c r="AE97">
        <f t="shared" si="33"/>
        <v>0</v>
      </c>
      <c r="AF97" s="5">
        <f t="shared" si="50"/>
        <v>45372</v>
      </c>
      <c r="AG97" s="6"/>
      <c r="AH97" s="6"/>
      <c r="AI97" s="6"/>
      <c r="AJ97" s="6">
        <f t="shared" si="43"/>
        <v>0</v>
      </c>
      <c r="AK97">
        <f t="shared" si="34"/>
        <v>0</v>
      </c>
      <c r="AL97" s="5">
        <f t="shared" si="51"/>
        <v>45738</v>
      </c>
      <c r="AM97" s="6"/>
      <c r="AN97" s="6"/>
      <c r="AO97" s="6"/>
      <c r="AP97" s="6">
        <f t="shared" si="44"/>
        <v>0</v>
      </c>
      <c r="AQ97">
        <f t="shared" si="35"/>
        <v>0</v>
      </c>
    </row>
    <row r="98" spans="1:43" x14ac:dyDescent="0.3">
      <c r="A98" s="5">
        <f t="shared" si="45"/>
        <v>43547</v>
      </c>
      <c r="B98" s="6">
        <v>244.1220911000371</v>
      </c>
      <c r="C98" s="6">
        <v>41.569538799999279</v>
      </c>
      <c r="D98" s="6">
        <v>20.385000000000002</v>
      </c>
      <c r="E98" s="6">
        <f t="shared" si="39"/>
        <v>306.07662990003638</v>
      </c>
      <c r="F98">
        <f t="shared" si="36"/>
        <v>0</v>
      </c>
      <c r="G98" s="5">
        <f t="shared" si="46"/>
        <v>43912</v>
      </c>
      <c r="H98" s="6">
        <v>195.32737409996986</v>
      </c>
      <c r="I98" s="6">
        <v>37.200471899997446</v>
      </c>
      <c r="J98" s="6">
        <v>20.1815</v>
      </c>
      <c r="K98" s="6">
        <f t="shared" si="40"/>
        <v>252.7093459999673</v>
      </c>
      <c r="L98">
        <f t="shared" si="37"/>
        <v>0</v>
      </c>
      <c r="M98" s="5">
        <f t="shared" si="47"/>
        <v>44278</v>
      </c>
      <c r="N98" s="6">
        <v>235.41940779995917</v>
      </c>
      <c r="O98" s="6">
        <v>52.500542300000788</v>
      </c>
      <c r="P98" s="6">
        <v>19.943000000000001</v>
      </c>
      <c r="Q98" s="6">
        <f t="shared" si="38"/>
        <v>307.86295009995996</v>
      </c>
      <c r="R98">
        <f t="shared" si="31"/>
        <v>0</v>
      </c>
      <c r="S98" s="5">
        <f t="shared" si="48"/>
        <v>44643</v>
      </c>
      <c r="T98" s="6">
        <v>279.16173559999464</v>
      </c>
      <c r="U98" s="6">
        <v>52.824048600003124</v>
      </c>
      <c r="V98" s="6">
        <v>19.716825399999973</v>
      </c>
      <c r="W98" s="6">
        <f t="shared" si="41"/>
        <v>351.70260959999769</v>
      </c>
      <c r="X98">
        <f t="shared" si="32"/>
        <v>0</v>
      </c>
      <c r="Z98" s="5">
        <f t="shared" si="49"/>
        <v>44643</v>
      </c>
      <c r="AA98" s="6">
        <v>264.92776199996473</v>
      </c>
      <c r="AB98" s="6">
        <v>61.419614700004459</v>
      </c>
      <c r="AC98" s="6">
        <v>25.168196899998932</v>
      </c>
      <c r="AD98" s="6">
        <f t="shared" si="42"/>
        <v>351.51557359996809</v>
      </c>
      <c r="AE98">
        <f t="shared" si="33"/>
        <v>0</v>
      </c>
      <c r="AF98" s="5">
        <f t="shared" si="50"/>
        <v>45373</v>
      </c>
      <c r="AG98" s="6"/>
      <c r="AH98" s="6"/>
      <c r="AI98" s="6"/>
      <c r="AJ98" s="6">
        <f t="shared" si="43"/>
        <v>0</v>
      </c>
      <c r="AK98">
        <f t="shared" si="34"/>
        <v>0</v>
      </c>
      <c r="AL98" s="5">
        <f t="shared" si="51"/>
        <v>45739</v>
      </c>
      <c r="AM98" s="6"/>
      <c r="AN98" s="6"/>
      <c r="AO98" s="6"/>
      <c r="AP98" s="6">
        <f t="shared" si="44"/>
        <v>0</v>
      </c>
      <c r="AQ98">
        <f t="shared" si="35"/>
        <v>0</v>
      </c>
    </row>
    <row r="99" spans="1:43" x14ac:dyDescent="0.3">
      <c r="A99" s="5">
        <f t="shared" si="45"/>
        <v>43548</v>
      </c>
      <c r="B99" s="6">
        <v>218.11678350001574</v>
      </c>
      <c r="C99" s="6">
        <v>38.019805100001392</v>
      </c>
      <c r="D99" s="6">
        <v>17.332999999999998</v>
      </c>
      <c r="E99" s="6">
        <f t="shared" si="39"/>
        <v>273.46958860001712</v>
      </c>
      <c r="F99">
        <f t="shared" si="36"/>
        <v>0</v>
      </c>
      <c r="G99" s="5">
        <f t="shared" si="46"/>
        <v>43913</v>
      </c>
      <c r="H99" s="6">
        <v>212.84619330000876</v>
      </c>
      <c r="I99" s="6">
        <v>41.820843400001529</v>
      </c>
      <c r="J99" s="6">
        <v>22.234500000000001</v>
      </c>
      <c r="K99" s="6">
        <f t="shared" si="40"/>
        <v>276.9015367000103</v>
      </c>
      <c r="L99">
        <f t="shared" si="37"/>
        <v>0</v>
      </c>
      <c r="M99" s="5">
        <f t="shared" si="47"/>
        <v>44279</v>
      </c>
      <c r="N99" s="6">
        <v>200.40940939998626</v>
      </c>
      <c r="O99" s="6">
        <v>51.459619899995623</v>
      </c>
      <c r="P99" s="6">
        <v>24.068999999999999</v>
      </c>
      <c r="Q99" s="6">
        <f t="shared" si="38"/>
        <v>275.93802929998191</v>
      </c>
      <c r="R99">
        <f t="shared" si="31"/>
        <v>0</v>
      </c>
      <c r="S99" s="5">
        <f t="shared" si="48"/>
        <v>44644</v>
      </c>
      <c r="T99" s="6">
        <v>263.78166479992865</v>
      </c>
      <c r="U99" s="6">
        <v>54.292596299998465</v>
      </c>
      <c r="V99" s="6">
        <v>19.269567400000057</v>
      </c>
      <c r="W99" s="6">
        <f t="shared" si="41"/>
        <v>337.34382849992721</v>
      </c>
      <c r="X99">
        <f t="shared" si="32"/>
        <v>0</v>
      </c>
      <c r="Z99" s="5">
        <f t="shared" si="49"/>
        <v>44644</v>
      </c>
      <c r="AA99" s="6">
        <v>290.10941180002692</v>
      </c>
      <c r="AB99" s="6">
        <v>61.605336600005629</v>
      </c>
      <c r="AC99" s="6">
        <v>25.587435899998528</v>
      </c>
      <c r="AD99" s="6">
        <f t="shared" si="42"/>
        <v>377.30218430003106</v>
      </c>
      <c r="AE99">
        <f t="shared" si="33"/>
        <v>0</v>
      </c>
      <c r="AF99" s="5">
        <f t="shared" si="50"/>
        <v>45374</v>
      </c>
      <c r="AG99" s="6"/>
      <c r="AH99" s="6"/>
      <c r="AI99" s="6"/>
      <c r="AJ99" s="6">
        <f t="shared" si="43"/>
        <v>0</v>
      </c>
      <c r="AK99">
        <f t="shared" si="34"/>
        <v>0</v>
      </c>
      <c r="AL99" s="5">
        <f t="shared" si="51"/>
        <v>45740</v>
      </c>
      <c r="AM99" s="6"/>
      <c r="AN99" s="6"/>
      <c r="AO99" s="6"/>
      <c r="AP99" s="6">
        <f t="shared" si="44"/>
        <v>0</v>
      </c>
      <c r="AQ99">
        <f t="shared" si="35"/>
        <v>0</v>
      </c>
    </row>
    <row r="100" spans="1:43" x14ac:dyDescent="0.3">
      <c r="A100" s="5">
        <f t="shared" si="45"/>
        <v>43549</v>
      </c>
      <c r="B100" s="6">
        <v>252.39020989996195</v>
      </c>
      <c r="C100" s="6">
        <v>40.450968100000175</v>
      </c>
      <c r="D100" s="6">
        <v>20.184000000000001</v>
      </c>
      <c r="E100" s="6">
        <f t="shared" si="39"/>
        <v>313.02517799996212</v>
      </c>
      <c r="F100">
        <f t="shared" si="36"/>
        <v>0</v>
      </c>
      <c r="G100" s="5">
        <f t="shared" si="46"/>
        <v>43914</v>
      </c>
      <c r="H100" s="6">
        <v>214.23520550000669</v>
      </c>
      <c r="I100" s="6">
        <v>41.315284800000491</v>
      </c>
      <c r="J100" s="6">
        <v>24.344000000000001</v>
      </c>
      <c r="K100" s="6">
        <f t="shared" si="40"/>
        <v>279.89449030000719</v>
      </c>
      <c r="L100">
        <f t="shared" si="37"/>
        <v>0</v>
      </c>
      <c r="M100" s="5">
        <f t="shared" si="47"/>
        <v>44280</v>
      </c>
      <c r="N100" s="6">
        <v>221.32240680003167</v>
      </c>
      <c r="O100" s="6">
        <v>50.726149700000882</v>
      </c>
      <c r="P100" s="6">
        <v>23.102799999999998</v>
      </c>
      <c r="Q100" s="6">
        <f t="shared" si="38"/>
        <v>295.15135650003253</v>
      </c>
      <c r="R100">
        <f t="shared" si="31"/>
        <v>0</v>
      </c>
      <c r="S100" s="5">
        <f t="shared" si="48"/>
        <v>44645</v>
      </c>
      <c r="T100" s="6">
        <v>260.06486230003833</v>
      </c>
      <c r="U100" s="6">
        <v>53.286418299995361</v>
      </c>
      <c r="V100" s="6">
        <v>18.439331800000044</v>
      </c>
      <c r="W100" s="6">
        <f t="shared" si="41"/>
        <v>331.79061240003375</v>
      </c>
      <c r="X100">
        <f t="shared" si="32"/>
        <v>0</v>
      </c>
      <c r="Z100" s="5">
        <f t="shared" si="49"/>
        <v>44645</v>
      </c>
      <c r="AA100" s="6">
        <v>203.27086520004272</v>
      </c>
      <c r="AB100" s="6">
        <v>59.828658500000834</v>
      </c>
      <c r="AC100" s="6">
        <v>25.318778700000607</v>
      </c>
      <c r="AD100" s="6">
        <f t="shared" si="42"/>
        <v>288.41830240004418</v>
      </c>
      <c r="AE100">
        <f t="shared" si="33"/>
        <v>0</v>
      </c>
      <c r="AF100" s="5">
        <f t="shared" si="50"/>
        <v>45375</v>
      </c>
      <c r="AG100" s="6"/>
      <c r="AH100" s="6"/>
      <c r="AI100" s="6"/>
      <c r="AJ100" s="6">
        <f t="shared" si="43"/>
        <v>0</v>
      </c>
      <c r="AK100">
        <f t="shared" si="34"/>
        <v>0</v>
      </c>
      <c r="AL100" s="5">
        <f t="shared" si="51"/>
        <v>45741</v>
      </c>
      <c r="AM100" s="6"/>
      <c r="AN100" s="6"/>
      <c r="AO100" s="6"/>
      <c r="AP100" s="6">
        <f t="shared" si="44"/>
        <v>0</v>
      </c>
      <c r="AQ100">
        <f t="shared" si="35"/>
        <v>0</v>
      </c>
    </row>
    <row r="101" spans="1:43" x14ac:dyDescent="0.3">
      <c r="A101" s="5">
        <f t="shared" si="45"/>
        <v>43550</v>
      </c>
      <c r="B101" s="6">
        <v>259.23309420001505</v>
      </c>
      <c r="C101" s="6">
        <v>41.473655199998987</v>
      </c>
      <c r="D101" s="6">
        <v>20.332999999999998</v>
      </c>
      <c r="E101" s="6">
        <f t="shared" si="39"/>
        <v>321.03974940001399</v>
      </c>
      <c r="F101">
        <f t="shared" si="36"/>
        <v>0</v>
      </c>
      <c r="G101" s="5">
        <f t="shared" si="46"/>
        <v>43915</v>
      </c>
      <c r="H101" s="6">
        <v>213.82102409994602</v>
      </c>
      <c r="I101" s="6">
        <v>42.377090999998153</v>
      </c>
      <c r="J101" s="6">
        <v>24.564</v>
      </c>
      <c r="K101" s="6">
        <f t="shared" si="40"/>
        <v>280.7621150999442</v>
      </c>
      <c r="L101">
        <f t="shared" si="37"/>
        <v>0</v>
      </c>
      <c r="M101" s="5">
        <f t="shared" si="47"/>
        <v>44281</v>
      </c>
      <c r="N101" s="6">
        <v>235.85947130000591</v>
      </c>
      <c r="O101" s="6">
        <v>50.452297100000081</v>
      </c>
      <c r="P101" s="6">
        <v>23.808499999999999</v>
      </c>
      <c r="Q101" s="6">
        <f t="shared" si="38"/>
        <v>310.12026840000595</v>
      </c>
      <c r="R101">
        <f t="shared" si="31"/>
        <v>0</v>
      </c>
      <c r="S101" s="5">
        <f t="shared" si="48"/>
        <v>44646</v>
      </c>
      <c r="T101" s="6">
        <v>242.59830939996243</v>
      </c>
      <c r="U101" s="6">
        <v>51.419905100002886</v>
      </c>
      <c r="V101" s="6">
        <v>16.210935500000136</v>
      </c>
      <c r="W101" s="6">
        <f t="shared" si="41"/>
        <v>310.22914999996544</v>
      </c>
      <c r="X101">
        <f t="shared" si="32"/>
        <v>0</v>
      </c>
      <c r="Z101" s="5">
        <f t="shared" si="49"/>
        <v>44646</v>
      </c>
      <c r="AA101" s="6">
        <v>214.55524919998646</v>
      </c>
      <c r="AB101" s="6">
        <v>54.483024899989367</v>
      </c>
      <c r="AC101" s="6">
        <v>18.426392699999735</v>
      </c>
      <c r="AD101" s="6">
        <f t="shared" si="42"/>
        <v>287.46466679997553</v>
      </c>
      <c r="AE101">
        <f t="shared" si="33"/>
        <v>0</v>
      </c>
      <c r="AF101" s="5">
        <f t="shared" si="50"/>
        <v>45376</v>
      </c>
      <c r="AG101" s="6"/>
      <c r="AH101" s="6"/>
      <c r="AI101" s="6"/>
      <c r="AJ101" s="6">
        <f t="shared" si="43"/>
        <v>0</v>
      </c>
      <c r="AK101">
        <f t="shared" si="34"/>
        <v>0</v>
      </c>
      <c r="AL101" s="5">
        <f t="shared" si="51"/>
        <v>45742</v>
      </c>
      <c r="AM101" s="6"/>
      <c r="AN101" s="6"/>
      <c r="AO101" s="6"/>
      <c r="AP101" s="6">
        <f t="shared" si="44"/>
        <v>0</v>
      </c>
      <c r="AQ101">
        <f t="shared" si="35"/>
        <v>0</v>
      </c>
    </row>
    <row r="102" spans="1:43" x14ac:dyDescent="0.3">
      <c r="A102" s="5">
        <f t="shared" si="45"/>
        <v>43551</v>
      </c>
      <c r="B102" s="6">
        <v>255.52247500002383</v>
      </c>
      <c r="C102" s="6">
        <v>41.85243520000018</v>
      </c>
      <c r="D102" s="6">
        <v>20.651</v>
      </c>
      <c r="E102" s="6">
        <f t="shared" si="39"/>
        <v>318.02591020002404</v>
      </c>
      <c r="F102">
        <f t="shared" si="36"/>
        <v>0</v>
      </c>
      <c r="G102" s="5">
        <f t="shared" si="46"/>
        <v>43916</v>
      </c>
      <c r="H102" s="6">
        <v>209.77444740009307</v>
      </c>
      <c r="I102" s="6">
        <v>43.279161400001499</v>
      </c>
      <c r="J102" s="6">
        <v>28.968700000000002</v>
      </c>
      <c r="K102" s="6">
        <f t="shared" si="40"/>
        <v>282.02230880009455</v>
      </c>
      <c r="L102">
        <f t="shared" si="37"/>
        <v>0</v>
      </c>
      <c r="M102" s="5">
        <f t="shared" si="47"/>
        <v>44282</v>
      </c>
      <c r="N102" s="6">
        <v>212.93426849997044</v>
      </c>
      <c r="O102" s="6">
        <v>47.575368300005792</v>
      </c>
      <c r="P102" s="6">
        <v>23.705200000000001</v>
      </c>
      <c r="Q102" s="6">
        <f t="shared" si="38"/>
        <v>284.21483679997624</v>
      </c>
      <c r="R102">
        <f t="shared" si="31"/>
        <v>0</v>
      </c>
      <c r="S102" s="5">
        <f t="shared" si="48"/>
        <v>44647</v>
      </c>
      <c r="T102" s="6">
        <v>211.32648619997502</v>
      </c>
      <c r="U102" s="6">
        <v>41.918282399997118</v>
      </c>
      <c r="V102" s="6">
        <v>14.51304280000017</v>
      </c>
      <c r="W102" s="6">
        <f t="shared" si="41"/>
        <v>267.7578113999723</v>
      </c>
      <c r="X102">
        <f t="shared" si="32"/>
        <v>0</v>
      </c>
      <c r="Z102" s="5">
        <f t="shared" si="49"/>
        <v>44647</v>
      </c>
      <c r="AA102" s="6">
        <v>311.96989189994338</v>
      </c>
      <c r="AB102" s="6">
        <v>58.931192699998618</v>
      </c>
      <c r="AC102" s="6">
        <v>24.450794500000775</v>
      </c>
      <c r="AD102" s="6">
        <f t="shared" si="42"/>
        <v>395.35187909994278</v>
      </c>
      <c r="AE102">
        <f t="shared" si="33"/>
        <v>0</v>
      </c>
      <c r="AF102" s="5">
        <f t="shared" si="50"/>
        <v>45377</v>
      </c>
      <c r="AG102" s="6"/>
      <c r="AH102" s="6"/>
      <c r="AI102" s="6"/>
      <c r="AJ102" s="6">
        <f t="shared" si="43"/>
        <v>0</v>
      </c>
      <c r="AK102">
        <f t="shared" si="34"/>
        <v>0</v>
      </c>
      <c r="AL102" s="5">
        <f t="shared" si="51"/>
        <v>45743</v>
      </c>
      <c r="AM102" s="6"/>
      <c r="AN102" s="6"/>
      <c r="AO102" s="6"/>
      <c r="AP102" s="6">
        <f t="shared" si="44"/>
        <v>0</v>
      </c>
      <c r="AQ102">
        <f t="shared" si="35"/>
        <v>0</v>
      </c>
    </row>
    <row r="103" spans="1:43" x14ac:dyDescent="0.3">
      <c r="A103" s="5">
        <f t="shared" si="45"/>
        <v>43552</v>
      </c>
      <c r="B103" s="6">
        <v>260.33742569994928</v>
      </c>
      <c r="C103" s="6">
        <v>40.988604499999433</v>
      </c>
      <c r="D103" s="6">
        <v>23.004999999999999</v>
      </c>
      <c r="E103" s="6">
        <f t="shared" si="39"/>
        <v>324.33103019994871</v>
      </c>
      <c r="F103">
        <f t="shared" si="36"/>
        <v>0</v>
      </c>
      <c r="G103" s="5">
        <f t="shared" si="46"/>
        <v>43917</v>
      </c>
      <c r="H103" s="6">
        <v>218.14669779992104</v>
      </c>
      <c r="I103" s="6">
        <v>43.095817899998281</v>
      </c>
      <c r="J103" s="6">
        <v>20.578299999999999</v>
      </c>
      <c r="K103" s="6">
        <f t="shared" si="40"/>
        <v>281.82081569991931</v>
      </c>
      <c r="L103">
        <f t="shared" si="37"/>
        <v>0</v>
      </c>
      <c r="M103" s="5">
        <f t="shared" si="47"/>
        <v>44283</v>
      </c>
      <c r="N103" s="6">
        <v>194.79226610004901</v>
      </c>
      <c r="O103" s="6">
        <v>38.98488779999316</v>
      </c>
      <c r="P103" s="6">
        <v>14.393600000000001</v>
      </c>
      <c r="Q103" s="6">
        <f t="shared" si="38"/>
        <v>248.17075390004214</v>
      </c>
      <c r="R103">
        <f t="shared" si="31"/>
        <v>0</v>
      </c>
      <c r="S103" s="5">
        <f t="shared" si="48"/>
        <v>44648</v>
      </c>
      <c r="T103" s="6">
        <v>276.02419220006465</v>
      </c>
      <c r="U103" s="6">
        <v>51.835127500005065</v>
      </c>
      <c r="V103" s="6">
        <v>16.566483599999685</v>
      </c>
      <c r="W103" s="6">
        <f t="shared" si="41"/>
        <v>344.42580330006939</v>
      </c>
      <c r="X103">
        <f t="shared" si="32"/>
        <v>0</v>
      </c>
      <c r="Z103" s="5">
        <f t="shared" si="49"/>
        <v>44648</v>
      </c>
      <c r="AA103" s="6">
        <v>312.44416250002382</v>
      </c>
      <c r="AB103" s="6">
        <v>60.121488700002431</v>
      </c>
      <c r="AC103" s="6">
        <v>24.710533699999562</v>
      </c>
      <c r="AD103" s="6">
        <f t="shared" si="42"/>
        <v>397.27618490002584</v>
      </c>
      <c r="AE103">
        <f t="shared" si="33"/>
        <v>0</v>
      </c>
      <c r="AF103" s="5">
        <f t="shared" si="50"/>
        <v>45378</v>
      </c>
      <c r="AG103" s="6"/>
      <c r="AH103" s="6"/>
      <c r="AI103" s="6"/>
      <c r="AJ103" s="6">
        <f t="shared" si="43"/>
        <v>0</v>
      </c>
      <c r="AK103">
        <f t="shared" si="34"/>
        <v>0</v>
      </c>
      <c r="AL103" s="5">
        <f t="shared" si="51"/>
        <v>45744</v>
      </c>
      <c r="AM103" s="6"/>
      <c r="AN103" s="6"/>
      <c r="AO103" s="6"/>
      <c r="AP103" s="6">
        <f t="shared" si="44"/>
        <v>0</v>
      </c>
      <c r="AQ103">
        <f t="shared" si="35"/>
        <v>0</v>
      </c>
    </row>
    <row r="104" spans="1:43" x14ac:dyDescent="0.3">
      <c r="A104" s="5">
        <f t="shared" si="45"/>
        <v>43553</v>
      </c>
      <c r="B104" s="6">
        <v>253.14676070004703</v>
      </c>
      <c r="C104" s="6">
        <v>41.315013600001109</v>
      </c>
      <c r="D104" s="6">
        <v>18.649999999999999</v>
      </c>
      <c r="E104" s="6">
        <f t="shared" si="39"/>
        <v>313.11177430004813</v>
      </c>
      <c r="F104">
        <f t="shared" si="36"/>
        <v>0</v>
      </c>
      <c r="G104" s="5">
        <f t="shared" si="46"/>
        <v>43918</v>
      </c>
      <c r="H104" s="6">
        <v>202.40436909997464</v>
      </c>
      <c r="I104" s="6">
        <v>41.604255800001326</v>
      </c>
      <c r="J104" s="6">
        <v>23.1007</v>
      </c>
      <c r="K104" s="6">
        <f t="shared" si="40"/>
        <v>267.109324899976</v>
      </c>
      <c r="L104">
        <f t="shared" si="37"/>
        <v>0</v>
      </c>
      <c r="M104" s="5">
        <f t="shared" si="47"/>
        <v>44284</v>
      </c>
      <c r="N104" s="6">
        <v>250.78914579999446</v>
      </c>
      <c r="O104" s="6">
        <v>51.033529300004247</v>
      </c>
      <c r="P104" s="6">
        <v>19.126000000000001</v>
      </c>
      <c r="Q104" s="6">
        <f t="shared" si="38"/>
        <v>320.9486750999987</v>
      </c>
      <c r="R104">
        <f t="shared" si="31"/>
        <v>0</v>
      </c>
      <c r="S104" s="5">
        <f t="shared" si="48"/>
        <v>44649</v>
      </c>
      <c r="T104" s="6">
        <v>259.12421739995477</v>
      </c>
      <c r="U104" s="6">
        <v>55.155028499998153</v>
      </c>
      <c r="V104" s="6">
        <v>16.930751200000056</v>
      </c>
      <c r="W104" s="6">
        <f t="shared" si="41"/>
        <v>331.20999709995294</v>
      </c>
      <c r="X104">
        <f t="shared" si="32"/>
        <v>0</v>
      </c>
      <c r="Z104" s="5">
        <f t="shared" si="49"/>
        <v>44649</v>
      </c>
      <c r="AA104" s="6">
        <v>275.97742509996891</v>
      </c>
      <c r="AB104" s="6">
        <v>60.653966399997472</v>
      </c>
      <c r="AC104" s="6">
        <v>24.325813900000416</v>
      </c>
      <c r="AD104" s="6">
        <f t="shared" si="42"/>
        <v>360.95720539996682</v>
      </c>
      <c r="AE104">
        <f t="shared" si="33"/>
        <v>0</v>
      </c>
      <c r="AF104" s="5">
        <f t="shared" si="50"/>
        <v>45379</v>
      </c>
      <c r="AG104" s="6"/>
      <c r="AH104" s="6"/>
      <c r="AI104" s="6"/>
      <c r="AJ104" s="6">
        <f t="shared" si="43"/>
        <v>0</v>
      </c>
      <c r="AK104">
        <f t="shared" si="34"/>
        <v>0</v>
      </c>
      <c r="AL104" s="5">
        <f t="shared" si="51"/>
        <v>45745</v>
      </c>
      <c r="AM104" s="6"/>
      <c r="AN104" s="6"/>
      <c r="AO104" s="6"/>
      <c r="AP104" s="6">
        <f t="shared" si="44"/>
        <v>0</v>
      </c>
      <c r="AQ104">
        <f t="shared" si="35"/>
        <v>0</v>
      </c>
    </row>
    <row r="105" spans="1:43" x14ac:dyDescent="0.3">
      <c r="A105" s="5">
        <f t="shared" si="45"/>
        <v>43554</v>
      </c>
      <c r="B105" s="6">
        <v>241.9704251999855</v>
      </c>
      <c r="C105" s="6">
        <v>39.722505199998615</v>
      </c>
      <c r="D105" s="6">
        <v>24.21</v>
      </c>
      <c r="E105" s="6">
        <f t="shared" si="39"/>
        <v>305.90293039998409</v>
      </c>
      <c r="F105">
        <f t="shared" si="36"/>
        <v>0</v>
      </c>
      <c r="G105" s="5">
        <f t="shared" si="46"/>
        <v>43919</v>
      </c>
      <c r="H105" s="6">
        <v>190.87615840005876</v>
      </c>
      <c r="I105" s="6">
        <v>36.952454100001603</v>
      </c>
      <c r="J105" s="6">
        <v>15.800799999999999</v>
      </c>
      <c r="K105" s="6">
        <f t="shared" si="40"/>
        <v>243.62941250006037</v>
      </c>
      <c r="L105">
        <f t="shared" si="37"/>
        <v>0</v>
      </c>
      <c r="M105" s="5">
        <f t="shared" si="47"/>
        <v>44285</v>
      </c>
      <c r="N105" s="6">
        <v>245.79936179995536</v>
      </c>
      <c r="O105" s="6">
        <v>50.231310800001026</v>
      </c>
      <c r="P105" s="6">
        <v>18.907</v>
      </c>
      <c r="Q105" s="6">
        <f t="shared" si="38"/>
        <v>314.93767259995639</v>
      </c>
      <c r="R105">
        <f t="shared" si="31"/>
        <v>0</v>
      </c>
      <c r="S105" s="5">
        <f t="shared" si="48"/>
        <v>44650</v>
      </c>
      <c r="T105" s="6">
        <v>268.03464330005647</v>
      </c>
      <c r="U105" s="6">
        <v>53.44820350000262</v>
      </c>
      <c r="V105" s="6">
        <v>17.834609599999851</v>
      </c>
      <c r="W105" s="6">
        <f t="shared" si="41"/>
        <v>339.31745640005892</v>
      </c>
      <c r="X105">
        <f t="shared" si="32"/>
        <v>0</v>
      </c>
      <c r="Z105" s="5">
        <f t="shared" si="49"/>
        <v>44650</v>
      </c>
      <c r="AA105" s="6">
        <v>261.09849530005454</v>
      </c>
      <c r="AB105" s="6">
        <v>62.798483600005504</v>
      </c>
      <c r="AC105" s="6">
        <v>25.172288600001483</v>
      </c>
      <c r="AD105" s="6">
        <f t="shared" si="42"/>
        <v>349.06926750006153</v>
      </c>
      <c r="AE105">
        <f t="shared" si="33"/>
        <v>0</v>
      </c>
      <c r="AF105" s="5">
        <f t="shared" si="50"/>
        <v>45380</v>
      </c>
      <c r="AG105" s="6"/>
      <c r="AH105" s="6"/>
      <c r="AI105" s="6"/>
      <c r="AJ105" s="6">
        <f t="shared" si="43"/>
        <v>0</v>
      </c>
      <c r="AK105">
        <f t="shared" si="34"/>
        <v>0</v>
      </c>
      <c r="AL105" s="5">
        <f t="shared" si="51"/>
        <v>45746</v>
      </c>
      <c r="AM105" s="6"/>
      <c r="AN105" s="6"/>
      <c r="AO105" s="6"/>
      <c r="AP105" s="6">
        <f t="shared" si="44"/>
        <v>0</v>
      </c>
      <c r="AQ105">
        <f t="shared" si="35"/>
        <v>0</v>
      </c>
    </row>
    <row r="106" spans="1:43" x14ac:dyDescent="0.3">
      <c r="A106" s="21">
        <f t="shared" si="45"/>
        <v>43555</v>
      </c>
      <c r="B106" s="6">
        <v>220.4229825000167</v>
      </c>
      <c r="C106" s="6">
        <v>39.098330200001598</v>
      </c>
      <c r="D106" s="6">
        <v>17.872</v>
      </c>
      <c r="E106" s="6">
        <f t="shared" si="39"/>
        <v>277.39331270001833</v>
      </c>
      <c r="F106">
        <f t="shared" si="36"/>
        <v>0</v>
      </c>
      <c r="G106" s="5">
        <f t="shared" si="46"/>
        <v>43920</v>
      </c>
      <c r="H106" s="6">
        <v>209.44757560002805</v>
      </c>
      <c r="I106" s="6">
        <v>43.652873199999334</v>
      </c>
      <c r="J106" s="6">
        <v>24.515999999999998</v>
      </c>
      <c r="K106" s="6">
        <f t="shared" si="40"/>
        <v>277.6164488000274</v>
      </c>
      <c r="L106">
        <f t="shared" si="37"/>
        <v>0</v>
      </c>
      <c r="M106" s="21">
        <f t="shared" si="47"/>
        <v>44286</v>
      </c>
      <c r="N106" s="6">
        <v>249.33779180002213</v>
      </c>
      <c r="O106" s="6">
        <v>50.347631200000642</v>
      </c>
      <c r="P106" s="6">
        <v>17.651</v>
      </c>
      <c r="Q106" s="6">
        <f t="shared" si="38"/>
        <v>317.33642300002276</v>
      </c>
      <c r="R106">
        <f t="shared" si="31"/>
        <v>0</v>
      </c>
      <c r="S106" s="21">
        <f t="shared" si="48"/>
        <v>44651</v>
      </c>
      <c r="T106" s="6">
        <v>241.78050549995899</v>
      </c>
      <c r="U106" s="6">
        <v>55.170274199999866</v>
      </c>
      <c r="V106" s="6">
        <v>19.401381999999984</v>
      </c>
      <c r="W106" s="6">
        <f t="shared" si="41"/>
        <v>316.35216169995886</v>
      </c>
      <c r="X106">
        <f t="shared" si="32"/>
        <v>0</v>
      </c>
      <c r="Z106" s="21">
        <f t="shared" si="49"/>
        <v>44651</v>
      </c>
      <c r="AA106" s="6">
        <v>265.84460280001161</v>
      </c>
      <c r="AB106" s="6">
        <v>59.704004899993542</v>
      </c>
      <c r="AC106" s="6">
        <v>25.724861899998505</v>
      </c>
      <c r="AD106" s="6">
        <f t="shared" si="42"/>
        <v>351.27346960000369</v>
      </c>
      <c r="AE106">
        <f t="shared" si="33"/>
        <v>0</v>
      </c>
      <c r="AF106" s="21">
        <f t="shared" si="50"/>
        <v>45381</v>
      </c>
      <c r="AG106" s="6"/>
      <c r="AH106" s="6"/>
      <c r="AI106" s="6"/>
      <c r="AJ106" s="6">
        <f t="shared" si="43"/>
        <v>0</v>
      </c>
      <c r="AK106">
        <f t="shared" si="34"/>
        <v>0</v>
      </c>
      <c r="AL106" s="21">
        <f t="shared" si="51"/>
        <v>45747</v>
      </c>
      <c r="AM106" s="6"/>
      <c r="AN106" s="6"/>
      <c r="AO106" s="6"/>
      <c r="AP106" s="6">
        <f t="shared" si="44"/>
        <v>0</v>
      </c>
      <c r="AQ106">
        <f t="shared" si="35"/>
        <v>0</v>
      </c>
    </row>
    <row r="107" spans="1:43" x14ac:dyDescent="0.3">
      <c r="A107" s="5">
        <f t="shared" si="45"/>
        <v>43556</v>
      </c>
      <c r="B107" s="6">
        <v>260.37946909999846</v>
      </c>
      <c r="C107" s="6">
        <v>43.188412399999798</v>
      </c>
      <c r="D107" s="6">
        <v>23.058</v>
      </c>
      <c r="E107" s="6">
        <f t="shared" si="39"/>
        <v>326.62588149999823</v>
      </c>
      <c r="F107">
        <f t="shared" si="36"/>
        <v>0</v>
      </c>
      <c r="G107" s="21">
        <f t="shared" si="46"/>
        <v>43921</v>
      </c>
      <c r="H107" s="6">
        <v>210.3939062999487</v>
      </c>
      <c r="I107" s="6">
        <v>42.84622300000116</v>
      </c>
      <c r="J107" s="6">
        <v>24.474</v>
      </c>
      <c r="K107" s="6">
        <f t="shared" si="40"/>
        <v>277.71412929994983</v>
      </c>
      <c r="L107">
        <f t="shared" si="37"/>
        <v>0</v>
      </c>
      <c r="M107" s="5">
        <f t="shared" si="47"/>
        <v>44287</v>
      </c>
      <c r="N107" s="81">
        <v>243.10743510007859</v>
      </c>
      <c r="O107" s="6">
        <v>49.989165899999442</v>
      </c>
      <c r="P107" s="6">
        <v>20.62479060000193</v>
      </c>
      <c r="Q107" s="6">
        <f t="shared" si="38"/>
        <v>313.72139160007993</v>
      </c>
      <c r="R107">
        <f t="shared" si="31"/>
        <v>0</v>
      </c>
      <c r="S107" s="5">
        <f t="shared" si="48"/>
        <v>44652</v>
      </c>
      <c r="T107" s="81">
        <v>257.11164530003072</v>
      </c>
      <c r="U107" s="6">
        <v>55.781733499996363</v>
      </c>
      <c r="V107" s="6">
        <v>19.861787299999968</v>
      </c>
      <c r="W107" s="6">
        <f t="shared" si="41"/>
        <v>332.75516610002705</v>
      </c>
      <c r="X107">
        <f t="shared" si="32"/>
        <v>0</v>
      </c>
      <c r="Z107" s="5">
        <f t="shared" si="49"/>
        <v>44652</v>
      </c>
      <c r="AA107" s="81">
        <v>260.86979719996452</v>
      </c>
      <c r="AB107" s="6">
        <v>57.846515600010754</v>
      </c>
      <c r="AC107" s="6">
        <v>24.750623799999712</v>
      </c>
      <c r="AD107" s="6">
        <f t="shared" si="42"/>
        <v>343.46693659997499</v>
      </c>
      <c r="AE107">
        <f t="shared" si="33"/>
        <v>0</v>
      </c>
      <c r="AF107" s="5">
        <f t="shared" si="50"/>
        <v>45382</v>
      </c>
      <c r="AG107" s="81"/>
      <c r="AH107" s="6"/>
      <c r="AI107" s="6"/>
      <c r="AJ107" s="6">
        <f t="shared" si="43"/>
        <v>0</v>
      </c>
      <c r="AK107">
        <f t="shared" si="34"/>
        <v>0</v>
      </c>
      <c r="AL107" s="5">
        <f t="shared" si="51"/>
        <v>45748</v>
      </c>
      <c r="AM107" s="81"/>
      <c r="AN107" s="6"/>
      <c r="AO107" s="6"/>
      <c r="AP107" s="6">
        <f t="shared" si="44"/>
        <v>0</v>
      </c>
      <c r="AQ107">
        <f t="shared" si="35"/>
        <v>0</v>
      </c>
    </row>
    <row r="108" spans="1:43" x14ac:dyDescent="0.3">
      <c r="A108" s="5">
        <f t="shared" si="45"/>
        <v>43557</v>
      </c>
      <c r="B108" s="6">
        <v>258.07469849997761</v>
      </c>
      <c r="C108" s="6">
        <v>43.777729999998584</v>
      </c>
      <c r="D108" s="6">
        <v>23.395</v>
      </c>
      <c r="E108" s="6">
        <f t="shared" si="39"/>
        <v>325.24742849997619</v>
      </c>
      <c r="F108">
        <f t="shared" si="36"/>
        <v>0</v>
      </c>
      <c r="G108" s="5">
        <f t="shared" si="46"/>
        <v>43922</v>
      </c>
      <c r="H108" s="6">
        <v>210.22652400004864</v>
      </c>
      <c r="I108" s="6">
        <v>43.719989699997008</v>
      </c>
      <c r="J108" s="6">
        <v>23.52</v>
      </c>
      <c r="K108" s="6">
        <f t="shared" si="40"/>
        <v>277.46651370004565</v>
      </c>
      <c r="L108">
        <f t="shared" si="37"/>
        <v>0</v>
      </c>
      <c r="M108" s="5">
        <f t="shared" si="47"/>
        <v>44288</v>
      </c>
      <c r="N108" s="6">
        <v>221.16664929997921</v>
      </c>
      <c r="O108" s="6">
        <v>43.568512999996543</v>
      </c>
      <c r="P108" s="6">
        <v>17.920717799997771</v>
      </c>
      <c r="Q108" s="6">
        <f t="shared" si="38"/>
        <v>282.6558800999735</v>
      </c>
      <c r="R108">
        <f t="shared" si="31"/>
        <v>0</v>
      </c>
      <c r="S108" s="5">
        <f t="shared" si="48"/>
        <v>44653</v>
      </c>
      <c r="T108" s="6">
        <v>258.51586629998684</v>
      </c>
      <c r="U108" s="6">
        <v>53.91880690000206</v>
      </c>
      <c r="V108" s="6">
        <v>18.610418100000125</v>
      </c>
      <c r="W108" s="6">
        <f t="shared" si="41"/>
        <v>331.045091299989</v>
      </c>
      <c r="X108">
        <f t="shared" si="32"/>
        <v>0</v>
      </c>
      <c r="Z108" s="5">
        <f t="shared" si="49"/>
        <v>44653</v>
      </c>
      <c r="AA108" s="6">
        <v>229.08799040007591</v>
      </c>
      <c r="AB108" s="6">
        <v>48.712022900000214</v>
      </c>
      <c r="AC108" s="6">
        <v>19.660817899997813</v>
      </c>
      <c r="AD108" s="6">
        <f t="shared" si="42"/>
        <v>297.46083120007393</v>
      </c>
      <c r="AE108">
        <f t="shared" si="33"/>
        <v>0</v>
      </c>
      <c r="AF108" s="5">
        <f t="shared" si="50"/>
        <v>45383</v>
      </c>
      <c r="AG108" s="6"/>
      <c r="AH108" s="6"/>
      <c r="AI108" s="6"/>
      <c r="AJ108" s="6">
        <f t="shared" si="43"/>
        <v>0</v>
      </c>
      <c r="AK108">
        <f t="shared" si="34"/>
        <v>0</v>
      </c>
      <c r="AL108" s="5">
        <f t="shared" si="51"/>
        <v>45749</v>
      </c>
      <c r="AM108" s="6"/>
      <c r="AN108" s="6"/>
      <c r="AO108" s="6"/>
      <c r="AP108" s="6">
        <f t="shared" si="44"/>
        <v>0</v>
      </c>
      <c r="AQ108">
        <f t="shared" si="35"/>
        <v>0</v>
      </c>
    </row>
    <row r="109" spans="1:43" x14ac:dyDescent="0.3">
      <c r="A109" s="5">
        <f t="shared" si="45"/>
        <v>43558</v>
      </c>
      <c r="B109" s="6">
        <v>256.01598449999096</v>
      </c>
      <c r="C109" s="6">
        <v>45.508419999999923</v>
      </c>
      <c r="D109" s="6">
        <v>22.67</v>
      </c>
      <c r="E109" s="6">
        <f t="shared" si="39"/>
        <v>324.19440449999092</v>
      </c>
      <c r="F109">
        <f t="shared" si="36"/>
        <v>0</v>
      </c>
      <c r="G109" s="5">
        <f t="shared" si="46"/>
        <v>43923</v>
      </c>
      <c r="H109" s="6">
        <v>199.44098249995707</v>
      </c>
      <c r="I109" s="6">
        <v>43.773945500001311</v>
      </c>
      <c r="J109" s="6">
        <v>23.026</v>
      </c>
      <c r="K109" s="6">
        <f t="shared" si="40"/>
        <v>266.24092799995839</v>
      </c>
      <c r="L109">
        <f t="shared" si="37"/>
        <v>0</v>
      </c>
      <c r="M109" s="5">
        <f t="shared" si="47"/>
        <v>44289</v>
      </c>
      <c r="N109" s="6">
        <v>204.54317489993574</v>
      </c>
      <c r="O109" s="6">
        <v>44.295339500002562</v>
      </c>
      <c r="P109" s="6">
        <v>17.743238399999449</v>
      </c>
      <c r="Q109" s="6">
        <f t="shared" si="38"/>
        <v>266.58175279993776</v>
      </c>
      <c r="R109">
        <f t="shared" si="31"/>
        <v>0</v>
      </c>
      <c r="S109" s="5">
        <f t="shared" si="48"/>
        <v>44654</v>
      </c>
      <c r="T109" s="6">
        <v>198.68872169995308</v>
      </c>
      <c r="U109" s="6">
        <v>46.108722699999809</v>
      </c>
      <c r="V109" s="6">
        <v>17.036017599999671</v>
      </c>
      <c r="W109" s="6">
        <f t="shared" si="41"/>
        <v>261.83346199995259</v>
      </c>
      <c r="X109">
        <f t="shared" si="32"/>
        <v>0</v>
      </c>
      <c r="Z109" s="5">
        <f t="shared" si="49"/>
        <v>44654</v>
      </c>
      <c r="AA109" s="6">
        <v>254.87916199994086</v>
      </c>
      <c r="AB109" s="6">
        <v>58.042214199990035</v>
      </c>
      <c r="AC109" s="6">
        <v>24.258123800002505</v>
      </c>
      <c r="AD109" s="6">
        <f t="shared" si="42"/>
        <v>337.1794999999334</v>
      </c>
      <c r="AE109">
        <f t="shared" si="33"/>
        <v>0</v>
      </c>
      <c r="AF109" s="5">
        <f t="shared" si="50"/>
        <v>45384</v>
      </c>
      <c r="AG109" s="6"/>
      <c r="AH109" s="6"/>
      <c r="AI109" s="6"/>
      <c r="AJ109" s="6">
        <f t="shared" si="43"/>
        <v>0</v>
      </c>
      <c r="AK109">
        <f t="shared" si="34"/>
        <v>0</v>
      </c>
      <c r="AL109" s="5">
        <f t="shared" si="51"/>
        <v>45750</v>
      </c>
      <c r="AM109" s="6"/>
      <c r="AN109" s="6"/>
      <c r="AO109" s="6"/>
      <c r="AP109" s="6">
        <f t="shared" si="44"/>
        <v>0</v>
      </c>
      <c r="AQ109">
        <f t="shared" si="35"/>
        <v>0</v>
      </c>
    </row>
    <row r="110" spans="1:43" x14ac:dyDescent="0.3">
      <c r="A110" s="5">
        <f t="shared" si="45"/>
        <v>43559</v>
      </c>
      <c r="B110" s="6">
        <v>252.93081050002576</v>
      </c>
      <c r="C110" s="6">
        <v>44.063910000000149</v>
      </c>
      <c r="D110" s="6">
        <v>23.052</v>
      </c>
      <c r="E110" s="6">
        <f t="shared" si="39"/>
        <v>320.04672050002591</v>
      </c>
      <c r="F110">
        <f t="shared" si="36"/>
        <v>0</v>
      </c>
      <c r="G110" s="5">
        <f t="shared" si="46"/>
        <v>43924</v>
      </c>
      <c r="H110" s="6">
        <v>202.03803490006925</v>
      </c>
      <c r="I110" s="6">
        <v>44.556074200000616</v>
      </c>
      <c r="J110" s="6">
        <v>23.963000000000001</v>
      </c>
      <c r="K110" s="6">
        <f t="shared" si="40"/>
        <v>270.55710910006985</v>
      </c>
      <c r="L110">
        <f t="shared" si="37"/>
        <v>0</v>
      </c>
      <c r="M110" s="5">
        <f t="shared" si="47"/>
        <v>44290</v>
      </c>
      <c r="N110" s="6">
        <v>212.58406770002841</v>
      </c>
      <c r="O110" s="6">
        <v>43.61464459999651</v>
      </c>
      <c r="P110" s="6">
        <v>17.628097200000774</v>
      </c>
      <c r="Q110" s="6">
        <f t="shared" si="38"/>
        <v>273.82680950002566</v>
      </c>
      <c r="R110">
        <f t="shared" si="31"/>
        <v>0</v>
      </c>
      <c r="S110" s="5">
        <f t="shared" si="48"/>
        <v>44655</v>
      </c>
      <c r="T110" s="6">
        <v>237.68497320008277</v>
      </c>
      <c r="U110" s="6">
        <v>55.08319479999691</v>
      </c>
      <c r="V110" s="6">
        <v>19.251951200000242</v>
      </c>
      <c r="W110" s="6">
        <f t="shared" si="41"/>
        <v>312.02011920007993</v>
      </c>
      <c r="X110">
        <f t="shared" si="32"/>
        <v>0</v>
      </c>
      <c r="Z110" s="5">
        <f t="shared" si="49"/>
        <v>44655</v>
      </c>
      <c r="AA110" s="6">
        <v>274.98141560006144</v>
      </c>
      <c r="AB110" s="6">
        <v>58.968610600009562</v>
      </c>
      <c r="AC110" s="6">
        <v>24.740259799999652</v>
      </c>
      <c r="AD110" s="6">
        <f t="shared" si="42"/>
        <v>358.69028600007067</v>
      </c>
      <c r="AE110">
        <f t="shared" si="33"/>
        <v>0</v>
      </c>
      <c r="AF110" s="5">
        <f t="shared" si="50"/>
        <v>45385</v>
      </c>
      <c r="AG110" s="6"/>
      <c r="AH110" s="6"/>
      <c r="AI110" s="6"/>
      <c r="AJ110" s="6">
        <f t="shared" si="43"/>
        <v>0</v>
      </c>
      <c r="AK110">
        <f t="shared" si="34"/>
        <v>0</v>
      </c>
      <c r="AL110" s="5">
        <f t="shared" si="51"/>
        <v>45751</v>
      </c>
      <c r="AM110" s="6"/>
      <c r="AN110" s="6"/>
      <c r="AO110" s="6"/>
      <c r="AP110" s="6">
        <f t="shared" si="44"/>
        <v>0</v>
      </c>
      <c r="AQ110">
        <f t="shared" si="35"/>
        <v>0</v>
      </c>
    </row>
    <row r="111" spans="1:43" x14ac:dyDescent="0.3">
      <c r="A111" s="5">
        <f t="shared" si="45"/>
        <v>43560</v>
      </c>
      <c r="B111" s="6">
        <v>258.50200849997998</v>
      </c>
      <c r="C111" s="6">
        <v>42.807690000001344</v>
      </c>
      <c r="D111" s="6">
        <v>23.896000000000001</v>
      </c>
      <c r="E111" s="6">
        <f t="shared" si="39"/>
        <v>325.20569849998134</v>
      </c>
      <c r="F111">
        <f t="shared" si="36"/>
        <v>0</v>
      </c>
      <c r="G111" s="5">
        <f t="shared" si="46"/>
        <v>43925</v>
      </c>
      <c r="H111" s="6">
        <v>203.70915959990023</v>
      </c>
      <c r="I111" s="6">
        <v>44.054100099999459</v>
      </c>
      <c r="J111" s="6">
        <v>24.73</v>
      </c>
      <c r="K111" s="6">
        <f t="shared" si="40"/>
        <v>272.49325969989968</v>
      </c>
      <c r="L111">
        <f t="shared" si="37"/>
        <v>0</v>
      </c>
      <c r="M111" s="5">
        <f t="shared" si="47"/>
        <v>44291</v>
      </c>
      <c r="N111" s="6">
        <v>260.62728460001944</v>
      </c>
      <c r="O111" s="6">
        <v>55.607930700004104</v>
      </c>
      <c r="P111" s="6">
        <v>20.849600400002206</v>
      </c>
      <c r="Q111" s="6">
        <f t="shared" si="38"/>
        <v>337.08481570002573</v>
      </c>
      <c r="R111">
        <f t="shared" si="31"/>
        <v>0</v>
      </c>
      <c r="S111" s="5">
        <f t="shared" si="48"/>
        <v>44656</v>
      </c>
      <c r="T111" s="6">
        <v>249.03792689990996</v>
      </c>
      <c r="U111" s="6">
        <v>54.25907310000062</v>
      </c>
      <c r="V111" s="6">
        <v>19.14585089999996</v>
      </c>
      <c r="W111" s="6">
        <f t="shared" si="41"/>
        <v>322.44285089991052</v>
      </c>
      <c r="X111">
        <f t="shared" si="32"/>
        <v>0</v>
      </c>
      <c r="Z111" s="5">
        <f t="shared" si="49"/>
        <v>44656</v>
      </c>
      <c r="AA111" s="6">
        <v>264.53159789991378</v>
      </c>
      <c r="AB111" s="6">
        <v>61.335866999998686</v>
      </c>
      <c r="AC111" s="6">
        <v>25.705916299999693</v>
      </c>
      <c r="AD111" s="6">
        <f t="shared" si="42"/>
        <v>351.57338119991215</v>
      </c>
      <c r="AE111">
        <f t="shared" si="33"/>
        <v>0</v>
      </c>
      <c r="AF111" s="5">
        <f t="shared" si="50"/>
        <v>45386</v>
      </c>
      <c r="AG111" s="6"/>
      <c r="AH111" s="6"/>
      <c r="AI111" s="6"/>
      <c r="AJ111" s="6">
        <f t="shared" si="43"/>
        <v>0</v>
      </c>
      <c r="AK111">
        <f t="shared" si="34"/>
        <v>0</v>
      </c>
      <c r="AL111" s="5">
        <f t="shared" si="51"/>
        <v>45752</v>
      </c>
      <c r="AM111" s="6"/>
      <c r="AN111" s="6"/>
      <c r="AO111" s="6"/>
      <c r="AP111" s="6">
        <f t="shared" si="44"/>
        <v>0</v>
      </c>
      <c r="AQ111">
        <f t="shared" si="35"/>
        <v>0</v>
      </c>
    </row>
    <row r="112" spans="1:43" x14ac:dyDescent="0.3">
      <c r="A112" s="5">
        <f t="shared" si="45"/>
        <v>43561</v>
      </c>
      <c r="B112" s="6">
        <v>241.47499930000305</v>
      </c>
      <c r="C112" s="6">
        <v>41.167820000000297</v>
      </c>
      <c r="D112" s="6">
        <v>23.577000000000002</v>
      </c>
      <c r="E112" s="6">
        <f t="shared" si="39"/>
        <v>306.21981930000334</v>
      </c>
      <c r="F112">
        <f t="shared" si="36"/>
        <v>0</v>
      </c>
      <c r="G112" s="5">
        <f t="shared" si="46"/>
        <v>43926</v>
      </c>
      <c r="H112" s="6">
        <v>186.38712630009653</v>
      </c>
      <c r="I112" s="6">
        <v>38.041946199998257</v>
      </c>
      <c r="J112" s="6">
        <v>16.323</v>
      </c>
      <c r="K112" s="6">
        <f t="shared" si="40"/>
        <v>240.75207250009478</v>
      </c>
      <c r="L112">
        <f t="shared" si="37"/>
        <v>0</v>
      </c>
      <c r="M112" s="5">
        <f t="shared" si="47"/>
        <v>44292</v>
      </c>
      <c r="N112" s="6">
        <v>260.91420120000839</v>
      </c>
      <c r="O112" s="6">
        <v>56.56774210000038</v>
      </c>
      <c r="P112" s="6">
        <v>24.263679899995566</v>
      </c>
      <c r="Q112" s="6">
        <f t="shared" si="38"/>
        <v>341.74562320000433</v>
      </c>
      <c r="R112">
        <f t="shared" si="31"/>
        <v>0</v>
      </c>
      <c r="S112" s="5">
        <f t="shared" si="48"/>
        <v>44657</v>
      </c>
      <c r="T112" s="6">
        <v>271.96160330009462</v>
      </c>
      <c r="U112" s="6">
        <v>57.211137299999592</v>
      </c>
      <c r="V112" s="6">
        <v>19.262762100000167</v>
      </c>
      <c r="W112" s="6">
        <f t="shared" si="41"/>
        <v>348.43550270009439</v>
      </c>
      <c r="X112">
        <f t="shared" si="32"/>
        <v>0</v>
      </c>
      <c r="Z112" s="5">
        <f t="shared" si="49"/>
        <v>44657</v>
      </c>
      <c r="AA112" s="6">
        <v>270.40878850007056</v>
      </c>
      <c r="AB112" s="6">
        <v>60.877980700001117</v>
      </c>
      <c r="AC112" s="6">
        <v>25.965411299999339</v>
      </c>
      <c r="AD112" s="6">
        <f t="shared" si="42"/>
        <v>357.25218050007101</v>
      </c>
      <c r="AE112">
        <f t="shared" si="33"/>
        <v>0</v>
      </c>
      <c r="AF112" s="5">
        <f t="shared" si="50"/>
        <v>45387</v>
      </c>
      <c r="AG112" s="6"/>
      <c r="AH112" s="6"/>
      <c r="AI112" s="6"/>
      <c r="AJ112" s="6">
        <f t="shared" si="43"/>
        <v>0</v>
      </c>
      <c r="AK112">
        <f t="shared" si="34"/>
        <v>0</v>
      </c>
      <c r="AL112" s="5">
        <f t="shared" si="51"/>
        <v>45753</v>
      </c>
      <c r="AM112" s="6"/>
      <c r="AN112" s="6"/>
      <c r="AO112" s="6"/>
      <c r="AP112" s="6">
        <f t="shared" si="44"/>
        <v>0</v>
      </c>
      <c r="AQ112">
        <f t="shared" si="35"/>
        <v>0</v>
      </c>
    </row>
    <row r="113" spans="1:43" x14ac:dyDescent="0.3">
      <c r="A113" s="5">
        <f t="shared" si="45"/>
        <v>43562</v>
      </c>
      <c r="B113" s="6">
        <v>227.4743993999958</v>
      </c>
      <c r="C113" s="6">
        <v>38.963349999999629</v>
      </c>
      <c r="D113" s="6">
        <v>18.507999999999999</v>
      </c>
      <c r="E113" s="6">
        <f t="shared" si="39"/>
        <v>284.94574939999541</v>
      </c>
      <c r="F113">
        <f t="shared" si="36"/>
        <v>0</v>
      </c>
      <c r="G113" s="5">
        <f t="shared" si="46"/>
        <v>43927</v>
      </c>
      <c r="H113" s="6">
        <v>200.19463299989701</v>
      </c>
      <c r="I113" s="6">
        <v>42.487062100000678</v>
      </c>
      <c r="J113" s="6">
        <v>22.997</v>
      </c>
      <c r="K113" s="6">
        <f t="shared" si="40"/>
        <v>265.67869509989771</v>
      </c>
      <c r="L113">
        <f t="shared" si="37"/>
        <v>0</v>
      </c>
      <c r="M113" s="5">
        <f t="shared" si="47"/>
        <v>44293</v>
      </c>
      <c r="N113" s="6">
        <v>258.13000429999829</v>
      </c>
      <c r="O113" s="6">
        <v>55.127120600000026</v>
      </c>
      <c r="P113" s="6">
        <v>25.753022500004501</v>
      </c>
      <c r="Q113" s="6">
        <f t="shared" si="38"/>
        <v>339.01014740000278</v>
      </c>
      <c r="R113">
        <f t="shared" si="31"/>
        <v>0</v>
      </c>
      <c r="S113" s="5">
        <f t="shared" si="48"/>
        <v>44658</v>
      </c>
      <c r="T113" s="6">
        <v>286.31877269995215</v>
      </c>
      <c r="U113" s="6">
        <v>54.336647200003263</v>
      </c>
      <c r="V113" s="6">
        <v>19.917894100000151</v>
      </c>
      <c r="W113" s="6">
        <f t="shared" si="41"/>
        <v>360.57331399995553</v>
      </c>
      <c r="X113">
        <f t="shared" si="32"/>
        <v>0</v>
      </c>
      <c r="Z113" s="5">
        <f t="shared" si="49"/>
        <v>44658</v>
      </c>
      <c r="AA113" s="6">
        <v>211.42702909994125</v>
      </c>
      <c r="AB113" s="6">
        <v>50.020796999990942</v>
      </c>
      <c r="AC113" s="6">
        <v>19.82857340000011</v>
      </c>
      <c r="AD113" s="6">
        <f t="shared" si="42"/>
        <v>281.27639949993227</v>
      </c>
      <c r="AE113">
        <f t="shared" si="33"/>
        <v>0</v>
      </c>
      <c r="AF113" s="5">
        <f t="shared" si="50"/>
        <v>45388</v>
      </c>
      <c r="AG113" s="6"/>
      <c r="AH113" s="6"/>
      <c r="AI113" s="6"/>
      <c r="AJ113" s="6">
        <f t="shared" si="43"/>
        <v>0</v>
      </c>
      <c r="AK113">
        <f t="shared" si="34"/>
        <v>0</v>
      </c>
      <c r="AL113" s="5">
        <f t="shared" si="51"/>
        <v>45754</v>
      </c>
      <c r="AM113" s="6"/>
      <c r="AN113" s="6"/>
      <c r="AO113" s="6"/>
      <c r="AP113" s="6">
        <f t="shared" si="44"/>
        <v>0</v>
      </c>
      <c r="AQ113">
        <f t="shared" si="35"/>
        <v>0</v>
      </c>
    </row>
    <row r="114" spans="1:43" x14ac:dyDescent="0.3">
      <c r="A114" s="5">
        <f t="shared" si="45"/>
        <v>43563</v>
      </c>
      <c r="B114" s="6">
        <v>264.83001160001754</v>
      </c>
      <c r="C114" s="6">
        <v>48.184789999999104</v>
      </c>
      <c r="D114" s="6">
        <v>21.869</v>
      </c>
      <c r="E114" s="6">
        <f t="shared" si="39"/>
        <v>334.88380160001668</v>
      </c>
      <c r="F114">
        <f t="shared" si="36"/>
        <v>0</v>
      </c>
      <c r="G114" s="5">
        <f t="shared" si="46"/>
        <v>43928</v>
      </c>
      <c r="H114" s="6">
        <v>205.36603320002556</v>
      </c>
      <c r="I114" s="6">
        <v>43.901246800001708</v>
      </c>
      <c r="J114" s="6">
        <v>22.614999999999998</v>
      </c>
      <c r="K114" s="6">
        <f t="shared" si="40"/>
        <v>271.88228000002727</v>
      </c>
      <c r="L114">
        <f t="shared" si="37"/>
        <v>0</v>
      </c>
      <c r="M114" s="5">
        <f t="shared" si="47"/>
        <v>44294</v>
      </c>
      <c r="N114" s="6">
        <v>228.34525720000266</v>
      </c>
      <c r="O114" s="6">
        <v>55.385856499999761</v>
      </c>
      <c r="P114" s="6">
        <v>25.087182899995241</v>
      </c>
      <c r="Q114" s="6">
        <f t="shared" si="38"/>
        <v>308.81829659999767</v>
      </c>
      <c r="R114">
        <f t="shared" si="31"/>
        <v>0</v>
      </c>
      <c r="S114" s="5">
        <f t="shared" si="48"/>
        <v>44659</v>
      </c>
      <c r="T114" s="6">
        <v>284.91824010002614</v>
      </c>
      <c r="U114" s="6">
        <v>57.135235399998727</v>
      </c>
      <c r="V114" s="6">
        <v>20.104370299999601</v>
      </c>
      <c r="W114" s="6">
        <f t="shared" si="41"/>
        <v>362.15784580002446</v>
      </c>
      <c r="X114">
        <f t="shared" si="32"/>
        <v>0</v>
      </c>
      <c r="Z114" s="5">
        <f t="shared" si="49"/>
        <v>44659</v>
      </c>
      <c r="AA114" s="6">
        <v>211.97041200006009</v>
      </c>
      <c r="AB114" s="6">
        <v>48.64790330000222</v>
      </c>
      <c r="AC114" s="6">
        <v>17.773787800000051</v>
      </c>
      <c r="AD114" s="6">
        <f t="shared" si="42"/>
        <v>278.39210310006234</v>
      </c>
      <c r="AE114">
        <f t="shared" si="33"/>
        <v>0</v>
      </c>
      <c r="AF114" s="5">
        <f t="shared" si="50"/>
        <v>45389</v>
      </c>
      <c r="AG114" s="6"/>
      <c r="AH114" s="6"/>
      <c r="AI114" s="6"/>
      <c r="AJ114" s="6">
        <f t="shared" si="43"/>
        <v>0</v>
      </c>
      <c r="AK114">
        <f t="shared" si="34"/>
        <v>0</v>
      </c>
      <c r="AL114" s="5">
        <f t="shared" si="51"/>
        <v>45755</v>
      </c>
      <c r="AM114" s="6"/>
      <c r="AN114" s="6"/>
      <c r="AO114" s="6"/>
      <c r="AP114" s="6">
        <f t="shared" si="44"/>
        <v>0</v>
      </c>
      <c r="AQ114">
        <f t="shared" si="35"/>
        <v>0</v>
      </c>
    </row>
    <row r="115" spans="1:43" x14ac:dyDescent="0.3">
      <c r="A115" s="5">
        <f t="shared" si="45"/>
        <v>43564</v>
      </c>
      <c r="B115" s="6">
        <v>265.14638760000469</v>
      </c>
      <c r="C115" s="6">
        <v>44.728970000000672</v>
      </c>
      <c r="D115" s="6">
        <v>20.265000000000001</v>
      </c>
      <c r="E115" s="6">
        <f t="shared" si="39"/>
        <v>330.14035760000536</v>
      </c>
      <c r="F115">
        <f t="shared" si="36"/>
        <v>0</v>
      </c>
      <c r="G115" s="5">
        <f t="shared" si="46"/>
        <v>43929</v>
      </c>
      <c r="H115" s="6">
        <v>203.49600620007516</v>
      </c>
      <c r="I115" s="6">
        <v>44.2376959999986</v>
      </c>
      <c r="J115" s="6">
        <v>20.329999999999998</v>
      </c>
      <c r="K115" s="6">
        <f t="shared" si="40"/>
        <v>268.06370220007375</v>
      </c>
      <c r="L115">
        <f t="shared" si="37"/>
        <v>0</v>
      </c>
      <c r="M115" s="5">
        <f t="shared" si="47"/>
        <v>44295</v>
      </c>
      <c r="N115" s="6">
        <v>251.72332179999353</v>
      </c>
      <c r="O115" s="6">
        <v>51.935450699999926</v>
      </c>
      <c r="P115" s="6">
        <v>25.013924999998999</v>
      </c>
      <c r="Q115" s="6">
        <f t="shared" si="38"/>
        <v>328.67269749999247</v>
      </c>
      <c r="R115">
        <f t="shared" si="31"/>
        <v>0</v>
      </c>
      <c r="S115" s="5">
        <f t="shared" si="48"/>
        <v>44660</v>
      </c>
      <c r="T115" s="6">
        <v>260.42202380001544</v>
      </c>
      <c r="U115" s="6">
        <v>53.92499849999696</v>
      </c>
      <c r="V115" s="6">
        <v>19.479222200000194</v>
      </c>
      <c r="W115" s="6">
        <f t="shared" si="41"/>
        <v>333.82624450001259</v>
      </c>
      <c r="X115">
        <f t="shared" si="32"/>
        <v>0</v>
      </c>
      <c r="Z115" s="5">
        <f t="shared" si="49"/>
        <v>44660</v>
      </c>
      <c r="AA115" s="6">
        <v>209.46085369992255</v>
      </c>
      <c r="AB115" s="6">
        <v>51.40440540000796</v>
      </c>
      <c r="AC115" s="6">
        <v>15.688407900000922</v>
      </c>
      <c r="AD115" s="6">
        <f t="shared" si="42"/>
        <v>276.55366699993147</v>
      </c>
      <c r="AE115">
        <f t="shared" si="33"/>
        <v>0</v>
      </c>
      <c r="AF115" s="5">
        <f t="shared" si="50"/>
        <v>45390</v>
      </c>
      <c r="AG115" s="6"/>
      <c r="AH115" s="6"/>
      <c r="AI115" s="6"/>
      <c r="AJ115" s="6">
        <f t="shared" si="43"/>
        <v>0</v>
      </c>
      <c r="AK115">
        <f t="shared" si="34"/>
        <v>0</v>
      </c>
      <c r="AL115" s="5">
        <f t="shared" si="51"/>
        <v>45756</v>
      </c>
      <c r="AM115" s="6"/>
      <c r="AN115" s="6"/>
      <c r="AO115" s="6"/>
      <c r="AP115" s="6">
        <f t="shared" si="44"/>
        <v>0</v>
      </c>
      <c r="AQ115">
        <f t="shared" si="35"/>
        <v>0</v>
      </c>
    </row>
    <row r="116" spans="1:43" x14ac:dyDescent="0.3">
      <c r="A116" s="5">
        <f t="shared" si="45"/>
        <v>43565</v>
      </c>
      <c r="B116" s="6">
        <v>268.76164029997585</v>
      </c>
      <c r="C116" s="6">
        <v>45.394189999999476</v>
      </c>
      <c r="D116" s="6">
        <v>23.456</v>
      </c>
      <c r="E116" s="6">
        <f t="shared" si="39"/>
        <v>337.61183029997534</v>
      </c>
      <c r="F116">
        <f t="shared" si="36"/>
        <v>0</v>
      </c>
      <c r="G116" s="5">
        <f t="shared" si="46"/>
        <v>43930</v>
      </c>
      <c r="H116" s="6">
        <v>210.4700025999546</v>
      </c>
      <c r="I116" s="6">
        <v>43.99858469999954</v>
      </c>
      <c r="J116" s="6">
        <v>24.524000000000001</v>
      </c>
      <c r="K116" s="6">
        <f t="shared" si="40"/>
        <v>278.99258729995415</v>
      </c>
      <c r="L116">
        <f t="shared" si="37"/>
        <v>0</v>
      </c>
      <c r="M116" s="5">
        <f t="shared" si="47"/>
        <v>44296</v>
      </c>
      <c r="N116" s="6">
        <v>221.13973959994317</v>
      </c>
      <c r="O116" s="6">
        <v>51.265315999999643</v>
      </c>
      <c r="P116" s="6">
        <v>24.241493099998799</v>
      </c>
      <c r="Q116" s="6">
        <f t="shared" si="38"/>
        <v>296.6465486999416</v>
      </c>
      <c r="R116">
        <f t="shared" si="31"/>
        <v>0</v>
      </c>
      <c r="S116" s="5">
        <f t="shared" si="48"/>
        <v>44661</v>
      </c>
      <c r="T116" s="6">
        <v>233.57290929996967</v>
      </c>
      <c r="U116" s="6">
        <v>45.906037100002166</v>
      </c>
      <c r="V116" s="6">
        <v>18.027123399999923</v>
      </c>
      <c r="W116" s="6">
        <f t="shared" si="41"/>
        <v>297.50606979997178</v>
      </c>
      <c r="X116">
        <f t="shared" si="32"/>
        <v>0</v>
      </c>
      <c r="Z116" s="5">
        <f t="shared" si="49"/>
        <v>44661</v>
      </c>
      <c r="AA116" s="6">
        <v>268.68321970009805</v>
      </c>
      <c r="AB116" s="6">
        <v>60.617055099993941</v>
      </c>
      <c r="AC116" s="6">
        <v>23.790661199999974</v>
      </c>
      <c r="AD116" s="6">
        <f t="shared" si="42"/>
        <v>353.09093600009197</v>
      </c>
      <c r="AE116">
        <f t="shared" si="33"/>
        <v>0</v>
      </c>
      <c r="AF116" s="5">
        <f t="shared" si="50"/>
        <v>45391</v>
      </c>
      <c r="AG116" s="6"/>
      <c r="AH116" s="6"/>
      <c r="AI116" s="6"/>
      <c r="AJ116" s="6">
        <f t="shared" si="43"/>
        <v>0</v>
      </c>
      <c r="AK116">
        <f t="shared" si="34"/>
        <v>0</v>
      </c>
      <c r="AL116" s="5">
        <f t="shared" si="51"/>
        <v>45757</v>
      </c>
      <c r="AM116" s="6"/>
      <c r="AN116" s="6"/>
      <c r="AO116" s="6"/>
      <c r="AP116" s="6">
        <f t="shared" si="44"/>
        <v>0</v>
      </c>
      <c r="AQ116">
        <f t="shared" si="35"/>
        <v>0</v>
      </c>
    </row>
    <row r="117" spans="1:43" x14ac:dyDescent="0.3">
      <c r="A117" s="5">
        <f t="shared" si="45"/>
        <v>43566</v>
      </c>
      <c r="B117" s="6">
        <v>261.76219740003347</v>
      </c>
      <c r="C117" s="6">
        <v>48.39725</v>
      </c>
      <c r="D117" s="6">
        <v>23.989000000000001</v>
      </c>
      <c r="E117" s="6">
        <f t="shared" si="39"/>
        <v>334.14844740003343</v>
      </c>
      <c r="F117">
        <f t="shared" si="36"/>
        <v>0</v>
      </c>
      <c r="G117" s="5">
        <f t="shared" si="46"/>
        <v>43931</v>
      </c>
      <c r="H117" s="6">
        <v>185.48964600002765</v>
      </c>
      <c r="I117" s="6">
        <v>38.615946600001308</v>
      </c>
      <c r="J117" s="6">
        <v>18.277000000000001</v>
      </c>
      <c r="K117" s="6">
        <f t="shared" si="40"/>
        <v>242.38259260002894</v>
      </c>
      <c r="L117">
        <f t="shared" si="37"/>
        <v>0</v>
      </c>
      <c r="M117" s="5">
        <f t="shared" si="47"/>
        <v>44297</v>
      </c>
      <c r="N117" s="6">
        <v>212.31990410006046</v>
      </c>
      <c r="O117" s="6">
        <v>42.999196400001644</v>
      </c>
      <c r="P117" s="6">
        <v>19.516820400000782</v>
      </c>
      <c r="Q117" s="6">
        <f t="shared" si="38"/>
        <v>274.83592090006289</v>
      </c>
      <c r="R117">
        <f t="shared" si="31"/>
        <v>0</v>
      </c>
      <c r="S117" s="5">
        <f t="shared" si="48"/>
        <v>44662</v>
      </c>
      <c r="T117" s="6">
        <v>273.4769194999933</v>
      </c>
      <c r="U117" s="6">
        <v>54.992932199999693</v>
      </c>
      <c r="V117" s="6">
        <v>19.112776800000109</v>
      </c>
      <c r="W117" s="6">
        <f t="shared" si="41"/>
        <v>347.58262849999312</v>
      </c>
      <c r="X117">
        <f t="shared" si="32"/>
        <v>0</v>
      </c>
      <c r="Z117" s="5">
        <f t="shared" si="49"/>
        <v>44662</v>
      </c>
      <c r="AA117" s="6">
        <v>265.31579219996928</v>
      </c>
      <c r="AB117" s="6">
        <v>62.748708000004292</v>
      </c>
      <c r="AC117" s="6">
        <v>25.16801109999977</v>
      </c>
      <c r="AD117" s="6">
        <f t="shared" si="42"/>
        <v>353.23251129997334</v>
      </c>
      <c r="AE117">
        <f t="shared" si="33"/>
        <v>0</v>
      </c>
      <c r="AF117" s="5">
        <f t="shared" si="50"/>
        <v>45392</v>
      </c>
      <c r="AG117" s="6"/>
      <c r="AH117" s="6"/>
      <c r="AI117" s="6"/>
      <c r="AJ117" s="6">
        <f t="shared" si="43"/>
        <v>0</v>
      </c>
      <c r="AK117">
        <f t="shared" si="34"/>
        <v>0</v>
      </c>
      <c r="AL117" s="5">
        <f t="shared" si="51"/>
        <v>45758</v>
      </c>
      <c r="AM117" s="6"/>
      <c r="AN117" s="6"/>
      <c r="AO117" s="6"/>
      <c r="AP117" s="6">
        <f t="shared" si="44"/>
        <v>0</v>
      </c>
      <c r="AQ117">
        <f t="shared" si="35"/>
        <v>0</v>
      </c>
    </row>
    <row r="118" spans="1:43" x14ac:dyDescent="0.3">
      <c r="A118" s="5">
        <f t="shared" si="45"/>
        <v>43567</v>
      </c>
      <c r="B118" s="6">
        <v>268.2808026999831</v>
      </c>
      <c r="C118" s="6">
        <v>45.184050000000745</v>
      </c>
      <c r="D118" s="6">
        <v>22.091000000000001</v>
      </c>
      <c r="E118" s="6">
        <f t="shared" si="39"/>
        <v>335.55585269998386</v>
      </c>
      <c r="F118">
        <f t="shared" si="36"/>
        <v>0</v>
      </c>
      <c r="G118" s="5">
        <f t="shared" si="46"/>
        <v>43932</v>
      </c>
      <c r="H118" s="6">
        <v>185.0077920999527</v>
      </c>
      <c r="I118" s="6">
        <v>39.056090100001541</v>
      </c>
      <c r="J118" s="6">
        <v>15.162000000000001</v>
      </c>
      <c r="K118" s="6">
        <f t="shared" si="40"/>
        <v>239.22588219995424</v>
      </c>
      <c r="L118">
        <f t="shared" si="37"/>
        <v>0</v>
      </c>
      <c r="M118" s="5">
        <f t="shared" si="47"/>
        <v>44298</v>
      </c>
      <c r="N118" s="6">
        <v>232.75980489993094</v>
      </c>
      <c r="O118" s="6">
        <v>52.731631299994888</v>
      </c>
      <c r="P118" s="6">
        <v>25.73589930000389</v>
      </c>
      <c r="Q118" s="6">
        <f t="shared" si="38"/>
        <v>311.22733549992972</v>
      </c>
      <c r="R118">
        <f t="shared" si="31"/>
        <v>0</v>
      </c>
      <c r="S118" s="5">
        <f t="shared" si="48"/>
        <v>44663</v>
      </c>
      <c r="T118" s="6">
        <v>237.48608190000058</v>
      </c>
      <c r="U118" s="6">
        <v>54.859421900004151</v>
      </c>
      <c r="V118" s="6">
        <v>18.64705979999993</v>
      </c>
      <c r="W118" s="6">
        <f t="shared" si="41"/>
        <v>310.99256360000464</v>
      </c>
      <c r="X118">
        <f t="shared" si="32"/>
        <v>0</v>
      </c>
      <c r="Z118" s="5">
        <f t="shared" si="49"/>
        <v>44663</v>
      </c>
      <c r="AA118" s="6">
        <v>298.58463569998742</v>
      </c>
      <c r="AB118" s="6">
        <v>63.124613600000743</v>
      </c>
      <c r="AC118" s="6">
        <v>25.424492700001689</v>
      </c>
      <c r="AD118" s="6">
        <f t="shared" si="42"/>
        <v>387.13374199998987</v>
      </c>
      <c r="AE118">
        <f t="shared" si="33"/>
        <v>0</v>
      </c>
      <c r="AF118" s="5">
        <f t="shared" si="50"/>
        <v>45393</v>
      </c>
      <c r="AG118" s="6"/>
      <c r="AH118" s="6"/>
      <c r="AI118" s="6"/>
      <c r="AJ118" s="6">
        <f t="shared" si="43"/>
        <v>0</v>
      </c>
      <c r="AK118">
        <f t="shared" si="34"/>
        <v>0</v>
      </c>
      <c r="AL118" s="5">
        <f t="shared" si="51"/>
        <v>45759</v>
      </c>
      <c r="AM118" s="6"/>
      <c r="AN118" s="6"/>
      <c r="AO118" s="6"/>
      <c r="AP118" s="6">
        <f t="shared" si="44"/>
        <v>0</v>
      </c>
      <c r="AQ118">
        <f t="shared" si="35"/>
        <v>0</v>
      </c>
    </row>
    <row r="119" spans="1:43" x14ac:dyDescent="0.3">
      <c r="A119" s="5">
        <f t="shared" si="45"/>
        <v>43568</v>
      </c>
      <c r="B119" s="6">
        <v>247.10449500000476</v>
      </c>
      <c r="C119" s="6">
        <v>44.985379999998955</v>
      </c>
      <c r="D119" s="6">
        <v>21.905999999999999</v>
      </c>
      <c r="E119" s="6">
        <f t="shared" si="39"/>
        <v>313.99587500000371</v>
      </c>
      <c r="F119">
        <f t="shared" si="36"/>
        <v>0</v>
      </c>
      <c r="G119" s="5">
        <f t="shared" si="46"/>
        <v>43933</v>
      </c>
      <c r="H119" s="6">
        <v>183.83813230001925</v>
      </c>
      <c r="I119" s="6">
        <v>38.614622899997983</v>
      </c>
      <c r="J119" s="6">
        <v>17.399000000000001</v>
      </c>
      <c r="K119" s="6">
        <f t="shared" si="40"/>
        <v>239.85175520001724</v>
      </c>
      <c r="L119">
        <f t="shared" si="37"/>
        <v>0</v>
      </c>
      <c r="M119" s="5">
        <f t="shared" si="47"/>
        <v>44299</v>
      </c>
      <c r="N119" s="6">
        <v>241.3839606000185</v>
      </c>
      <c r="O119" s="6">
        <v>53.0660373999998</v>
      </c>
      <c r="P119" s="6">
        <v>26.733991899998742</v>
      </c>
      <c r="Q119" s="6">
        <f t="shared" si="38"/>
        <v>321.18398990001702</v>
      </c>
      <c r="R119">
        <f t="shared" si="31"/>
        <v>0</v>
      </c>
      <c r="S119" s="5">
        <f t="shared" si="48"/>
        <v>44664</v>
      </c>
      <c r="T119" s="6">
        <v>241.9316821000576</v>
      </c>
      <c r="U119" s="6">
        <v>55.192592299997806</v>
      </c>
      <c r="V119" s="6">
        <v>17.975008499999998</v>
      </c>
      <c r="W119" s="6">
        <f t="shared" si="41"/>
        <v>315.09928290005541</v>
      </c>
      <c r="X119">
        <f t="shared" si="32"/>
        <v>0</v>
      </c>
      <c r="Z119" s="5">
        <f t="shared" si="49"/>
        <v>44664</v>
      </c>
      <c r="AA119" s="6">
        <v>302.54707050001622</v>
      </c>
      <c r="AB119" s="6">
        <v>61.605418099999426</v>
      </c>
      <c r="AC119" s="6">
        <v>25.501423399998806</v>
      </c>
      <c r="AD119" s="6">
        <f t="shared" si="42"/>
        <v>389.65391200001449</v>
      </c>
      <c r="AE119">
        <f t="shared" si="33"/>
        <v>0</v>
      </c>
      <c r="AF119" s="5">
        <f t="shared" si="50"/>
        <v>45394</v>
      </c>
      <c r="AG119" s="6"/>
      <c r="AH119" s="6"/>
      <c r="AI119" s="6"/>
      <c r="AJ119" s="6">
        <f t="shared" si="43"/>
        <v>0</v>
      </c>
      <c r="AK119">
        <f t="shared" si="34"/>
        <v>0</v>
      </c>
      <c r="AL119" s="5">
        <f t="shared" si="51"/>
        <v>45760</v>
      </c>
      <c r="AM119" s="6"/>
      <c r="AN119" s="6"/>
      <c r="AO119" s="6"/>
      <c r="AP119" s="6">
        <f t="shared" si="44"/>
        <v>0</v>
      </c>
      <c r="AQ119">
        <f t="shared" si="35"/>
        <v>0</v>
      </c>
    </row>
    <row r="120" spans="1:43" x14ac:dyDescent="0.3">
      <c r="A120" s="5">
        <f t="shared" si="45"/>
        <v>43569</v>
      </c>
      <c r="B120" s="6">
        <v>226.88061449998617</v>
      </c>
      <c r="C120" s="6">
        <v>42.027990000000223</v>
      </c>
      <c r="D120" s="6">
        <v>19.199000000000002</v>
      </c>
      <c r="E120" s="6">
        <f t="shared" si="39"/>
        <v>288.10760449998639</v>
      </c>
      <c r="F120">
        <f t="shared" si="36"/>
        <v>0</v>
      </c>
      <c r="G120" s="5">
        <f t="shared" si="46"/>
        <v>43934</v>
      </c>
      <c r="H120" s="6">
        <v>200.41481359994413</v>
      </c>
      <c r="I120" s="6">
        <v>44.800460000000896</v>
      </c>
      <c r="J120" s="6">
        <v>22.360099999999999</v>
      </c>
      <c r="K120" s="6">
        <f t="shared" si="40"/>
        <v>267.57537359994501</v>
      </c>
      <c r="L120">
        <f t="shared" si="37"/>
        <v>0</v>
      </c>
      <c r="M120" s="5">
        <f t="shared" si="47"/>
        <v>44300</v>
      </c>
      <c r="N120" s="6">
        <v>226.64925470006466</v>
      </c>
      <c r="O120" s="6">
        <v>53.476712400004267</v>
      </c>
      <c r="P120" s="6">
        <v>24.947452099997435</v>
      </c>
      <c r="Q120" s="6">
        <f t="shared" si="38"/>
        <v>305.07341920006638</v>
      </c>
      <c r="R120">
        <f t="shared" si="31"/>
        <v>0</v>
      </c>
      <c r="S120" s="5">
        <f t="shared" si="48"/>
        <v>44665</v>
      </c>
      <c r="T120" s="6">
        <v>238.24005409991742</v>
      </c>
      <c r="U120" s="6">
        <v>52.942710599996147</v>
      </c>
      <c r="V120" s="6">
        <v>18.091977200000315</v>
      </c>
      <c r="W120" s="6">
        <f t="shared" si="41"/>
        <v>309.27474189991386</v>
      </c>
      <c r="X120">
        <f t="shared" si="32"/>
        <v>0</v>
      </c>
      <c r="Z120" s="5">
        <f t="shared" si="49"/>
        <v>44665</v>
      </c>
      <c r="AA120" s="6">
        <v>283.31090729999545</v>
      </c>
      <c r="AB120" s="6">
        <v>62.04405900000036</v>
      </c>
      <c r="AC120" s="6">
        <v>25.344091300000436</v>
      </c>
      <c r="AD120" s="6">
        <f t="shared" si="42"/>
        <v>370.69905759999625</v>
      </c>
      <c r="AE120">
        <f t="shared" si="33"/>
        <v>0</v>
      </c>
      <c r="AF120" s="5">
        <f t="shared" si="50"/>
        <v>45395</v>
      </c>
      <c r="AG120" s="6"/>
      <c r="AH120" s="6"/>
      <c r="AI120" s="6"/>
      <c r="AJ120" s="6">
        <f t="shared" si="43"/>
        <v>0</v>
      </c>
      <c r="AK120">
        <f t="shared" si="34"/>
        <v>0</v>
      </c>
      <c r="AL120" s="5">
        <f t="shared" si="51"/>
        <v>45761</v>
      </c>
      <c r="AM120" s="6"/>
      <c r="AN120" s="6"/>
      <c r="AO120" s="6"/>
      <c r="AP120" s="6">
        <f t="shared" si="44"/>
        <v>0</v>
      </c>
      <c r="AQ120">
        <f t="shared" si="35"/>
        <v>0</v>
      </c>
    </row>
    <row r="121" spans="1:43" x14ac:dyDescent="0.3">
      <c r="A121" s="5">
        <f t="shared" si="45"/>
        <v>43570</v>
      </c>
      <c r="B121" s="6">
        <v>260.77246700000762</v>
      </c>
      <c r="C121" s="6">
        <v>47.047380000000821</v>
      </c>
      <c r="D121" s="6">
        <v>21.594000000000001</v>
      </c>
      <c r="E121" s="6">
        <f t="shared" si="39"/>
        <v>329.41384700000845</v>
      </c>
      <c r="F121">
        <f t="shared" si="36"/>
        <v>0</v>
      </c>
      <c r="G121" s="5">
        <f t="shared" si="46"/>
        <v>43935</v>
      </c>
      <c r="H121" s="6">
        <v>204.20513719999789</v>
      </c>
      <c r="I121" s="6">
        <v>44.346208799999211</v>
      </c>
      <c r="J121" s="6">
        <v>23.763999999999999</v>
      </c>
      <c r="K121" s="6">
        <f t="shared" si="40"/>
        <v>272.31534599999708</v>
      </c>
      <c r="L121">
        <f t="shared" si="37"/>
        <v>0</v>
      </c>
      <c r="M121" s="5">
        <f t="shared" si="47"/>
        <v>44301</v>
      </c>
      <c r="N121" s="6">
        <v>258.93443900001051</v>
      </c>
      <c r="O121" s="6">
        <v>51.306515699997547</v>
      </c>
      <c r="P121" s="6">
        <v>24.901658400000191</v>
      </c>
      <c r="Q121" s="6">
        <f t="shared" si="38"/>
        <v>335.14261310000825</v>
      </c>
      <c r="R121">
        <f t="shared" si="31"/>
        <v>0</v>
      </c>
      <c r="S121" s="5">
        <f t="shared" si="48"/>
        <v>44666</v>
      </c>
      <c r="T121" s="6">
        <v>224.74482169997691</v>
      </c>
      <c r="U121" s="6">
        <v>45.339043900005521</v>
      </c>
      <c r="V121" s="6">
        <v>16.062893599999835</v>
      </c>
      <c r="W121" s="6">
        <f t="shared" si="41"/>
        <v>286.14675919998228</v>
      </c>
      <c r="X121">
        <f t="shared" si="32"/>
        <v>0</v>
      </c>
      <c r="Z121" s="5">
        <f t="shared" si="49"/>
        <v>44666</v>
      </c>
      <c r="AA121" s="6">
        <v>251.69692359995841</v>
      </c>
      <c r="AB121" s="6">
        <v>54.227800899997355</v>
      </c>
      <c r="AC121" s="6">
        <v>24.825853799998296</v>
      </c>
      <c r="AD121" s="6">
        <f t="shared" si="42"/>
        <v>330.75057829995404</v>
      </c>
      <c r="AE121">
        <f t="shared" si="33"/>
        <v>0</v>
      </c>
      <c r="AF121" s="5">
        <f t="shared" si="50"/>
        <v>45396</v>
      </c>
      <c r="AG121" s="6"/>
      <c r="AH121" s="6"/>
      <c r="AI121" s="6"/>
      <c r="AJ121" s="6">
        <f t="shared" si="43"/>
        <v>0</v>
      </c>
      <c r="AK121">
        <f t="shared" si="34"/>
        <v>0</v>
      </c>
      <c r="AL121" s="5">
        <f t="shared" si="51"/>
        <v>45762</v>
      </c>
      <c r="AM121" s="6"/>
      <c r="AN121" s="6"/>
      <c r="AO121" s="6"/>
      <c r="AP121" s="6">
        <f t="shared" si="44"/>
        <v>0</v>
      </c>
      <c r="AQ121">
        <f t="shared" si="35"/>
        <v>0</v>
      </c>
    </row>
    <row r="122" spans="1:43" x14ac:dyDescent="0.3">
      <c r="A122" s="5">
        <f t="shared" si="45"/>
        <v>43571</v>
      </c>
      <c r="B122" s="6">
        <v>264.54858450001478</v>
      </c>
      <c r="C122" s="6">
        <v>46.322809999998661</v>
      </c>
      <c r="D122" s="6">
        <v>22.05</v>
      </c>
      <c r="E122" s="6">
        <f t="shared" si="39"/>
        <v>332.92139450001343</v>
      </c>
      <c r="F122">
        <f t="shared" si="36"/>
        <v>0</v>
      </c>
      <c r="G122" s="5">
        <f t="shared" si="46"/>
        <v>43936</v>
      </c>
      <c r="H122" s="6">
        <v>206.69672310006618</v>
      </c>
      <c r="I122" s="6">
        <v>46.520053100001064</v>
      </c>
      <c r="J122" s="6">
        <v>23.111900000000002</v>
      </c>
      <c r="K122" s="6">
        <f t="shared" si="40"/>
        <v>276.32867620006726</v>
      </c>
      <c r="L122">
        <f t="shared" si="37"/>
        <v>0</v>
      </c>
      <c r="M122" s="5">
        <f t="shared" si="47"/>
        <v>44302</v>
      </c>
      <c r="N122" s="6">
        <v>244.06583169996739</v>
      </c>
      <c r="O122" s="6">
        <v>48.047953800000251</v>
      </c>
      <c r="P122" s="6">
        <v>24.967633100001724</v>
      </c>
      <c r="Q122" s="6">
        <f t="shared" si="38"/>
        <v>317.08141859996937</v>
      </c>
      <c r="R122">
        <f t="shared" si="31"/>
        <v>0</v>
      </c>
      <c r="S122" s="5">
        <f t="shared" si="48"/>
        <v>44667</v>
      </c>
      <c r="T122" s="6">
        <v>244.95396840000151</v>
      </c>
      <c r="U122" s="6">
        <v>43.419977600000799</v>
      </c>
      <c r="V122" s="6">
        <v>16.002858699999983</v>
      </c>
      <c r="W122" s="6">
        <f t="shared" si="41"/>
        <v>304.37680470000231</v>
      </c>
      <c r="X122">
        <f t="shared" si="32"/>
        <v>0</v>
      </c>
      <c r="Z122" s="5">
        <f t="shared" si="49"/>
        <v>44667</v>
      </c>
      <c r="AA122" s="6">
        <v>220.33264160001278</v>
      </c>
      <c r="AB122" s="6">
        <v>49.107623099997639</v>
      </c>
      <c r="AC122" s="6">
        <v>19.590241500000005</v>
      </c>
      <c r="AD122" s="6">
        <f t="shared" si="42"/>
        <v>289.03050620001039</v>
      </c>
      <c r="AE122">
        <f t="shared" si="33"/>
        <v>0</v>
      </c>
      <c r="AF122" s="5">
        <f t="shared" si="50"/>
        <v>45397</v>
      </c>
      <c r="AG122" s="6"/>
      <c r="AH122" s="6"/>
      <c r="AI122" s="6"/>
      <c r="AJ122" s="6">
        <f t="shared" si="43"/>
        <v>0</v>
      </c>
      <c r="AK122">
        <f t="shared" si="34"/>
        <v>0</v>
      </c>
      <c r="AL122" s="5">
        <f t="shared" si="51"/>
        <v>45763</v>
      </c>
      <c r="AM122" s="6"/>
      <c r="AN122" s="6"/>
      <c r="AO122" s="6"/>
      <c r="AP122" s="6">
        <f t="shared" si="44"/>
        <v>0</v>
      </c>
      <c r="AQ122">
        <f t="shared" si="35"/>
        <v>0</v>
      </c>
    </row>
    <row r="123" spans="1:43" x14ac:dyDescent="0.3">
      <c r="A123" s="5">
        <f t="shared" si="45"/>
        <v>43572</v>
      </c>
      <c r="B123" s="6">
        <v>294.28837430000306</v>
      </c>
      <c r="C123" s="6">
        <v>45.820970000000671</v>
      </c>
      <c r="D123" s="6">
        <v>21.462</v>
      </c>
      <c r="E123" s="6">
        <f t="shared" si="39"/>
        <v>361.57134430000372</v>
      </c>
      <c r="F123">
        <f t="shared" si="36"/>
        <v>0</v>
      </c>
      <c r="G123" s="5">
        <f t="shared" si="46"/>
        <v>43937</v>
      </c>
      <c r="H123" s="6">
        <v>206.45106120002271</v>
      </c>
      <c r="I123" s="6">
        <v>46.451278599999846</v>
      </c>
      <c r="J123" s="6">
        <v>25.193999999999999</v>
      </c>
      <c r="K123" s="6">
        <f t="shared" si="40"/>
        <v>278.09633980002258</v>
      </c>
      <c r="L123">
        <f t="shared" si="37"/>
        <v>0</v>
      </c>
      <c r="M123" s="5">
        <f t="shared" si="47"/>
        <v>44303</v>
      </c>
      <c r="N123" s="6">
        <v>242.63225999999045</v>
      </c>
      <c r="O123" s="6">
        <v>46.882430500000716</v>
      </c>
      <c r="P123" s="6">
        <v>25.768232999999427</v>
      </c>
      <c r="Q123" s="6">
        <f t="shared" si="38"/>
        <v>315.2829234999906</v>
      </c>
      <c r="R123">
        <f t="shared" si="31"/>
        <v>0</v>
      </c>
      <c r="S123" s="5">
        <f t="shared" si="48"/>
        <v>44668</v>
      </c>
      <c r="T123" s="6">
        <v>236.60632680010795</v>
      </c>
      <c r="U123" s="6">
        <v>44.954795299999418</v>
      </c>
      <c r="V123" s="6">
        <v>16.435297599999931</v>
      </c>
      <c r="W123" s="6">
        <f t="shared" si="41"/>
        <v>297.99641970010731</v>
      </c>
      <c r="X123">
        <f t="shared" si="32"/>
        <v>0</v>
      </c>
      <c r="Z123" s="5">
        <f t="shared" si="49"/>
        <v>44668</v>
      </c>
      <c r="AA123" s="6">
        <v>272.51701820003984</v>
      </c>
      <c r="AB123" s="6">
        <v>62.814453199997544</v>
      </c>
      <c r="AC123" s="6">
        <v>25.938292400000616</v>
      </c>
      <c r="AD123" s="6">
        <f t="shared" si="42"/>
        <v>361.26976380003799</v>
      </c>
      <c r="AE123">
        <f t="shared" si="33"/>
        <v>0</v>
      </c>
      <c r="AF123" s="5">
        <f t="shared" si="50"/>
        <v>45398</v>
      </c>
      <c r="AG123" s="6"/>
      <c r="AH123" s="6"/>
      <c r="AI123" s="6"/>
      <c r="AJ123" s="6">
        <f t="shared" si="43"/>
        <v>0</v>
      </c>
      <c r="AK123">
        <f t="shared" si="34"/>
        <v>0</v>
      </c>
      <c r="AL123" s="5">
        <f t="shared" si="51"/>
        <v>45764</v>
      </c>
      <c r="AM123" s="6"/>
      <c r="AN123" s="6"/>
      <c r="AO123" s="6"/>
      <c r="AP123" s="6">
        <f t="shared" si="44"/>
        <v>0</v>
      </c>
      <c r="AQ123">
        <f t="shared" si="35"/>
        <v>0</v>
      </c>
    </row>
    <row r="124" spans="1:43" x14ac:dyDescent="0.3">
      <c r="A124" s="5">
        <f t="shared" si="45"/>
        <v>43573</v>
      </c>
      <c r="B124" s="6">
        <v>265.18003469997643</v>
      </c>
      <c r="C124" s="6">
        <v>43.353640000000595</v>
      </c>
      <c r="D124" s="6">
        <v>23.058</v>
      </c>
      <c r="E124" s="6">
        <f t="shared" si="39"/>
        <v>331.59167469997703</v>
      </c>
      <c r="F124">
        <f t="shared" si="36"/>
        <v>0</v>
      </c>
      <c r="G124" s="5">
        <f t="shared" si="46"/>
        <v>43938</v>
      </c>
      <c r="H124" s="6">
        <v>204.97120499992371</v>
      </c>
      <c r="I124" s="6">
        <v>45.748896699998525</v>
      </c>
      <c r="J124" s="6">
        <v>24.366</v>
      </c>
      <c r="K124" s="6">
        <f t="shared" si="40"/>
        <v>275.08610169992221</v>
      </c>
      <c r="L124">
        <f t="shared" si="37"/>
        <v>0</v>
      </c>
      <c r="M124" s="5">
        <f t="shared" si="47"/>
        <v>44304</v>
      </c>
      <c r="N124" s="6">
        <v>231.44986849999427</v>
      </c>
      <c r="O124" s="6">
        <v>41.380634199999271</v>
      </c>
      <c r="P124" s="6">
        <v>22.717550700001652</v>
      </c>
      <c r="Q124" s="6">
        <f t="shared" si="38"/>
        <v>295.54805339999518</v>
      </c>
      <c r="R124">
        <f t="shared" si="31"/>
        <v>0</v>
      </c>
      <c r="S124" s="5">
        <f t="shared" si="48"/>
        <v>44669</v>
      </c>
      <c r="T124" s="6">
        <v>278.38674109995367</v>
      </c>
      <c r="U124" s="6">
        <v>55.462213399998845</v>
      </c>
      <c r="V124" s="6">
        <v>18.145367900000188</v>
      </c>
      <c r="W124" s="6">
        <f t="shared" si="41"/>
        <v>351.99432239995269</v>
      </c>
      <c r="X124">
        <f t="shared" si="32"/>
        <v>0</v>
      </c>
      <c r="Z124" s="5">
        <f t="shared" si="49"/>
        <v>44669</v>
      </c>
      <c r="AA124" s="6">
        <v>254.37700189995766</v>
      </c>
      <c r="AB124" s="6">
        <v>62.398887900009754</v>
      </c>
      <c r="AC124" s="6">
        <v>25.24412070000032</v>
      </c>
      <c r="AD124" s="6">
        <f t="shared" si="42"/>
        <v>342.02001049996778</v>
      </c>
      <c r="AE124">
        <f t="shared" si="33"/>
        <v>0</v>
      </c>
      <c r="AF124" s="5">
        <f t="shared" si="50"/>
        <v>45399</v>
      </c>
      <c r="AG124" s="6"/>
      <c r="AH124" s="6"/>
      <c r="AI124" s="6"/>
      <c r="AJ124" s="6">
        <f t="shared" si="43"/>
        <v>0</v>
      </c>
      <c r="AK124">
        <f t="shared" si="34"/>
        <v>0</v>
      </c>
      <c r="AL124" s="5">
        <f t="shared" si="51"/>
        <v>45765</v>
      </c>
      <c r="AM124" s="6"/>
      <c r="AN124" s="6"/>
      <c r="AO124" s="6"/>
      <c r="AP124" s="6">
        <f t="shared" si="44"/>
        <v>0</v>
      </c>
      <c r="AQ124">
        <f t="shared" si="35"/>
        <v>0</v>
      </c>
    </row>
    <row r="125" spans="1:43" x14ac:dyDescent="0.3">
      <c r="A125" s="5">
        <f t="shared" si="45"/>
        <v>43574</v>
      </c>
      <c r="B125" s="6">
        <v>221.56842479997874</v>
      </c>
      <c r="C125" s="6">
        <v>38.66290000000037</v>
      </c>
      <c r="D125" s="6">
        <v>16.681999999999999</v>
      </c>
      <c r="E125" s="6">
        <f t="shared" si="39"/>
        <v>276.91332479997914</v>
      </c>
      <c r="F125">
        <f t="shared" si="36"/>
        <v>0</v>
      </c>
      <c r="G125" s="5">
        <f t="shared" si="46"/>
        <v>43939</v>
      </c>
      <c r="H125" s="6">
        <v>194.75291940009595</v>
      </c>
      <c r="I125" s="6">
        <v>44.331826000001278</v>
      </c>
      <c r="J125" s="6">
        <v>23.812999999999999</v>
      </c>
      <c r="K125" s="6">
        <f t="shared" si="40"/>
        <v>262.89774540009722</v>
      </c>
      <c r="L125">
        <f t="shared" si="37"/>
        <v>0</v>
      </c>
      <c r="M125" s="5">
        <f t="shared" si="47"/>
        <v>44305</v>
      </c>
      <c r="N125" s="6">
        <v>266.51543410003183</v>
      </c>
      <c r="O125" s="6">
        <v>53.743623199999334</v>
      </c>
      <c r="P125" s="6">
        <v>26.197180900001083</v>
      </c>
      <c r="Q125" s="6">
        <f t="shared" si="38"/>
        <v>346.4562382000322</v>
      </c>
      <c r="R125">
        <f t="shared" si="31"/>
        <v>0</v>
      </c>
      <c r="S125" s="5">
        <f t="shared" si="48"/>
        <v>44670</v>
      </c>
      <c r="T125" s="6">
        <v>273.94926179993155</v>
      </c>
      <c r="U125" s="6">
        <v>57.011110799998043</v>
      </c>
      <c r="V125" s="6">
        <v>18.894733800000047</v>
      </c>
      <c r="W125" s="6">
        <f t="shared" si="41"/>
        <v>349.85510639992964</v>
      </c>
      <c r="X125">
        <f t="shared" si="32"/>
        <v>0</v>
      </c>
      <c r="Z125" s="5">
        <f t="shared" si="49"/>
        <v>44670</v>
      </c>
      <c r="AA125" s="6">
        <v>251.97000559997559</v>
      </c>
      <c r="AB125" s="6">
        <v>63.057028599992393</v>
      </c>
      <c r="AC125" s="6">
        <v>25.82981310000131</v>
      </c>
      <c r="AD125" s="6">
        <f t="shared" si="42"/>
        <v>340.85684729996933</v>
      </c>
      <c r="AE125">
        <f t="shared" si="33"/>
        <v>0</v>
      </c>
      <c r="AF125" s="5">
        <f t="shared" si="50"/>
        <v>45400</v>
      </c>
      <c r="AG125" s="6"/>
      <c r="AH125" s="6"/>
      <c r="AI125" s="6"/>
      <c r="AJ125" s="6">
        <f t="shared" si="43"/>
        <v>0</v>
      </c>
      <c r="AK125">
        <f t="shared" si="34"/>
        <v>0</v>
      </c>
      <c r="AL125" s="5">
        <f t="shared" si="51"/>
        <v>45766</v>
      </c>
      <c r="AM125" s="6"/>
      <c r="AN125" s="6"/>
      <c r="AO125" s="6"/>
      <c r="AP125" s="6">
        <f t="shared" si="44"/>
        <v>0</v>
      </c>
      <c r="AQ125">
        <f t="shared" si="35"/>
        <v>0</v>
      </c>
    </row>
    <row r="126" spans="1:43" x14ac:dyDescent="0.3">
      <c r="A126" s="5">
        <f t="shared" si="45"/>
        <v>43575</v>
      </c>
      <c r="B126" s="6">
        <v>225.95628010004759</v>
      </c>
      <c r="C126" s="6">
        <v>40.529259999999773</v>
      </c>
      <c r="D126" s="6">
        <v>15.597</v>
      </c>
      <c r="E126" s="6">
        <f t="shared" si="39"/>
        <v>282.08254010004737</v>
      </c>
      <c r="F126">
        <f t="shared" si="36"/>
        <v>0</v>
      </c>
      <c r="G126" s="5">
        <f t="shared" si="46"/>
        <v>43940</v>
      </c>
      <c r="H126" s="6">
        <v>186.26550429999827</v>
      </c>
      <c r="I126" s="6">
        <v>38.989940200001001</v>
      </c>
      <c r="J126" s="6">
        <v>18.321000000000002</v>
      </c>
      <c r="K126" s="6">
        <f t="shared" si="40"/>
        <v>243.57644449999927</v>
      </c>
      <c r="L126">
        <f t="shared" si="37"/>
        <v>0</v>
      </c>
      <c r="M126" s="5">
        <f t="shared" si="47"/>
        <v>44306</v>
      </c>
      <c r="N126" s="6">
        <v>249.77475699996947</v>
      </c>
      <c r="O126" s="6">
        <v>55.541090099997817</v>
      </c>
      <c r="P126" s="6">
        <v>26.110816200000116</v>
      </c>
      <c r="Q126" s="6">
        <f t="shared" si="38"/>
        <v>331.4266632999674</v>
      </c>
      <c r="R126">
        <f t="shared" si="31"/>
        <v>0</v>
      </c>
      <c r="S126" s="5">
        <f t="shared" si="48"/>
        <v>44671</v>
      </c>
      <c r="T126" s="6">
        <v>262.73928790009023</v>
      </c>
      <c r="U126" s="6">
        <v>54.720949799999595</v>
      </c>
      <c r="V126" s="6">
        <v>19.180272099999712</v>
      </c>
      <c r="W126" s="6">
        <f t="shared" si="41"/>
        <v>336.64050980008949</v>
      </c>
      <c r="X126">
        <f t="shared" si="32"/>
        <v>0</v>
      </c>
      <c r="Z126" s="5">
        <f t="shared" si="49"/>
        <v>44671</v>
      </c>
      <c r="AA126" s="6">
        <v>306.3613423000574</v>
      </c>
      <c r="AB126" s="6">
        <v>59.797942100003361</v>
      </c>
      <c r="AC126" s="6">
        <v>25.237919699999971</v>
      </c>
      <c r="AD126" s="6">
        <f t="shared" si="42"/>
        <v>391.39720410006072</v>
      </c>
      <c r="AE126">
        <f t="shared" si="33"/>
        <v>0</v>
      </c>
      <c r="AF126" s="5">
        <f t="shared" si="50"/>
        <v>45401</v>
      </c>
      <c r="AG126" s="6"/>
      <c r="AH126" s="6"/>
      <c r="AI126" s="6"/>
      <c r="AJ126" s="6">
        <f t="shared" si="43"/>
        <v>0</v>
      </c>
      <c r="AK126">
        <f t="shared" si="34"/>
        <v>0</v>
      </c>
      <c r="AL126" s="5">
        <f t="shared" si="51"/>
        <v>45767</v>
      </c>
      <c r="AM126" s="6"/>
      <c r="AN126" s="6"/>
      <c r="AO126" s="6"/>
      <c r="AP126" s="6">
        <f t="shared" si="44"/>
        <v>0</v>
      </c>
      <c r="AQ126">
        <f t="shared" si="35"/>
        <v>0</v>
      </c>
    </row>
    <row r="127" spans="1:43" x14ac:dyDescent="0.3">
      <c r="A127" s="5">
        <f t="shared" si="45"/>
        <v>43576</v>
      </c>
      <c r="B127" s="6">
        <v>241.1552460999489</v>
      </c>
      <c r="C127" s="6">
        <v>38.362859999999401</v>
      </c>
      <c r="D127" s="6">
        <v>16.079999999999998</v>
      </c>
      <c r="E127" s="6">
        <f t="shared" si="39"/>
        <v>295.59810609994827</v>
      </c>
      <c r="F127">
        <f t="shared" si="36"/>
        <v>0</v>
      </c>
      <c r="G127" s="5">
        <f t="shared" si="46"/>
        <v>43941</v>
      </c>
      <c r="H127" s="6">
        <v>201.05756689989568</v>
      </c>
      <c r="I127" s="6">
        <v>47.635611199997363</v>
      </c>
      <c r="J127" s="6">
        <v>24.279</v>
      </c>
      <c r="K127" s="6">
        <f t="shared" si="40"/>
        <v>272.97217809989303</v>
      </c>
      <c r="L127">
        <f t="shared" si="37"/>
        <v>0</v>
      </c>
      <c r="M127" s="5">
        <f t="shared" si="47"/>
        <v>44307</v>
      </c>
      <c r="N127" s="6">
        <v>275.16355700004101</v>
      </c>
      <c r="O127" s="6">
        <v>58.021526100002227</v>
      </c>
      <c r="P127" s="6">
        <v>26.065955699994579</v>
      </c>
      <c r="Q127" s="6">
        <f t="shared" si="38"/>
        <v>359.2510388000378</v>
      </c>
      <c r="R127">
        <f t="shared" si="31"/>
        <v>0</v>
      </c>
      <c r="S127" s="5">
        <f t="shared" si="48"/>
        <v>44672</v>
      </c>
      <c r="T127" s="6">
        <v>275.19311140000821</v>
      </c>
      <c r="U127" s="6">
        <v>56.469126699998974</v>
      </c>
      <c r="V127" s="6">
        <v>19.582882700000191</v>
      </c>
      <c r="W127" s="6">
        <f t="shared" si="41"/>
        <v>351.24512080000738</v>
      </c>
      <c r="X127">
        <f t="shared" si="32"/>
        <v>0</v>
      </c>
      <c r="Z127" s="5">
        <f t="shared" si="49"/>
        <v>44672</v>
      </c>
      <c r="AA127" s="6">
        <v>250.34706459999086</v>
      </c>
      <c r="AB127" s="6">
        <v>60.023169699996707</v>
      </c>
      <c r="AC127" s="6">
        <v>24.895411499998531</v>
      </c>
      <c r="AD127" s="6">
        <f t="shared" si="42"/>
        <v>335.26564579998609</v>
      </c>
      <c r="AE127">
        <f t="shared" si="33"/>
        <v>0</v>
      </c>
      <c r="AF127" s="5">
        <f t="shared" si="50"/>
        <v>45402</v>
      </c>
      <c r="AG127" s="6"/>
      <c r="AH127" s="6"/>
      <c r="AI127" s="6"/>
      <c r="AJ127" s="6">
        <f t="shared" si="43"/>
        <v>0</v>
      </c>
      <c r="AK127">
        <f t="shared" si="34"/>
        <v>0</v>
      </c>
      <c r="AL127" s="5">
        <f t="shared" si="51"/>
        <v>45768</v>
      </c>
      <c r="AM127" s="6"/>
      <c r="AN127" s="6"/>
      <c r="AO127" s="6"/>
      <c r="AP127" s="6">
        <f t="shared" si="44"/>
        <v>0</v>
      </c>
      <c r="AQ127">
        <f t="shared" si="35"/>
        <v>0</v>
      </c>
    </row>
    <row r="128" spans="1:43" x14ac:dyDescent="0.3">
      <c r="A128" s="5">
        <f t="shared" si="45"/>
        <v>43577</v>
      </c>
      <c r="B128" s="6">
        <v>311.03939689999817</v>
      </c>
      <c r="C128" s="6">
        <v>45.769210000000896</v>
      </c>
      <c r="D128" s="6">
        <v>21.260999999999999</v>
      </c>
      <c r="E128" s="6">
        <f t="shared" si="39"/>
        <v>378.06960689999909</v>
      </c>
      <c r="F128">
        <f t="shared" si="36"/>
        <v>0</v>
      </c>
      <c r="G128" s="5">
        <f t="shared" si="46"/>
        <v>43942</v>
      </c>
      <c r="H128" s="6">
        <v>201.9103560000658</v>
      </c>
      <c r="I128" s="6">
        <v>46.503556500002745</v>
      </c>
      <c r="J128" s="6">
        <v>23.963000000000001</v>
      </c>
      <c r="K128" s="6">
        <f t="shared" si="40"/>
        <v>272.37691250006856</v>
      </c>
      <c r="L128">
        <f t="shared" si="37"/>
        <v>0</v>
      </c>
      <c r="M128" s="5">
        <f t="shared" si="47"/>
        <v>44308</v>
      </c>
      <c r="N128" s="6">
        <v>275.31008819997311</v>
      </c>
      <c r="O128" s="6">
        <v>56.470882899999616</v>
      </c>
      <c r="P128" s="6">
        <v>27.421003899998961</v>
      </c>
      <c r="Q128" s="6">
        <f t="shared" si="38"/>
        <v>359.20197499997164</v>
      </c>
      <c r="R128">
        <f t="shared" si="31"/>
        <v>0</v>
      </c>
      <c r="S128" s="5">
        <f t="shared" si="48"/>
        <v>44673</v>
      </c>
      <c r="T128" s="6">
        <v>290.57820499992368</v>
      </c>
      <c r="U128" s="6">
        <v>56.453467900000511</v>
      </c>
      <c r="V128" s="6">
        <v>19.096422899999656</v>
      </c>
      <c r="W128" s="6">
        <f t="shared" si="41"/>
        <v>366.12809579992387</v>
      </c>
      <c r="X128">
        <f t="shared" si="32"/>
        <v>0</v>
      </c>
      <c r="Z128" s="5">
        <f t="shared" si="49"/>
        <v>44673</v>
      </c>
      <c r="AA128" s="6">
        <v>250.59177559995652</v>
      </c>
      <c r="AB128" s="6">
        <v>56.376592999994756</v>
      </c>
      <c r="AC128" s="6">
        <v>23.920103800001087</v>
      </c>
      <c r="AD128" s="6">
        <f t="shared" si="42"/>
        <v>330.88847239995238</v>
      </c>
      <c r="AE128">
        <f t="shared" si="33"/>
        <v>0</v>
      </c>
      <c r="AF128" s="5">
        <f t="shared" si="50"/>
        <v>45403</v>
      </c>
      <c r="AG128" s="6"/>
      <c r="AH128" s="6"/>
      <c r="AI128" s="6"/>
      <c r="AJ128" s="6">
        <f t="shared" si="43"/>
        <v>0</v>
      </c>
      <c r="AK128">
        <f t="shared" si="34"/>
        <v>0</v>
      </c>
      <c r="AL128" s="5">
        <f t="shared" si="51"/>
        <v>45769</v>
      </c>
      <c r="AM128" s="6"/>
      <c r="AN128" s="6"/>
      <c r="AO128" s="6"/>
      <c r="AP128" s="6">
        <f t="shared" si="44"/>
        <v>0</v>
      </c>
      <c r="AQ128">
        <f t="shared" si="35"/>
        <v>0</v>
      </c>
    </row>
    <row r="129" spans="1:43" x14ac:dyDescent="0.3">
      <c r="A129" s="5">
        <f t="shared" si="45"/>
        <v>43578</v>
      </c>
      <c r="B129" s="6">
        <v>318.13451039999723</v>
      </c>
      <c r="C129" s="6">
        <v>46.784029999999326</v>
      </c>
      <c r="D129" s="6">
        <v>22.361999999999998</v>
      </c>
      <c r="E129" s="6">
        <f t="shared" si="39"/>
        <v>387.2805403999966</v>
      </c>
      <c r="F129">
        <f t="shared" si="36"/>
        <v>0</v>
      </c>
      <c r="G129" s="5">
        <f t="shared" si="46"/>
        <v>43943</v>
      </c>
      <c r="H129" s="6">
        <v>205.62680719995498</v>
      </c>
      <c r="I129" s="6">
        <v>45.452195899996909</v>
      </c>
      <c r="J129" s="6">
        <v>23.809000000000001</v>
      </c>
      <c r="K129" s="6">
        <f t="shared" si="40"/>
        <v>274.8880030999519</v>
      </c>
      <c r="L129">
        <f t="shared" si="37"/>
        <v>0</v>
      </c>
      <c r="M129" s="5">
        <f t="shared" si="47"/>
        <v>44309</v>
      </c>
      <c r="N129" s="6">
        <v>279.05027579998972</v>
      </c>
      <c r="O129" s="6">
        <v>57.259662000000475</v>
      </c>
      <c r="P129" s="6">
        <v>27.362341800000053</v>
      </c>
      <c r="Q129" s="6">
        <f t="shared" si="38"/>
        <v>363.67227959999025</v>
      </c>
      <c r="R129">
        <f t="shared" si="31"/>
        <v>0</v>
      </c>
      <c r="S129" s="5">
        <f t="shared" si="48"/>
        <v>44674</v>
      </c>
      <c r="T129" s="6">
        <v>261.95872259998322</v>
      </c>
      <c r="U129" s="6">
        <v>55.839265799999239</v>
      </c>
      <c r="V129" s="6">
        <v>18.073801200000105</v>
      </c>
      <c r="W129" s="6">
        <f t="shared" si="41"/>
        <v>335.87178959998255</v>
      </c>
      <c r="X129">
        <f t="shared" si="32"/>
        <v>0</v>
      </c>
      <c r="Z129" s="5">
        <f t="shared" si="49"/>
        <v>44674</v>
      </c>
      <c r="AA129" s="6">
        <v>246.94034909999371</v>
      </c>
      <c r="AB129" s="6">
        <v>52.463966700002551</v>
      </c>
      <c r="AC129" s="6">
        <v>18.404292199998164</v>
      </c>
      <c r="AD129" s="6">
        <f t="shared" si="42"/>
        <v>317.80860799999442</v>
      </c>
      <c r="AE129">
        <f t="shared" si="33"/>
        <v>0</v>
      </c>
      <c r="AF129" s="5">
        <f t="shared" si="50"/>
        <v>45404</v>
      </c>
      <c r="AG129" s="6"/>
      <c r="AH129" s="6"/>
      <c r="AI129" s="6"/>
      <c r="AJ129" s="6">
        <f t="shared" si="43"/>
        <v>0</v>
      </c>
      <c r="AK129">
        <f t="shared" si="34"/>
        <v>0</v>
      </c>
      <c r="AL129" s="5">
        <f t="shared" si="51"/>
        <v>45770</v>
      </c>
      <c r="AM129" s="6"/>
      <c r="AN129" s="6"/>
      <c r="AO129" s="6"/>
      <c r="AP129" s="6">
        <f t="shared" si="44"/>
        <v>0</v>
      </c>
      <c r="AQ129">
        <f t="shared" si="35"/>
        <v>0</v>
      </c>
    </row>
    <row r="130" spans="1:43" x14ac:dyDescent="0.3">
      <c r="A130" s="5">
        <f t="shared" si="45"/>
        <v>43579</v>
      </c>
      <c r="B130" s="6">
        <v>313.12138850003481</v>
      </c>
      <c r="C130" s="6">
        <v>44.235419999999927</v>
      </c>
      <c r="D130" s="6">
        <v>21.931999999999999</v>
      </c>
      <c r="E130" s="6">
        <f t="shared" si="39"/>
        <v>379.28880850003475</v>
      </c>
      <c r="F130">
        <f t="shared" si="36"/>
        <v>0</v>
      </c>
      <c r="G130" s="5">
        <f t="shared" si="46"/>
        <v>43944</v>
      </c>
      <c r="H130" s="6">
        <v>208.01828700006007</v>
      </c>
      <c r="I130" s="6">
        <v>45.612814000003041</v>
      </c>
      <c r="J130" s="6">
        <v>23.5044</v>
      </c>
      <c r="K130" s="6">
        <f t="shared" si="40"/>
        <v>277.13550100006307</v>
      </c>
      <c r="L130">
        <f t="shared" si="37"/>
        <v>0</v>
      </c>
      <c r="M130" s="5">
        <f t="shared" si="47"/>
        <v>44310</v>
      </c>
      <c r="N130" s="6">
        <v>247.68784099996091</v>
      </c>
      <c r="O130" s="6">
        <v>55.563149400003255</v>
      </c>
      <c r="P130" s="6">
        <v>26.556673200007761</v>
      </c>
      <c r="Q130" s="6">
        <f t="shared" si="38"/>
        <v>329.80766359997193</v>
      </c>
      <c r="R130">
        <f t="shared" si="31"/>
        <v>0</v>
      </c>
      <c r="S130" s="5">
        <f t="shared" si="48"/>
        <v>44675</v>
      </c>
      <c r="T130" s="6">
        <v>257.88656400001048</v>
      </c>
      <c r="U130" s="6">
        <v>51.783656700000165</v>
      </c>
      <c r="V130" s="6">
        <v>16.388084200000158</v>
      </c>
      <c r="W130" s="6">
        <f t="shared" si="41"/>
        <v>326.0583049000108</v>
      </c>
      <c r="X130">
        <f t="shared" si="32"/>
        <v>0</v>
      </c>
      <c r="Z130" s="5">
        <f t="shared" si="49"/>
        <v>44675</v>
      </c>
      <c r="AA130" s="6">
        <v>328.0571930000782</v>
      </c>
      <c r="AB130" s="6">
        <v>61.637640500009063</v>
      </c>
      <c r="AC130" s="6">
        <v>24.343187299999872</v>
      </c>
      <c r="AD130" s="6">
        <f t="shared" si="42"/>
        <v>414.03802080008717</v>
      </c>
      <c r="AE130">
        <f t="shared" si="33"/>
        <v>0</v>
      </c>
      <c r="AF130" s="5">
        <f t="shared" si="50"/>
        <v>45405</v>
      </c>
      <c r="AG130" s="6"/>
      <c r="AH130" s="6"/>
      <c r="AI130" s="6"/>
      <c r="AJ130" s="6">
        <f t="shared" si="43"/>
        <v>0</v>
      </c>
      <c r="AK130">
        <f t="shared" si="34"/>
        <v>0</v>
      </c>
      <c r="AL130" s="5">
        <f t="shared" si="51"/>
        <v>45771</v>
      </c>
      <c r="AM130" s="6"/>
      <c r="AN130" s="6"/>
      <c r="AO130" s="6"/>
      <c r="AP130" s="6">
        <f t="shared" si="44"/>
        <v>0</v>
      </c>
      <c r="AQ130">
        <f t="shared" si="35"/>
        <v>0</v>
      </c>
    </row>
    <row r="131" spans="1:43" x14ac:dyDescent="0.3">
      <c r="A131" s="5">
        <f t="shared" si="45"/>
        <v>43580</v>
      </c>
      <c r="B131" s="6">
        <v>329.83737839996815</v>
      </c>
      <c r="C131" s="6">
        <v>45.597740000000222</v>
      </c>
      <c r="D131" s="6">
        <v>22.620999999999999</v>
      </c>
      <c r="E131" s="6">
        <f t="shared" si="39"/>
        <v>398.05611839996834</v>
      </c>
      <c r="F131">
        <f t="shared" si="36"/>
        <v>0</v>
      </c>
      <c r="G131" s="5">
        <f t="shared" si="46"/>
        <v>43945</v>
      </c>
      <c r="H131" s="6">
        <v>211.16833159995079</v>
      </c>
      <c r="I131" s="6">
        <v>44.758643999997524</v>
      </c>
      <c r="J131" s="6">
        <v>24.424499999999998</v>
      </c>
      <c r="K131" s="6">
        <f t="shared" si="40"/>
        <v>280.35147559994834</v>
      </c>
      <c r="L131">
        <f t="shared" si="37"/>
        <v>0</v>
      </c>
      <c r="M131" s="5">
        <f t="shared" si="47"/>
        <v>44311</v>
      </c>
      <c r="N131" s="6">
        <v>217.58726359999179</v>
      </c>
      <c r="O131" s="6">
        <v>48.011366399995985</v>
      </c>
      <c r="P131" s="6">
        <v>21.057666799994301</v>
      </c>
      <c r="Q131" s="6">
        <f t="shared" si="38"/>
        <v>286.6562967999821</v>
      </c>
      <c r="R131">
        <f t="shared" si="31"/>
        <v>0</v>
      </c>
      <c r="S131" s="5">
        <f t="shared" si="48"/>
        <v>44676</v>
      </c>
      <c r="T131" s="6">
        <v>272.48460320007803</v>
      </c>
      <c r="U131" s="6">
        <v>57.585807400003077</v>
      </c>
      <c r="V131" s="6">
        <v>18.774448399999645</v>
      </c>
      <c r="W131" s="6">
        <f t="shared" si="41"/>
        <v>348.84485900008076</v>
      </c>
      <c r="X131">
        <f t="shared" si="32"/>
        <v>0</v>
      </c>
      <c r="Z131" s="5">
        <f t="shared" si="49"/>
        <v>44676</v>
      </c>
      <c r="AA131" s="6">
        <v>310.85052319991587</v>
      </c>
      <c r="AB131" s="6">
        <v>60.682245799988507</v>
      </c>
      <c r="AC131" s="6">
        <v>25.990621600002516</v>
      </c>
      <c r="AD131" s="6">
        <f t="shared" si="42"/>
        <v>397.52339059990686</v>
      </c>
      <c r="AE131">
        <f t="shared" si="33"/>
        <v>0</v>
      </c>
      <c r="AF131" s="5">
        <f t="shared" si="50"/>
        <v>45406</v>
      </c>
      <c r="AG131" s="6"/>
      <c r="AH131" s="6"/>
      <c r="AI131" s="6"/>
      <c r="AJ131" s="6">
        <f t="shared" si="43"/>
        <v>0</v>
      </c>
      <c r="AK131">
        <f t="shared" si="34"/>
        <v>0</v>
      </c>
      <c r="AL131" s="5">
        <f t="shared" si="51"/>
        <v>45772</v>
      </c>
      <c r="AM131" s="6"/>
      <c r="AN131" s="6"/>
      <c r="AO131" s="6"/>
      <c r="AP131" s="6">
        <f t="shared" si="44"/>
        <v>0</v>
      </c>
      <c r="AQ131">
        <f t="shared" si="35"/>
        <v>0</v>
      </c>
    </row>
    <row r="132" spans="1:43" x14ac:dyDescent="0.3">
      <c r="A132" s="5">
        <f t="shared" si="45"/>
        <v>43581</v>
      </c>
      <c r="B132" s="6">
        <v>295.14468470001219</v>
      </c>
      <c r="C132" s="6">
        <v>44.571129999998959</v>
      </c>
      <c r="D132" s="6">
        <v>22.460999999999999</v>
      </c>
      <c r="E132" s="6">
        <f t="shared" si="39"/>
        <v>362.17681470001116</v>
      </c>
      <c r="F132">
        <f t="shared" si="36"/>
        <v>0</v>
      </c>
      <c r="G132" s="5">
        <f t="shared" si="46"/>
        <v>43946</v>
      </c>
      <c r="H132" s="6">
        <v>204.09443840003013</v>
      </c>
      <c r="I132" s="6">
        <v>43.63420260000229</v>
      </c>
      <c r="J132" s="6">
        <v>22.837599999999998</v>
      </c>
      <c r="K132" s="6">
        <f t="shared" si="40"/>
        <v>270.56624100003239</v>
      </c>
      <c r="L132">
        <f t="shared" si="37"/>
        <v>0</v>
      </c>
      <c r="M132" s="5">
        <f t="shared" si="47"/>
        <v>44312</v>
      </c>
      <c r="N132" s="6">
        <v>276.58006450009344</v>
      </c>
      <c r="O132" s="6">
        <v>57.489109700001777</v>
      </c>
      <c r="P132" s="6">
        <v>26.215286100003286</v>
      </c>
      <c r="Q132" s="6">
        <f t="shared" si="38"/>
        <v>360.28446030009854</v>
      </c>
      <c r="R132">
        <f t="shared" si="31"/>
        <v>0</v>
      </c>
      <c r="S132" s="5">
        <f t="shared" si="48"/>
        <v>44677</v>
      </c>
      <c r="T132" s="6">
        <v>292.6663356000185</v>
      </c>
      <c r="U132" s="6">
        <v>57.575231399998067</v>
      </c>
      <c r="V132" s="6">
        <v>19.530150300000329</v>
      </c>
      <c r="W132" s="6">
        <f t="shared" si="41"/>
        <v>369.77171730001692</v>
      </c>
      <c r="X132">
        <f t="shared" si="32"/>
        <v>0</v>
      </c>
      <c r="Z132" s="5">
        <f t="shared" si="49"/>
        <v>44677</v>
      </c>
      <c r="AA132" s="6">
        <v>288.41712820005415</v>
      </c>
      <c r="AB132" s="6">
        <v>60.509717700004579</v>
      </c>
      <c r="AC132" s="6">
        <v>26.260298999998252</v>
      </c>
      <c r="AD132" s="6">
        <f t="shared" si="42"/>
        <v>375.18714490005698</v>
      </c>
      <c r="AE132">
        <f t="shared" si="33"/>
        <v>0</v>
      </c>
      <c r="AF132" s="5">
        <f t="shared" si="50"/>
        <v>45407</v>
      </c>
      <c r="AG132" s="6"/>
      <c r="AH132" s="6"/>
      <c r="AI132" s="6"/>
      <c r="AJ132" s="6">
        <f t="shared" si="43"/>
        <v>0</v>
      </c>
      <c r="AK132">
        <f t="shared" si="34"/>
        <v>0</v>
      </c>
      <c r="AL132" s="5">
        <f t="shared" si="51"/>
        <v>45773</v>
      </c>
      <c r="AM132" s="6"/>
      <c r="AN132" s="6"/>
      <c r="AO132" s="6"/>
      <c r="AP132" s="6">
        <f t="shared" si="44"/>
        <v>0</v>
      </c>
      <c r="AQ132">
        <f t="shared" si="35"/>
        <v>0</v>
      </c>
    </row>
    <row r="133" spans="1:43" x14ac:dyDescent="0.3">
      <c r="A133" s="5">
        <f t="shared" si="45"/>
        <v>43582</v>
      </c>
      <c r="B133" s="6">
        <v>262.67076630002259</v>
      </c>
      <c r="C133" s="6">
        <v>44.362300000000744</v>
      </c>
      <c r="D133" s="6">
        <v>20.323</v>
      </c>
      <c r="E133" s="6">
        <f t="shared" si="39"/>
        <v>327.35606630002331</v>
      </c>
      <c r="F133">
        <f t="shared" si="36"/>
        <v>0</v>
      </c>
      <c r="G133" s="5">
        <f t="shared" si="46"/>
        <v>43947</v>
      </c>
      <c r="H133" s="6">
        <v>194.38520939993859</v>
      </c>
      <c r="I133" s="6">
        <v>40.334313499998302</v>
      </c>
      <c r="J133" s="6">
        <v>18.207300000000004</v>
      </c>
      <c r="K133" s="6">
        <f t="shared" si="40"/>
        <v>252.92682289993689</v>
      </c>
      <c r="L133">
        <f t="shared" si="37"/>
        <v>0</v>
      </c>
      <c r="M133" s="5">
        <f t="shared" si="47"/>
        <v>44313</v>
      </c>
      <c r="N133" s="6">
        <v>279.74214969992636</v>
      </c>
      <c r="O133" s="6">
        <v>56.863079899996521</v>
      </c>
      <c r="P133" s="6">
        <v>26.723522199996982</v>
      </c>
      <c r="Q133" s="6">
        <f t="shared" si="38"/>
        <v>363.32875179991987</v>
      </c>
      <c r="R133">
        <f t="shared" si="31"/>
        <v>0</v>
      </c>
      <c r="S133" s="5">
        <f t="shared" si="48"/>
        <v>44678</v>
      </c>
      <c r="T133" s="6">
        <v>268.95273669993878</v>
      </c>
      <c r="U133" s="6">
        <v>57.486379500001668</v>
      </c>
      <c r="V133" s="6">
        <v>19.621347900000167</v>
      </c>
      <c r="W133" s="6">
        <f t="shared" si="41"/>
        <v>346.06046409994059</v>
      </c>
      <c r="X133">
        <f t="shared" si="32"/>
        <v>0</v>
      </c>
      <c r="Z133" s="5">
        <f t="shared" si="49"/>
        <v>44678</v>
      </c>
      <c r="AA133" s="6">
        <v>266.2784724999666</v>
      </c>
      <c r="AB133" s="6">
        <v>61.261525900006298</v>
      </c>
      <c r="AC133" s="6">
        <v>25.570874900002032</v>
      </c>
      <c r="AD133" s="6">
        <f t="shared" si="42"/>
        <v>353.11087329997491</v>
      </c>
      <c r="AE133">
        <f t="shared" si="33"/>
        <v>0</v>
      </c>
      <c r="AF133" s="5">
        <f t="shared" si="50"/>
        <v>45408</v>
      </c>
      <c r="AG133" s="6"/>
      <c r="AH133" s="6"/>
      <c r="AI133" s="6"/>
      <c r="AJ133" s="6">
        <f t="shared" si="43"/>
        <v>0</v>
      </c>
      <c r="AK133">
        <f t="shared" si="34"/>
        <v>0</v>
      </c>
      <c r="AL133" s="5">
        <f t="shared" si="51"/>
        <v>45774</v>
      </c>
      <c r="AM133" s="6"/>
      <c r="AN133" s="6"/>
      <c r="AO133" s="6"/>
      <c r="AP133" s="6">
        <f t="shared" si="44"/>
        <v>0</v>
      </c>
      <c r="AQ133">
        <f t="shared" si="35"/>
        <v>0</v>
      </c>
    </row>
    <row r="134" spans="1:43" x14ac:dyDescent="0.3">
      <c r="A134" s="5">
        <f t="shared" si="45"/>
        <v>43583</v>
      </c>
      <c r="B134" s="6">
        <v>258.74966649997236</v>
      </c>
      <c r="C134" s="6">
        <v>41.746830000000074</v>
      </c>
      <c r="D134" s="6">
        <v>17.43</v>
      </c>
      <c r="E134" s="6">
        <f t="shared" si="39"/>
        <v>317.92649649997242</v>
      </c>
      <c r="F134">
        <f t="shared" si="36"/>
        <v>0</v>
      </c>
      <c r="G134" s="5">
        <f t="shared" si="46"/>
        <v>43948</v>
      </c>
      <c r="H134" s="6">
        <v>211.23579890000821</v>
      </c>
      <c r="I134" s="6">
        <v>47.24334760000184</v>
      </c>
      <c r="J134" s="6">
        <v>25.07</v>
      </c>
      <c r="K134" s="6">
        <f t="shared" si="40"/>
        <v>283.54914650001007</v>
      </c>
      <c r="L134">
        <f t="shared" si="37"/>
        <v>0</v>
      </c>
      <c r="M134" s="5">
        <f t="shared" si="47"/>
        <v>44314</v>
      </c>
      <c r="N134" s="6">
        <v>245.67754240000247</v>
      </c>
      <c r="O134" s="6">
        <v>59.143730900004506</v>
      </c>
      <c r="P134" s="6">
        <v>25.583924900001147</v>
      </c>
      <c r="Q134" s="6">
        <f t="shared" si="38"/>
        <v>330.4051982000081</v>
      </c>
      <c r="R134">
        <f t="shared" si="31"/>
        <v>0</v>
      </c>
      <c r="S134" s="5">
        <f t="shared" si="48"/>
        <v>44679</v>
      </c>
      <c r="T134" s="6">
        <v>235.25293060004711</v>
      </c>
      <c r="U134" s="6">
        <v>55.212432399995627</v>
      </c>
      <c r="V134" s="6">
        <v>19.916406299999917</v>
      </c>
      <c r="W134" s="6">
        <f t="shared" si="41"/>
        <v>310.38176930004261</v>
      </c>
      <c r="X134">
        <f t="shared" si="32"/>
        <v>0</v>
      </c>
      <c r="Z134" s="5">
        <f t="shared" si="49"/>
        <v>44679</v>
      </c>
      <c r="AA134" s="6">
        <v>320.2794810000658</v>
      </c>
      <c r="AB134" s="6">
        <v>64.597360299989575</v>
      </c>
      <c r="AC134" s="6">
        <v>27.060075999997089</v>
      </c>
      <c r="AD134" s="6">
        <f t="shared" si="42"/>
        <v>411.93691730005247</v>
      </c>
      <c r="AE134">
        <f t="shared" si="33"/>
        <v>0</v>
      </c>
      <c r="AF134" s="5">
        <f t="shared" si="50"/>
        <v>45409</v>
      </c>
      <c r="AG134" s="6"/>
      <c r="AH134" s="6"/>
      <c r="AI134" s="6"/>
      <c r="AJ134" s="6">
        <f t="shared" si="43"/>
        <v>0</v>
      </c>
      <c r="AK134">
        <f t="shared" si="34"/>
        <v>0</v>
      </c>
      <c r="AL134" s="5">
        <f t="shared" si="51"/>
        <v>45775</v>
      </c>
      <c r="AM134" s="6"/>
      <c r="AN134" s="6"/>
      <c r="AO134" s="6"/>
      <c r="AP134" s="6">
        <f t="shared" si="44"/>
        <v>0</v>
      </c>
      <c r="AQ134">
        <f t="shared" si="35"/>
        <v>0</v>
      </c>
    </row>
    <row r="135" spans="1:43" x14ac:dyDescent="0.3">
      <c r="A135" s="5">
        <f t="shared" si="45"/>
        <v>43584</v>
      </c>
      <c r="B135" s="6">
        <v>277.80393720000984</v>
      </c>
      <c r="C135" s="6">
        <v>44.98740000000037</v>
      </c>
      <c r="D135" s="6">
        <v>22.457999999999998</v>
      </c>
      <c r="E135" s="6">
        <f t="shared" si="39"/>
        <v>345.24933720001025</v>
      </c>
      <c r="F135">
        <f t="shared" si="36"/>
        <v>0</v>
      </c>
      <c r="G135" s="5">
        <f t="shared" si="46"/>
        <v>43949</v>
      </c>
      <c r="H135" s="6">
        <v>209.97330340003967</v>
      </c>
      <c r="I135" s="6">
        <v>47.622832599997523</v>
      </c>
      <c r="J135" s="6">
        <v>24.263999999999999</v>
      </c>
      <c r="K135" s="6">
        <f t="shared" si="40"/>
        <v>281.86013600003719</v>
      </c>
      <c r="L135">
        <f t="shared" si="37"/>
        <v>0</v>
      </c>
      <c r="M135" s="5">
        <f t="shared" si="47"/>
        <v>44315</v>
      </c>
      <c r="N135" s="6">
        <v>273.11302069997788</v>
      </c>
      <c r="O135" s="6">
        <v>57.438495600000024</v>
      </c>
      <c r="P135" s="6">
        <v>26.378141700003876</v>
      </c>
      <c r="Q135" s="6">
        <f t="shared" si="38"/>
        <v>356.92965799998177</v>
      </c>
      <c r="R135">
        <f t="shared" si="31"/>
        <v>0</v>
      </c>
      <c r="S135" s="5">
        <f t="shared" si="48"/>
        <v>44680</v>
      </c>
      <c r="T135" s="6">
        <v>272.76653789997101</v>
      </c>
      <c r="U135" s="6">
        <v>58.63417960000038</v>
      </c>
      <c r="V135" s="6">
        <v>19.612606299999868</v>
      </c>
      <c r="W135" s="6">
        <f t="shared" si="41"/>
        <v>351.01332379997126</v>
      </c>
      <c r="X135">
        <f t="shared" si="32"/>
        <v>0</v>
      </c>
      <c r="Z135" s="5">
        <f t="shared" si="49"/>
        <v>44680</v>
      </c>
      <c r="AA135" s="6">
        <v>253.87490469992161</v>
      </c>
      <c r="AB135" s="6">
        <v>61.904888500005008</v>
      </c>
      <c r="AC135" s="6">
        <v>25.285578599999194</v>
      </c>
      <c r="AD135" s="6">
        <f t="shared" si="42"/>
        <v>341.06537179992586</v>
      </c>
      <c r="AE135">
        <f t="shared" si="33"/>
        <v>0</v>
      </c>
      <c r="AF135" s="5">
        <f t="shared" si="50"/>
        <v>45410</v>
      </c>
      <c r="AG135" s="6"/>
      <c r="AH135" s="6"/>
      <c r="AI135" s="6"/>
      <c r="AJ135" s="6">
        <f t="shared" si="43"/>
        <v>0</v>
      </c>
      <c r="AK135">
        <f t="shared" si="34"/>
        <v>0</v>
      </c>
      <c r="AL135" s="5">
        <f t="shared" si="51"/>
        <v>45776</v>
      </c>
      <c r="AM135" s="6"/>
      <c r="AN135" s="6"/>
      <c r="AO135" s="6"/>
      <c r="AP135" s="6">
        <f t="shared" si="44"/>
        <v>0</v>
      </c>
      <c r="AQ135">
        <f t="shared" si="35"/>
        <v>0</v>
      </c>
    </row>
    <row r="136" spans="1:43" x14ac:dyDescent="0.3">
      <c r="A136" s="21">
        <f t="shared" si="45"/>
        <v>43585</v>
      </c>
      <c r="B136" s="6">
        <v>288.05582520002127</v>
      </c>
      <c r="C136" s="6">
        <v>45.781509999999777</v>
      </c>
      <c r="D136" s="6">
        <v>21.382999999999999</v>
      </c>
      <c r="E136" s="6">
        <f t="shared" si="39"/>
        <v>355.22033520002105</v>
      </c>
      <c r="F136">
        <f t="shared" si="36"/>
        <v>0</v>
      </c>
      <c r="G136" s="5">
        <f t="shared" si="46"/>
        <v>43950</v>
      </c>
      <c r="H136" s="6">
        <v>204.68376460003853</v>
      </c>
      <c r="I136" s="6">
        <v>46.655193800002337</v>
      </c>
      <c r="J136" s="6">
        <v>23.776</v>
      </c>
      <c r="K136" s="6">
        <f t="shared" si="40"/>
        <v>275.11495840004085</v>
      </c>
      <c r="L136">
        <f t="shared" si="37"/>
        <v>0</v>
      </c>
      <c r="M136" s="21">
        <f t="shared" si="47"/>
        <v>44316</v>
      </c>
      <c r="N136" s="25">
        <v>310.02469249999524</v>
      </c>
      <c r="O136" s="25">
        <v>53.529107000000778</v>
      </c>
      <c r="P136" s="25">
        <v>27.270423999998485</v>
      </c>
      <c r="Q136" s="6">
        <f t="shared" si="38"/>
        <v>390.82422349999445</v>
      </c>
      <c r="R136">
        <f>IF(Q136&gt;250.3,1,0)</f>
        <v>1</v>
      </c>
      <c r="S136" s="21">
        <f t="shared" si="48"/>
        <v>44681</v>
      </c>
      <c r="T136" s="25">
        <v>280.01270780003068</v>
      </c>
      <c r="U136" s="25">
        <v>55.829212800003589</v>
      </c>
      <c r="V136" s="25">
        <v>18.775488600000042</v>
      </c>
      <c r="W136" s="6">
        <f t="shared" si="41"/>
        <v>354.61740920003427</v>
      </c>
      <c r="X136">
        <f>IF(W136&gt;250.3,1,0)</f>
        <v>1</v>
      </c>
      <c r="Z136" s="21">
        <f t="shared" si="49"/>
        <v>44681</v>
      </c>
      <c r="AA136" s="25">
        <v>227.02157940006256</v>
      </c>
      <c r="AB136" s="25">
        <v>51.820106000006199</v>
      </c>
      <c r="AC136" s="25">
        <v>18.676419300003442</v>
      </c>
      <c r="AD136" s="6">
        <f t="shared" si="42"/>
        <v>297.51810470007217</v>
      </c>
      <c r="AE136">
        <f>IF(AD136&gt;250.3,1,0)</f>
        <v>1</v>
      </c>
      <c r="AF136" s="21">
        <f t="shared" si="50"/>
        <v>45411</v>
      </c>
      <c r="AG136" s="25"/>
      <c r="AH136" s="25"/>
      <c r="AI136" s="25"/>
      <c r="AJ136" s="6">
        <f t="shared" si="43"/>
        <v>0</v>
      </c>
      <c r="AK136">
        <f>IF(AJ136&gt;250.3,1,0)</f>
        <v>0</v>
      </c>
      <c r="AL136" s="21">
        <f t="shared" si="51"/>
        <v>45777</v>
      </c>
      <c r="AM136" s="25"/>
      <c r="AN136" s="25"/>
      <c r="AO136" s="25"/>
      <c r="AP136" s="6">
        <f t="shared" si="44"/>
        <v>0</v>
      </c>
      <c r="AQ136">
        <f>IF(AP136&gt;250.3,1,0)</f>
        <v>0</v>
      </c>
    </row>
    <row r="137" spans="1:43" x14ac:dyDescent="0.3">
      <c r="A137" s="5">
        <f t="shared" si="45"/>
        <v>43586</v>
      </c>
      <c r="B137" s="25">
        <v>216.98674049997331</v>
      </c>
      <c r="C137" s="25">
        <v>40.47</v>
      </c>
      <c r="D137" s="25">
        <v>15.756</v>
      </c>
      <c r="E137" s="6">
        <f t="shared" si="39"/>
        <v>273.21274049997328</v>
      </c>
      <c r="F137">
        <f>IF(E137&gt;250.3,1,0)</f>
        <v>1</v>
      </c>
      <c r="G137" s="21">
        <f t="shared" si="46"/>
        <v>43951</v>
      </c>
      <c r="H137" s="25">
        <v>198.33801999998093</v>
      </c>
      <c r="I137" s="25">
        <v>42.122713500000536</v>
      </c>
      <c r="J137" s="25">
        <v>23.646999999999998</v>
      </c>
      <c r="K137" s="6">
        <f t="shared" si="40"/>
        <v>264.10773349998146</v>
      </c>
      <c r="L137">
        <f>IF(K137&gt;250.3,1,0)</f>
        <v>1</v>
      </c>
      <c r="M137" s="5">
        <f t="shared" si="47"/>
        <v>44317</v>
      </c>
      <c r="N137" s="25">
        <v>245.74331459999084</v>
      </c>
      <c r="O137" s="25">
        <v>42.199991599999365</v>
      </c>
      <c r="P137" s="25">
        <v>17.91995009999664</v>
      </c>
      <c r="Q137" s="6">
        <f t="shared" si="38"/>
        <v>305.86325629998686</v>
      </c>
      <c r="R137">
        <f t="shared" ref="R137:R200" si="52">IF(Q137&gt;250.3,1,0)</f>
        <v>1</v>
      </c>
      <c r="S137" s="5">
        <f t="shared" si="48"/>
        <v>44682</v>
      </c>
      <c r="T137" s="25">
        <v>220.93980059993268</v>
      </c>
      <c r="U137" s="25">
        <v>44.88221369999647</v>
      </c>
      <c r="V137" s="25">
        <v>17.069504900000059</v>
      </c>
      <c r="W137" s="6">
        <f t="shared" si="41"/>
        <v>282.89151919992923</v>
      </c>
      <c r="X137">
        <f t="shared" ref="X137:X200" si="53">IF(W137&gt;250.3,1,0)</f>
        <v>1</v>
      </c>
      <c r="Z137" s="5">
        <f t="shared" si="49"/>
        <v>44682</v>
      </c>
      <c r="AA137" s="25">
        <v>207.88783439993858</v>
      </c>
      <c r="AB137" s="25">
        <v>50.673526799991727</v>
      </c>
      <c r="AC137" s="25">
        <v>14.557998699999414</v>
      </c>
      <c r="AD137" s="6">
        <f t="shared" si="42"/>
        <v>273.11935989992975</v>
      </c>
      <c r="AE137">
        <f t="shared" ref="AE137:AE200" si="54">IF(AD137&gt;250.3,1,0)</f>
        <v>1</v>
      </c>
      <c r="AF137" s="5">
        <f t="shared" si="50"/>
        <v>45412</v>
      </c>
      <c r="AG137" s="25"/>
      <c r="AH137" s="25"/>
      <c r="AI137" s="25"/>
      <c r="AJ137" s="6">
        <f t="shared" si="43"/>
        <v>0</v>
      </c>
      <c r="AK137">
        <f t="shared" ref="AK137:AK200" si="55">IF(AJ137&gt;250.3,1,0)</f>
        <v>0</v>
      </c>
      <c r="AL137" s="5">
        <f t="shared" si="51"/>
        <v>45778</v>
      </c>
      <c r="AM137" s="25"/>
      <c r="AN137" s="25"/>
      <c r="AO137" s="25"/>
      <c r="AP137" s="6">
        <f t="shared" si="44"/>
        <v>0</v>
      </c>
      <c r="AQ137">
        <f t="shared" ref="AQ137:AQ200" si="56">IF(AP137&gt;250.3,1,0)</f>
        <v>0</v>
      </c>
    </row>
    <row r="138" spans="1:43" x14ac:dyDescent="0.3">
      <c r="A138" s="5">
        <f t="shared" si="45"/>
        <v>43587</v>
      </c>
      <c r="B138" s="25">
        <v>263.30871180003879</v>
      </c>
      <c r="C138" s="25">
        <v>44.004455299999563</v>
      </c>
      <c r="D138" s="25">
        <v>21.047000000000001</v>
      </c>
      <c r="E138" s="6">
        <f t="shared" si="39"/>
        <v>328.36016710003838</v>
      </c>
      <c r="F138">
        <f t="shared" ref="F138:F201" si="57">IF(E138&gt;250.3,1,0)</f>
        <v>1</v>
      </c>
      <c r="G138" s="5">
        <f t="shared" si="46"/>
        <v>43952</v>
      </c>
      <c r="H138" s="25">
        <v>182.03240729999541</v>
      </c>
      <c r="I138" s="25">
        <v>35.641649299997837</v>
      </c>
      <c r="J138" s="25">
        <v>19.135999999999999</v>
      </c>
      <c r="K138" s="6">
        <f t="shared" si="40"/>
        <v>236.81005659999326</v>
      </c>
      <c r="L138">
        <f t="shared" ref="L138:L201" si="58">IF(K138&gt;250.3,1,0)</f>
        <v>0</v>
      </c>
      <c r="M138" s="5">
        <f t="shared" si="47"/>
        <v>44318</v>
      </c>
      <c r="N138" s="25">
        <v>229.2395502001047</v>
      </c>
      <c r="O138" s="25">
        <v>44.05429969999939</v>
      </c>
      <c r="P138" s="25">
        <v>17.753937599996338</v>
      </c>
      <c r="Q138" s="6">
        <f t="shared" si="38"/>
        <v>291.04778750010041</v>
      </c>
      <c r="R138">
        <f t="shared" si="52"/>
        <v>1</v>
      </c>
      <c r="S138" s="5">
        <f t="shared" si="48"/>
        <v>44683</v>
      </c>
      <c r="T138" s="25">
        <v>235.3616605000496</v>
      </c>
      <c r="U138" s="25">
        <v>56.0460251000002</v>
      </c>
      <c r="V138" s="25">
        <v>19.735594900002237</v>
      </c>
      <c r="W138" s="6">
        <f t="shared" si="41"/>
        <v>311.14328050005201</v>
      </c>
      <c r="X138">
        <f t="shared" si="53"/>
        <v>1</v>
      </c>
      <c r="Z138" s="5">
        <f t="shared" si="49"/>
        <v>44683</v>
      </c>
      <c r="AA138" s="25">
        <v>248.72580519998073</v>
      </c>
      <c r="AB138" s="25">
        <v>61.134113100007177</v>
      </c>
      <c r="AC138" s="25">
        <v>20.923537299999037</v>
      </c>
      <c r="AD138" s="6">
        <f t="shared" si="42"/>
        <v>330.78345559998695</v>
      </c>
      <c r="AE138">
        <f t="shared" si="54"/>
        <v>1</v>
      </c>
      <c r="AF138" s="5">
        <f t="shared" si="50"/>
        <v>45413</v>
      </c>
      <c r="AG138" s="25"/>
      <c r="AH138" s="25"/>
      <c r="AI138" s="25"/>
      <c r="AJ138" s="6">
        <f t="shared" si="43"/>
        <v>0</v>
      </c>
      <c r="AK138">
        <f t="shared" si="55"/>
        <v>0</v>
      </c>
      <c r="AL138" s="5">
        <f t="shared" si="51"/>
        <v>45779</v>
      </c>
      <c r="AM138" s="25"/>
      <c r="AN138" s="25"/>
      <c r="AO138" s="25"/>
      <c r="AP138" s="6">
        <f t="shared" si="44"/>
        <v>0</v>
      </c>
      <c r="AQ138">
        <f t="shared" si="56"/>
        <v>0</v>
      </c>
    </row>
    <row r="139" spans="1:43" x14ac:dyDescent="0.3">
      <c r="A139" s="5">
        <f t="shared" si="45"/>
        <v>43588</v>
      </c>
      <c r="B139" s="25">
        <v>267.58292350000141</v>
      </c>
      <c r="C139" s="25">
        <v>45.157051899999381</v>
      </c>
      <c r="D139" s="25">
        <v>21.841999999999999</v>
      </c>
      <c r="E139" s="6">
        <f t="shared" si="39"/>
        <v>334.58197540000077</v>
      </c>
      <c r="F139">
        <f t="shared" si="57"/>
        <v>1</v>
      </c>
      <c r="G139" s="5">
        <f t="shared" si="46"/>
        <v>43953</v>
      </c>
      <c r="H139" s="25">
        <v>193.24435510003568</v>
      </c>
      <c r="I139" s="25">
        <v>39.94525519999862</v>
      </c>
      <c r="J139" s="25">
        <v>22.565000000000001</v>
      </c>
      <c r="K139" s="6">
        <f t="shared" si="40"/>
        <v>255.7546103000343</v>
      </c>
      <c r="L139">
        <f t="shared" si="58"/>
        <v>1</v>
      </c>
      <c r="M139" s="5">
        <f t="shared" si="47"/>
        <v>44319</v>
      </c>
      <c r="N139" s="25">
        <v>294.4687069000006</v>
      </c>
      <c r="O139" s="25">
        <v>55.53767019999772</v>
      </c>
      <c r="P139" s="25">
        <v>26.164450800003948</v>
      </c>
      <c r="Q139" s="6">
        <f t="shared" si="38"/>
        <v>376.17082790000222</v>
      </c>
      <c r="R139">
        <f t="shared" si="52"/>
        <v>1</v>
      </c>
      <c r="S139" s="5">
        <f t="shared" si="48"/>
        <v>44684</v>
      </c>
      <c r="T139" s="25">
        <v>248.13905669999122</v>
      </c>
      <c r="U139" s="25">
        <v>58.281009900003674</v>
      </c>
      <c r="V139" s="25">
        <v>19.226712700000032</v>
      </c>
      <c r="W139" s="6">
        <f t="shared" si="41"/>
        <v>325.64677929999488</v>
      </c>
      <c r="X139">
        <f t="shared" si="53"/>
        <v>1</v>
      </c>
      <c r="Z139" s="5">
        <f t="shared" si="49"/>
        <v>44684</v>
      </c>
      <c r="AA139" s="25">
        <v>267.55410500001909</v>
      </c>
      <c r="AB139" s="25">
        <v>62.120137899994852</v>
      </c>
      <c r="AC139" s="25">
        <v>23.946354000000284</v>
      </c>
      <c r="AD139" s="6">
        <f t="shared" si="42"/>
        <v>353.62059690001422</v>
      </c>
      <c r="AE139">
        <f t="shared" si="54"/>
        <v>1</v>
      </c>
      <c r="AF139" s="5">
        <f t="shared" si="50"/>
        <v>45414</v>
      </c>
      <c r="AG139" s="25"/>
      <c r="AH139" s="25"/>
      <c r="AI139" s="25"/>
      <c r="AJ139" s="6">
        <f t="shared" si="43"/>
        <v>0</v>
      </c>
      <c r="AK139">
        <f t="shared" si="55"/>
        <v>0</v>
      </c>
      <c r="AL139" s="5">
        <f t="shared" si="51"/>
        <v>45780</v>
      </c>
      <c r="AM139" s="25"/>
      <c r="AN139" s="25"/>
      <c r="AO139" s="25"/>
      <c r="AP139" s="6">
        <f t="shared" si="44"/>
        <v>0</v>
      </c>
      <c r="AQ139">
        <f t="shared" si="56"/>
        <v>0</v>
      </c>
    </row>
    <row r="140" spans="1:43" x14ac:dyDescent="0.3">
      <c r="A140" s="5">
        <f t="shared" si="45"/>
        <v>43589</v>
      </c>
      <c r="B140" s="25">
        <v>250.16007220000029</v>
      </c>
      <c r="C140" s="25">
        <v>44.838496100001038</v>
      </c>
      <c r="D140" s="25">
        <v>21.594000000000001</v>
      </c>
      <c r="E140" s="6">
        <f t="shared" si="39"/>
        <v>316.59256830000135</v>
      </c>
      <c r="F140">
        <f t="shared" si="57"/>
        <v>1</v>
      </c>
      <c r="G140" s="5">
        <f t="shared" si="46"/>
        <v>43954</v>
      </c>
      <c r="H140" s="25">
        <v>196.94152599990369</v>
      </c>
      <c r="I140" s="25">
        <v>38.19740310000256</v>
      </c>
      <c r="J140" s="25">
        <v>17.728999999999999</v>
      </c>
      <c r="K140" s="6">
        <f t="shared" si="40"/>
        <v>252.86792909990623</v>
      </c>
      <c r="L140">
        <f t="shared" si="58"/>
        <v>1</v>
      </c>
      <c r="M140" s="5">
        <f t="shared" si="47"/>
        <v>44320</v>
      </c>
      <c r="N140" s="25">
        <v>292.53644449996949</v>
      </c>
      <c r="O140" s="25">
        <v>53.373879900000986</v>
      </c>
      <c r="P140" s="25">
        <v>25.231995900000562</v>
      </c>
      <c r="Q140" s="6">
        <f t="shared" si="38"/>
        <v>371.14232029997106</v>
      </c>
      <c r="R140">
        <f t="shared" si="52"/>
        <v>1</v>
      </c>
      <c r="S140" s="5">
        <f t="shared" si="48"/>
        <v>44685</v>
      </c>
      <c r="T140" s="25">
        <v>241.84759979999066</v>
      </c>
      <c r="U140" s="25">
        <v>58.424875599995254</v>
      </c>
      <c r="V140" s="25">
        <v>19.753059999999824</v>
      </c>
      <c r="W140" s="6">
        <f t="shared" si="41"/>
        <v>320.02553539998576</v>
      </c>
      <c r="X140">
        <f t="shared" si="53"/>
        <v>1</v>
      </c>
      <c r="Z140" s="5">
        <f t="shared" si="49"/>
        <v>44685</v>
      </c>
      <c r="AA140" s="25">
        <v>296.04078880000117</v>
      </c>
      <c r="AB140" s="25">
        <v>61.018584800004959</v>
      </c>
      <c r="AC140" s="25">
        <v>26.351021899998653</v>
      </c>
      <c r="AD140" s="6">
        <f t="shared" si="42"/>
        <v>383.41039550000477</v>
      </c>
      <c r="AE140">
        <f t="shared" si="54"/>
        <v>1</v>
      </c>
      <c r="AF140" s="5">
        <f t="shared" si="50"/>
        <v>45415</v>
      </c>
      <c r="AG140" s="25"/>
      <c r="AH140" s="25"/>
      <c r="AI140" s="25"/>
      <c r="AJ140" s="6">
        <f t="shared" si="43"/>
        <v>0</v>
      </c>
      <c r="AK140">
        <f t="shared" si="55"/>
        <v>0</v>
      </c>
      <c r="AL140" s="5">
        <f t="shared" si="51"/>
        <v>45781</v>
      </c>
      <c r="AM140" s="25"/>
      <c r="AN140" s="25"/>
      <c r="AO140" s="25"/>
      <c r="AP140" s="6">
        <f t="shared" si="44"/>
        <v>0</v>
      </c>
      <c r="AQ140">
        <f t="shared" si="56"/>
        <v>0</v>
      </c>
    </row>
    <row r="141" spans="1:43" x14ac:dyDescent="0.3">
      <c r="A141" s="5">
        <f t="shared" si="45"/>
        <v>43590</v>
      </c>
      <c r="B141" s="25">
        <v>224.19866559994222</v>
      </c>
      <c r="C141" s="25">
        <v>40.54671289999969</v>
      </c>
      <c r="D141" s="25">
        <v>15.590999999999999</v>
      </c>
      <c r="E141" s="6">
        <f t="shared" si="39"/>
        <v>280.33637849994193</v>
      </c>
      <c r="F141">
        <f t="shared" si="57"/>
        <v>1</v>
      </c>
      <c r="G141" s="5">
        <f t="shared" si="46"/>
        <v>43955</v>
      </c>
      <c r="H141" s="25">
        <v>215.68627680003644</v>
      </c>
      <c r="I141" s="25">
        <v>47.069167500000447</v>
      </c>
      <c r="J141" s="25">
        <v>24.212</v>
      </c>
      <c r="K141" s="6">
        <f t="shared" si="40"/>
        <v>286.96744430003685</v>
      </c>
      <c r="L141">
        <f t="shared" si="58"/>
        <v>1</v>
      </c>
      <c r="M141" s="5">
        <f t="shared" si="47"/>
        <v>44321</v>
      </c>
      <c r="N141" s="25">
        <v>278.89112529993059</v>
      </c>
      <c r="O141" s="25">
        <v>50.838691700004041</v>
      </c>
      <c r="P141" s="25">
        <v>25.606817899997694</v>
      </c>
      <c r="Q141" s="6">
        <f t="shared" si="38"/>
        <v>355.33663489993233</v>
      </c>
      <c r="R141">
        <f t="shared" si="52"/>
        <v>1</v>
      </c>
      <c r="S141" s="5">
        <f t="shared" si="48"/>
        <v>44686</v>
      </c>
      <c r="T141" s="25">
        <v>232.42871889996528</v>
      </c>
      <c r="U141" s="25">
        <v>55.315109999999407</v>
      </c>
      <c r="V141" s="25">
        <v>20.098019000000086</v>
      </c>
      <c r="W141" s="6">
        <f t="shared" si="41"/>
        <v>307.84184789996476</v>
      </c>
      <c r="X141">
        <f t="shared" si="53"/>
        <v>1</v>
      </c>
      <c r="Z141" s="5">
        <f t="shared" si="49"/>
        <v>44686</v>
      </c>
      <c r="AA141" s="25">
        <v>242.43112870001792</v>
      </c>
      <c r="AB141" s="25">
        <v>61.560636500000953</v>
      </c>
      <c r="AC141" s="25">
        <v>25.749456699999516</v>
      </c>
      <c r="AD141" s="6">
        <f t="shared" si="42"/>
        <v>329.74122190001845</v>
      </c>
      <c r="AE141">
        <f t="shared" si="54"/>
        <v>1</v>
      </c>
      <c r="AF141" s="5">
        <f t="shared" si="50"/>
        <v>45416</v>
      </c>
      <c r="AG141" s="25"/>
      <c r="AH141" s="25"/>
      <c r="AI141" s="25"/>
      <c r="AJ141" s="6">
        <f t="shared" si="43"/>
        <v>0</v>
      </c>
      <c r="AK141">
        <f t="shared" si="55"/>
        <v>0</v>
      </c>
      <c r="AL141" s="5">
        <f t="shared" si="51"/>
        <v>45782</v>
      </c>
      <c r="AM141" s="25"/>
      <c r="AN141" s="25"/>
      <c r="AO141" s="25"/>
      <c r="AP141" s="6">
        <f t="shared" si="44"/>
        <v>0</v>
      </c>
      <c r="AQ141">
        <f t="shared" si="56"/>
        <v>0</v>
      </c>
    </row>
    <row r="142" spans="1:43" x14ac:dyDescent="0.3">
      <c r="A142" s="5">
        <f t="shared" si="45"/>
        <v>43591</v>
      </c>
      <c r="B142" s="25">
        <v>258.7203522000313</v>
      </c>
      <c r="C142" s="25">
        <v>43.907761800000443</v>
      </c>
      <c r="D142" s="25">
        <v>20.902999999999999</v>
      </c>
      <c r="E142" s="6">
        <f t="shared" si="39"/>
        <v>323.53111400003178</v>
      </c>
      <c r="F142">
        <f t="shared" si="57"/>
        <v>1</v>
      </c>
      <c r="G142" s="5">
        <f t="shared" si="46"/>
        <v>43956</v>
      </c>
      <c r="H142" s="25">
        <v>219.00943379998208</v>
      </c>
      <c r="I142" s="25">
        <v>47.193459300000221</v>
      </c>
      <c r="J142" s="25">
        <v>23.969000000000001</v>
      </c>
      <c r="K142" s="6">
        <f t="shared" si="40"/>
        <v>290.1718930999823</v>
      </c>
      <c r="L142">
        <f t="shared" si="58"/>
        <v>1</v>
      </c>
      <c r="M142" s="5">
        <f t="shared" si="47"/>
        <v>44322</v>
      </c>
      <c r="N142" s="25">
        <v>322.03219319999221</v>
      </c>
      <c r="O142" s="25">
        <v>51.609598799996078</v>
      </c>
      <c r="P142" s="25">
        <v>25.080535300005462</v>
      </c>
      <c r="Q142" s="6">
        <f t="shared" si="38"/>
        <v>398.72232729999376</v>
      </c>
      <c r="R142">
        <f t="shared" si="52"/>
        <v>1</v>
      </c>
      <c r="S142" s="5">
        <f t="shared" si="48"/>
        <v>44687</v>
      </c>
      <c r="T142" s="25">
        <v>281.48136730003358</v>
      </c>
      <c r="U142" s="25">
        <v>54.890240500003102</v>
      </c>
      <c r="V142" s="25">
        <v>20.086985800000139</v>
      </c>
      <c r="W142" s="6">
        <f t="shared" si="41"/>
        <v>356.45859360003686</v>
      </c>
      <c r="X142">
        <f t="shared" si="53"/>
        <v>1</v>
      </c>
      <c r="Z142" s="5">
        <f t="shared" si="49"/>
        <v>44687</v>
      </c>
      <c r="AA142" s="25">
        <v>228.60794280004501</v>
      </c>
      <c r="AB142" s="25">
        <v>59.15272869999707</v>
      </c>
      <c r="AC142" s="25">
        <v>25.396492700000294</v>
      </c>
      <c r="AD142" s="6">
        <f t="shared" si="42"/>
        <v>313.15716420004236</v>
      </c>
      <c r="AE142">
        <f t="shared" si="54"/>
        <v>1</v>
      </c>
      <c r="AF142" s="5">
        <f t="shared" si="50"/>
        <v>45417</v>
      </c>
      <c r="AG142" s="25"/>
      <c r="AH142" s="25"/>
      <c r="AI142" s="25"/>
      <c r="AJ142" s="6">
        <f t="shared" si="43"/>
        <v>0</v>
      </c>
      <c r="AK142">
        <f t="shared" si="55"/>
        <v>0</v>
      </c>
      <c r="AL142" s="5">
        <f t="shared" si="51"/>
        <v>45783</v>
      </c>
      <c r="AM142" s="25"/>
      <c r="AN142" s="25"/>
      <c r="AO142" s="25"/>
      <c r="AP142" s="6">
        <f t="shared" si="44"/>
        <v>0</v>
      </c>
      <c r="AQ142">
        <f t="shared" si="56"/>
        <v>0</v>
      </c>
    </row>
    <row r="143" spans="1:43" x14ac:dyDescent="0.3">
      <c r="A143" s="5">
        <f t="shared" si="45"/>
        <v>43592</v>
      </c>
      <c r="B143" s="25">
        <v>260.9549174000025</v>
      </c>
      <c r="C143" s="25">
        <v>46.74787899999879</v>
      </c>
      <c r="D143" s="25">
        <v>22.690999999999999</v>
      </c>
      <c r="E143" s="6">
        <f t="shared" si="39"/>
        <v>330.39379640000124</v>
      </c>
      <c r="F143">
        <f t="shared" si="57"/>
        <v>1</v>
      </c>
      <c r="G143" s="5">
        <f t="shared" si="46"/>
        <v>43957</v>
      </c>
      <c r="H143" s="25">
        <v>224.86132440006733</v>
      </c>
      <c r="I143" s="25">
        <v>49.444168399997054</v>
      </c>
      <c r="J143" s="25">
        <v>22.308</v>
      </c>
      <c r="K143" s="6">
        <f t="shared" si="40"/>
        <v>296.61349280006436</v>
      </c>
      <c r="L143">
        <f t="shared" si="58"/>
        <v>1</v>
      </c>
      <c r="M143" s="5">
        <f t="shared" si="47"/>
        <v>44323</v>
      </c>
      <c r="N143" s="25">
        <v>320.32907260000707</v>
      </c>
      <c r="O143" s="25">
        <v>51.618928700000048</v>
      </c>
      <c r="P143" s="25">
        <v>25.348562099996606</v>
      </c>
      <c r="Q143" s="6">
        <f t="shared" si="38"/>
        <v>397.29656340000372</v>
      </c>
      <c r="R143">
        <f t="shared" si="52"/>
        <v>1</v>
      </c>
      <c r="S143" s="5">
        <f t="shared" si="48"/>
        <v>44688</v>
      </c>
      <c r="T143" s="25">
        <v>211.63341750001908</v>
      </c>
      <c r="U143" s="25">
        <v>52.230891800001267</v>
      </c>
      <c r="V143" s="25">
        <v>19.134850799999899</v>
      </c>
      <c r="W143" s="6">
        <f t="shared" si="41"/>
        <v>282.99916010002028</v>
      </c>
      <c r="X143">
        <f t="shared" si="53"/>
        <v>1</v>
      </c>
      <c r="Z143" s="5">
        <f t="shared" si="49"/>
        <v>44688</v>
      </c>
      <c r="AA143" s="25">
        <v>194.2559931999445</v>
      </c>
      <c r="AB143" s="25">
        <v>50.41734540000558</v>
      </c>
      <c r="AC143" s="25">
        <v>17.114142100003548</v>
      </c>
      <c r="AD143" s="6">
        <f t="shared" si="42"/>
        <v>261.78748069995362</v>
      </c>
      <c r="AE143">
        <f t="shared" si="54"/>
        <v>1</v>
      </c>
      <c r="AF143" s="5">
        <f t="shared" si="50"/>
        <v>45418</v>
      </c>
      <c r="AG143" s="25"/>
      <c r="AH143" s="25"/>
      <c r="AI143" s="25"/>
      <c r="AJ143" s="6">
        <f t="shared" si="43"/>
        <v>0</v>
      </c>
      <c r="AK143">
        <f t="shared" si="55"/>
        <v>0</v>
      </c>
      <c r="AL143" s="5">
        <f t="shared" si="51"/>
        <v>45784</v>
      </c>
      <c r="AM143" s="25"/>
      <c r="AN143" s="25"/>
      <c r="AO143" s="25"/>
      <c r="AP143" s="6">
        <f t="shared" si="44"/>
        <v>0</v>
      </c>
      <c r="AQ143">
        <f t="shared" si="56"/>
        <v>0</v>
      </c>
    </row>
    <row r="144" spans="1:43" x14ac:dyDescent="0.3">
      <c r="A144" s="5">
        <f t="shared" si="45"/>
        <v>43593</v>
      </c>
      <c r="B144" s="25">
        <v>263.8333518000245</v>
      </c>
      <c r="C144" s="25">
        <v>47.324048200000078</v>
      </c>
      <c r="D144" s="25">
        <v>21.913</v>
      </c>
      <c r="E144" s="6">
        <f t="shared" si="39"/>
        <v>333.07040000002462</v>
      </c>
      <c r="F144">
        <f t="shared" si="57"/>
        <v>1</v>
      </c>
      <c r="G144" s="5">
        <f t="shared" si="46"/>
        <v>43958</v>
      </c>
      <c r="H144" s="25">
        <v>227.94949599993228</v>
      </c>
      <c r="I144" s="25">
        <v>47.845901800002906</v>
      </c>
      <c r="J144" s="25">
        <v>24.015000000000001</v>
      </c>
      <c r="K144" s="6">
        <f t="shared" si="40"/>
        <v>299.81039779993517</v>
      </c>
      <c r="L144">
        <f t="shared" si="58"/>
        <v>1</v>
      </c>
      <c r="M144" s="5">
        <f t="shared" si="47"/>
        <v>44324</v>
      </c>
      <c r="N144" s="25">
        <v>243.94019010007381</v>
      </c>
      <c r="O144" s="25">
        <v>50.36959059999883</v>
      </c>
      <c r="P144" s="25">
        <v>26.256646400003344</v>
      </c>
      <c r="Q144" s="6">
        <f t="shared" si="38"/>
        <v>320.56642710007594</v>
      </c>
      <c r="R144">
        <f t="shared" si="52"/>
        <v>1</v>
      </c>
      <c r="S144" s="5">
        <f t="shared" si="48"/>
        <v>44689</v>
      </c>
      <c r="T144" s="25">
        <v>188.35779449999333</v>
      </c>
      <c r="U144" s="25">
        <v>43.429699000000952</v>
      </c>
      <c r="V144" s="25">
        <v>17.079593599999555</v>
      </c>
      <c r="W144" s="6">
        <f t="shared" si="41"/>
        <v>248.86708709999385</v>
      </c>
      <c r="X144">
        <f t="shared" si="53"/>
        <v>0</v>
      </c>
      <c r="Z144" s="5">
        <f t="shared" si="49"/>
        <v>44689</v>
      </c>
      <c r="AA144" s="25">
        <v>268.0832131999731</v>
      </c>
      <c r="AB144" s="25">
        <v>61.244970099985601</v>
      </c>
      <c r="AC144" s="25">
        <v>25.803048299996647</v>
      </c>
      <c r="AD144" s="6">
        <f t="shared" si="42"/>
        <v>355.13123159995536</v>
      </c>
      <c r="AE144">
        <f t="shared" si="54"/>
        <v>1</v>
      </c>
      <c r="AF144" s="5">
        <f t="shared" si="50"/>
        <v>45419</v>
      </c>
      <c r="AG144" s="25"/>
      <c r="AH144" s="25"/>
      <c r="AI144" s="25"/>
      <c r="AJ144" s="6">
        <f t="shared" si="43"/>
        <v>0</v>
      </c>
      <c r="AK144">
        <f t="shared" si="55"/>
        <v>0</v>
      </c>
      <c r="AL144" s="5">
        <f t="shared" si="51"/>
        <v>45785</v>
      </c>
      <c r="AM144" s="25"/>
      <c r="AN144" s="25"/>
      <c r="AO144" s="25"/>
      <c r="AP144" s="6">
        <f t="shared" si="44"/>
        <v>0</v>
      </c>
      <c r="AQ144">
        <f t="shared" si="56"/>
        <v>0</v>
      </c>
    </row>
    <row r="145" spans="1:43" x14ac:dyDescent="0.3">
      <c r="A145" s="5">
        <f t="shared" si="45"/>
        <v>43594</v>
      </c>
      <c r="B145" s="25">
        <v>263.98255529999733</v>
      </c>
      <c r="C145" s="25">
        <v>47.649452200001107</v>
      </c>
      <c r="D145" s="25">
        <v>22.690999999999999</v>
      </c>
      <c r="E145" s="6">
        <f t="shared" si="39"/>
        <v>334.32300749999843</v>
      </c>
      <c r="F145">
        <f t="shared" si="57"/>
        <v>1</v>
      </c>
      <c r="G145" s="5">
        <f t="shared" si="46"/>
        <v>43959</v>
      </c>
      <c r="H145" s="25">
        <v>225.15156169998644</v>
      </c>
      <c r="I145" s="25">
        <v>45.545743299998342</v>
      </c>
      <c r="J145" s="25">
        <v>23.405000000000001</v>
      </c>
      <c r="K145" s="6">
        <f t="shared" si="40"/>
        <v>294.10230499998477</v>
      </c>
      <c r="L145">
        <f t="shared" si="58"/>
        <v>1</v>
      </c>
      <c r="M145" s="5">
        <f t="shared" si="47"/>
        <v>44325</v>
      </c>
      <c r="N145" s="25">
        <v>209.3679577000141</v>
      </c>
      <c r="O145" s="25">
        <v>41.747388900004324</v>
      </c>
      <c r="P145" s="25">
        <v>21.223473999996436</v>
      </c>
      <c r="Q145" s="6">
        <f t="shared" ref="Q145:Q208" si="59">SUM(N145:P145)</f>
        <v>272.33882060001486</v>
      </c>
      <c r="R145">
        <f t="shared" si="52"/>
        <v>1</v>
      </c>
      <c r="S145" s="5">
        <f t="shared" si="48"/>
        <v>44690</v>
      </c>
      <c r="T145" s="25">
        <v>218.81643349993229</v>
      </c>
      <c r="U145" s="25">
        <v>57.709769600003959</v>
      </c>
      <c r="V145" s="25">
        <v>19.013949700000463</v>
      </c>
      <c r="W145" s="6">
        <f t="shared" si="41"/>
        <v>295.54015279993672</v>
      </c>
      <c r="X145">
        <f t="shared" si="53"/>
        <v>1</v>
      </c>
      <c r="Z145" s="5">
        <f t="shared" si="49"/>
        <v>44690</v>
      </c>
      <c r="AA145" s="25">
        <v>273.16200110006332</v>
      </c>
      <c r="AB145" s="25">
        <v>62.429313200011848</v>
      </c>
      <c r="AC145" s="25">
        <v>23.723280600000638</v>
      </c>
      <c r="AD145" s="6">
        <f t="shared" si="42"/>
        <v>359.3145949000758</v>
      </c>
      <c r="AE145">
        <f t="shared" si="54"/>
        <v>1</v>
      </c>
      <c r="AF145" s="5">
        <f t="shared" si="50"/>
        <v>45420</v>
      </c>
      <c r="AG145" s="25"/>
      <c r="AH145" s="25"/>
      <c r="AI145" s="25"/>
      <c r="AJ145" s="6">
        <f t="shared" si="43"/>
        <v>0</v>
      </c>
      <c r="AK145">
        <f t="shared" si="55"/>
        <v>0</v>
      </c>
      <c r="AL145" s="5">
        <f t="shared" si="51"/>
        <v>45786</v>
      </c>
      <c r="AM145" s="25"/>
      <c r="AN145" s="25"/>
      <c r="AO145" s="25"/>
      <c r="AP145" s="6">
        <f t="shared" si="44"/>
        <v>0</v>
      </c>
      <c r="AQ145">
        <f t="shared" si="56"/>
        <v>0</v>
      </c>
    </row>
    <row r="146" spans="1:43" x14ac:dyDescent="0.3">
      <c r="A146" s="5">
        <f t="shared" si="45"/>
        <v>43595</v>
      </c>
      <c r="B146" s="25">
        <v>263.90641139996052</v>
      </c>
      <c r="C146" s="25">
        <v>47.347689299998805</v>
      </c>
      <c r="D146" s="25">
        <v>21.65</v>
      </c>
      <c r="E146" s="6">
        <f t="shared" ref="E146:E209" si="60">SUM(B146:D146)</f>
        <v>332.90410069995932</v>
      </c>
      <c r="F146">
        <f t="shared" si="57"/>
        <v>1</v>
      </c>
      <c r="G146" s="5">
        <f t="shared" si="46"/>
        <v>43960</v>
      </c>
      <c r="H146" s="25">
        <v>212.25996420001982</v>
      </c>
      <c r="I146" s="25">
        <v>43.696651700001212</v>
      </c>
      <c r="J146" s="25">
        <v>23.187999999999999</v>
      </c>
      <c r="K146" s="6">
        <f t="shared" ref="K146:K209" si="61">SUM(H146:J146)</f>
        <v>279.14461590002105</v>
      </c>
      <c r="L146">
        <f t="shared" si="58"/>
        <v>1</v>
      </c>
      <c r="M146" s="5">
        <f t="shared" si="47"/>
        <v>44326</v>
      </c>
      <c r="N146" s="25">
        <v>291.81916049993038</v>
      </c>
      <c r="O146" s="25">
        <v>53.09498069999367</v>
      </c>
      <c r="P146" s="25">
        <v>26.034326100000996</v>
      </c>
      <c r="Q146" s="6">
        <f t="shared" si="59"/>
        <v>370.94846729992508</v>
      </c>
      <c r="R146">
        <f t="shared" si="52"/>
        <v>1</v>
      </c>
      <c r="S146" s="5">
        <f t="shared" si="48"/>
        <v>44691</v>
      </c>
      <c r="T146" s="25">
        <v>274.66773500001432</v>
      </c>
      <c r="U146" s="25">
        <v>60.177155999988315</v>
      </c>
      <c r="V146" s="25">
        <v>19.704718800000148</v>
      </c>
      <c r="W146" s="6">
        <f t="shared" ref="W146:W197" si="62">SUM(T146:V146)</f>
        <v>354.54960980000277</v>
      </c>
      <c r="X146">
        <f t="shared" si="53"/>
        <v>1</v>
      </c>
      <c r="Z146" s="5">
        <f t="shared" si="49"/>
        <v>44691</v>
      </c>
      <c r="AA146" s="25">
        <v>261.65140820002557</v>
      </c>
      <c r="AB146" s="25">
        <v>62.231006899997595</v>
      </c>
      <c r="AC146" s="25">
        <v>21.281902000002564</v>
      </c>
      <c r="AD146" s="6">
        <f t="shared" ref="AD146:AD209" si="63">SUM(AA146:AC146)</f>
        <v>345.16431710002576</v>
      </c>
      <c r="AE146">
        <f t="shared" si="54"/>
        <v>1</v>
      </c>
      <c r="AF146" s="5">
        <f t="shared" si="50"/>
        <v>45421</v>
      </c>
      <c r="AG146" s="25"/>
      <c r="AH146" s="25"/>
      <c r="AI146" s="25"/>
      <c r="AJ146" s="6">
        <f t="shared" ref="AJ146:AJ209" si="64">SUM(AG146:AI146)</f>
        <v>0</v>
      </c>
      <c r="AK146">
        <f t="shared" si="55"/>
        <v>0</v>
      </c>
      <c r="AL146" s="5">
        <f t="shared" si="51"/>
        <v>45787</v>
      </c>
      <c r="AM146" s="25"/>
      <c r="AN146" s="25"/>
      <c r="AO146" s="25"/>
      <c r="AP146" s="6">
        <f t="shared" ref="AP146:AP209" si="65">SUM(AM146:AO146)</f>
        <v>0</v>
      </c>
      <c r="AQ146">
        <f t="shared" si="56"/>
        <v>0</v>
      </c>
    </row>
    <row r="147" spans="1:43" x14ac:dyDescent="0.3">
      <c r="A147" s="5">
        <f t="shared" ref="A147:A210" si="66">A146+1</f>
        <v>43596</v>
      </c>
      <c r="B147" s="25">
        <v>247.67786360001563</v>
      </c>
      <c r="C147" s="25">
        <v>42.617971300000328</v>
      </c>
      <c r="D147" s="25">
        <v>21.933</v>
      </c>
      <c r="E147" s="6">
        <f t="shared" si="60"/>
        <v>312.22883490001595</v>
      </c>
      <c r="F147">
        <f t="shared" si="57"/>
        <v>1</v>
      </c>
      <c r="G147" s="5">
        <f t="shared" ref="G147:G210" si="67">G146+1</f>
        <v>43961</v>
      </c>
      <c r="H147" s="25">
        <v>196.20003990006447</v>
      </c>
      <c r="I147" s="25">
        <v>37.826415599998086</v>
      </c>
      <c r="J147" s="25">
        <v>18.920999999999999</v>
      </c>
      <c r="K147" s="6">
        <f t="shared" si="61"/>
        <v>252.94745550006255</v>
      </c>
      <c r="L147">
        <f t="shared" si="58"/>
        <v>1</v>
      </c>
      <c r="M147" s="5">
        <f t="shared" ref="M147:M210" si="68">M146+1</f>
        <v>44327</v>
      </c>
      <c r="N147" s="25">
        <v>316.86105280005933</v>
      </c>
      <c r="O147" s="25">
        <v>52.353296500004831</v>
      </c>
      <c r="P147" s="25">
        <v>25.865676099999458</v>
      </c>
      <c r="Q147" s="6">
        <f t="shared" si="59"/>
        <v>395.08002540006362</v>
      </c>
      <c r="R147">
        <f t="shared" si="52"/>
        <v>1</v>
      </c>
      <c r="S147" s="5">
        <f t="shared" ref="S147:S210" si="69">S146+1</f>
        <v>44692</v>
      </c>
      <c r="T147" s="25">
        <v>282.85959730005266</v>
      </c>
      <c r="U147" s="25">
        <v>56.123988700002435</v>
      </c>
      <c r="V147" s="25">
        <v>19.643832100000001</v>
      </c>
      <c r="W147" s="6">
        <f t="shared" si="62"/>
        <v>358.62741810005508</v>
      </c>
      <c r="X147">
        <f t="shared" si="53"/>
        <v>1</v>
      </c>
      <c r="Z147" s="5">
        <f t="shared" ref="Z147:Z210" si="70">Z146+1</f>
        <v>44692</v>
      </c>
      <c r="AA147" s="25">
        <v>275.34780509996415</v>
      </c>
      <c r="AB147" s="25">
        <v>61.556251000002028</v>
      </c>
      <c r="AC147" s="25">
        <v>21.838887799998279</v>
      </c>
      <c r="AD147" s="6">
        <f t="shared" si="63"/>
        <v>358.74294389996447</v>
      </c>
      <c r="AE147">
        <f t="shared" si="54"/>
        <v>1</v>
      </c>
      <c r="AF147" s="5">
        <f t="shared" ref="AF147:AF210" si="71">AF146+1</f>
        <v>45422</v>
      </c>
      <c r="AG147" s="25"/>
      <c r="AH147" s="25"/>
      <c r="AI147" s="25"/>
      <c r="AJ147" s="6">
        <f t="shared" si="64"/>
        <v>0</v>
      </c>
      <c r="AK147">
        <f t="shared" si="55"/>
        <v>0</v>
      </c>
      <c r="AL147" s="5">
        <f t="shared" ref="AL147:AL210" si="72">AL146+1</f>
        <v>45788</v>
      </c>
      <c r="AM147" s="25"/>
      <c r="AN147" s="25"/>
      <c r="AO147" s="25"/>
      <c r="AP147" s="6">
        <f t="shared" si="65"/>
        <v>0</v>
      </c>
      <c r="AQ147">
        <f t="shared" si="56"/>
        <v>0</v>
      </c>
    </row>
    <row r="148" spans="1:43" x14ac:dyDescent="0.3">
      <c r="A148" s="5">
        <f t="shared" si="66"/>
        <v>43597</v>
      </c>
      <c r="B148" s="25">
        <v>222.30154470002651</v>
      </c>
      <c r="C148" s="25">
        <v>40.558199699999761</v>
      </c>
      <c r="D148" s="25">
        <v>15.98</v>
      </c>
      <c r="E148" s="6">
        <f t="shared" si="60"/>
        <v>278.83974440002629</v>
      </c>
      <c r="F148">
        <f t="shared" si="57"/>
        <v>1</v>
      </c>
      <c r="G148" s="5">
        <f t="shared" si="67"/>
        <v>43962</v>
      </c>
      <c r="H148" s="25">
        <v>228.69565259993075</v>
      </c>
      <c r="I148" s="25">
        <v>47.811444600000975</v>
      </c>
      <c r="J148" s="25">
        <v>22.097000000000001</v>
      </c>
      <c r="K148" s="6">
        <f t="shared" si="61"/>
        <v>298.60409719993169</v>
      </c>
      <c r="L148">
        <f t="shared" si="58"/>
        <v>1</v>
      </c>
      <c r="M148" s="5">
        <f t="shared" si="68"/>
        <v>44328</v>
      </c>
      <c r="N148" s="25">
        <v>303.06240240001677</v>
      </c>
      <c r="O148" s="25">
        <v>52.246992299996315</v>
      </c>
      <c r="P148" s="25">
        <v>26.110748000000719</v>
      </c>
      <c r="Q148" s="6">
        <f t="shared" si="59"/>
        <v>381.4201427000138</v>
      </c>
      <c r="R148">
        <f t="shared" si="52"/>
        <v>1</v>
      </c>
      <c r="S148" s="5">
        <f t="shared" si="69"/>
        <v>44693</v>
      </c>
      <c r="T148" s="25">
        <v>282.06649599993227</v>
      </c>
      <c r="U148" s="25">
        <v>59.276352099999784</v>
      </c>
      <c r="V148" s="25">
        <v>19.927753899999892</v>
      </c>
      <c r="W148" s="6">
        <f t="shared" si="62"/>
        <v>361.27060199993196</v>
      </c>
      <c r="X148">
        <f t="shared" si="53"/>
        <v>1</v>
      </c>
      <c r="Z148" s="5">
        <f t="shared" si="70"/>
        <v>44693</v>
      </c>
      <c r="AA148" s="25">
        <v>253.8390025999546</v>
      </c>
      <c r="AB148" s="25">
        <v>65.172944499999289</v>
      </c>
      <c r="AC148" s="25">
        <v>23.062505099999253</v>
      </c>
      <c r="AD148" s="6">
        <f t="shared" si="63"/>
        <v>342.07445219995316</v>
      </c>
      <c r="AE148">
        <f t="shared" si="54"/>
        <v>1</v>
      </c>
      <c r="AF148" s="5">
        <f t="shared" si="71"/>
        <v>45423</v>
      </c>
      <c r="AG148" s="25"/>
      <c r="AH148" s="25"/>
      <c r="AI148" s="25"/>
      <c r="AJ148" s="6">
        <f t="shared" si="64"/>
        <v>0</v>
      </c>
      <c r="AK148">
        <f t="shared" si="55"/>
        <v>0</v>
      </c>
      <c r="AL148" s="5">
        <f t="shared" si="72"/>
        <v>45789</v>
      </c>
      <c r="AM148" s="25"/>
      <c r="AN148" s="25"/>
      <c r="AO148" s="25"/>
      <c r="AP148" s="6">
        <f t="shared" si="65"/>
        <v>0</v>
      </c>
      <c r="AQ148">
        <f t="shared" si="56"/>
        <v>0</v>
      </c>
    </row>
    <row r="149" spans="1:43" x14ac:dyDescent="0.3">
      <c r="A149" s="5">
        <f t="shared" si="66"/>
        <v>43598</v>
      </c>
      <c r="B149" s="25">
        <v>256.71774769997597</v>
      </c>
      <c r="C149" s="25">
        <v>43.051364800000563</v>
      </c>
      <c r="D149" s="25">
        <v>20.853999999999999</v>
      </c>
      <c r="E149" s="6">
        <f t="shared" si="60"/>
        <v>320.62311249997651</v>
      </c>
      <c r="F149">
        <f t="shared" si="57"/>
        <v>1</v>
      </c>
      <c r="G149" s="5">
        <f t="shared" si="67"/>
        <v>43963</v>
      </c>
      <c r="H149" s="25">
        <v>240.11069669997693</v>
      </c>
      <c r="I149" s="25">
        <v>47.49197639999911</v>
      </c>
      <c r="J149" s="25">
        <v>23.316800000000001</v>
      </c>
      <c r="K149" s="6">
        <f t="shared" si="61"/>
        <v>310.91947309997602</v>
      </c>
      <c r="L149">
        <f t="shared" si="58"/>
        <v>1</v>
      </c>
      <c r="M149" s="5">
        <f t="shared" si="68"/>
        <v>44329</v>
      </c>
      <c r="N149" s="25">
        <v>266.29212029993533</v>
      </c>
      <c r="O149" s="25">
        <v>52.030438299998643</v>
      </c>
      <c r="P149" s="25">
        <v>26.559259899996455</v>
      </c>
      <c r="Q149" s="6">
        <f t="shared" si="59"/>
        <v>344.88181849993043</v>
      </c>
      <c r="R149">
        <f t="shared" si="52"/>
        <v>1</v>
      </c>
      <c r="S149" s="5">
        <f t="shared" si="69"/>
        <v>44694</v>
      </c>
      <c r="T149" s="25">
        <v>253.28601670002936</v>
      </c>
      <c r="U149" s="25">
        <v>60.619501500010493</v>
      </c>
      <c r="V149" s="25">
        <v>20.944815299999899</v>
      </c>
      <c r="W149" s="6">
        <f t="shared" si="62"/>
        <v>334.85033350003977</v>
      </c>
      <c r="X149">
        <f t="shared" si="53"/>
        <v>1</v>
      </c>
      <c r="Z149" s="5">
        <f t="shared" si="70"/>
        <v>44694</v>
      </c>
      <c r="AA149" s="25">
        <v>252.11811540007591</v>
      </c>
      <c r="AB149" s="25">
        <v>60.327518899992107</v>
      </c>
      <c r="AC149" s="25">
        <v>25.559079500001854</v>
      </c>
      <c r="AD149" s="6">
        <f t="shared" si="63"/>
        <v>338.00471380006991</v>
      </c>
      <c r="AE149">
        <f t="shared" si="54"/>
        <v>1</v>
      </c>
      <c r="AF149" s="5">
        <f t="shared" si="71"/>
        <v>45424</v>
      </c>
      <c r="AG149" s="25"/>
      <c r="AH149" s="25"/>
      <c r="AI149" s="25"/>
      <c r="AJ149" s="6">
        <f t="shared" si="64"/>
        <v>0</v>
      </c>
      <c r="AK149">
        <f t="shared" si="55"/>
        <v>0</v>
      </c>
      <c r="AL149" s="5">
        <f t="shared" si="72"/>
        <v>45790</v>
      </c>
      <c r="AM149" s="25"/>
      <c r="AN149" s="25"/>
      <c r="AO149" s="25"/>
      <c r="AP149" s="6">
        <f t="shared" si="65"/>
        <v>0</v>
      </c>
      <c r="AQ149">
        <f t="shared" si="56"/>
        <v>0</v>
      </c>
    </row>
    <row r="150" spans="1:43" x14ac:dyDescent="0.3">
      <c r="A150" s="5">
        <f t="shared" si="66"/>
        <v>43599</v>
      </c>
      <c r="B150" s="25">
        <v>258.89423159998654</v>
      </c>
      <c r="C150" s="25">
        <v>44.595661599999296</v>
      </c>
      <c r="D150" s="25">
        <v>21.69</v>
      </c>
      <c r="E150" s="6">
        <f t="shared" si="60"/>
        <v>325.17989319998583</v>
      </c>
      <c r="F150">
        <f t="shared" si="57"/>
        <v>1</v>
      </c>
      <c r="G150" s="5">
        <f t="shared" si="67"/>
        <v>43964</v>
      </c>
      <c r="H150" s="25">
        <v>229.78993920004368</v>
      </c>
      <c r="I150" s="25">
        <v>47.540879799999296</v>
      </c>
      <c r="J150" s="25">
        <v>22.705800000000004</v>
      </c>
      <c r="K150" s="6">
        <f t="shared" si="61"/>
        <v>300.036619000043</v>
      </c>
      <c r="L150">
        <f t="shared" si="58"/>
        <v>1</v>
      </c>
      <c r="M150" s="5">
        <f t="shared" si="68"/>
        <v>44330</v>
      </c>
      <c r="N150" s="25">
        <v>297.6693831000328</v>
      </c>
      <c r="O150" s="25">
        <v>53.409236500002443</v>
      </c>
      <c r="P150" s="25">
        <v>26.864337700006786</v>
      </c>
      <c r="Q150" s="6">
        <f t="shared" si="59"/>
        <v>377.94295730004205</v>
      </c>
      <c r="R150">
        <f t="shared" si="52"/>
        <v>1</v>
      </c>
      <c r="S150" s="5">
        <f t="shared" si="69"/>
        <v>44695</v>
      </c>
      <c r="T150" s="25">
        <v>256.44958950006964</v>
      </c>
      <c r="U150" s="25">
        <v>56.979670399993658</v>
      </c>
      <c r="V150" s="25">
        <v>20.2804216</v>
      </c>
      <c r="W150" s="6">
        <f t="shared" si="62"/>
        <v>333.70968150006331</v>
      </c>
      <c r="X150">
        <f t="shared" si="53"/>
        <v>1</v>
      </c>
      <c r="Z150" s="5">
        <f t="shared" si="70"/>
        <v>44695</v>
      </c>
      <c r="AA150" s="25">
        <v>230.18891139996052</v>
      </c>
      <c r="AB150" s="25">
        <v>52.501173299998044</v>
      </c>
      <c r="AC150" s="25">
        <v>14.036134299998171</v>
      </c>
      <c r="AD150" s="6">
        <f t="shared" si="63"/>
        <v>296.72621899995676</v>
      </c>
      <c r="AE150">
        <f t="shared" si="54"/>
        <v>1</v>
      </c>
      <c r="AF150" s="5">
        <f t="shared" si="71"/>
        <v>45425</v>
      </c>
      <c r="AG150" s="25"/>
      <c r="AH150" s="25"/>
      <c r="AI150" s="25"/>
      <c r="AJ150" s="6">
        <f t="shared" si="64"/>
        <v>0</v>
      </c>
      <c r="AK150">
        <f t="shared" si="55"/>
        <v>0</v>
      </c>
      <c r="AL150" s="5">
        <f t="shared" si="72"/>
        <v>45791</v>
      </c>
      <c r="AM150" s="25"/>
      <c r="AN150" s="25"/>
      <c r="AO150" s="25"/>
      <c r="AP150" s="6">
        <f t="shared" si="65"/>
        <v>0</v>
      </c>
      <c r="AQ150">
        <f t="shared" si="56"/>
        <v>0</v>
      </c>
    </row>
    <row r="151" spans="1:43" x14ac:dyDescent="0.3">
      <c r="A151" s="5">
        <f t="shared" si="66"/>
        <v>43600</v>
      </c>
      <c r="B151" s="25">
        <v>262.79882709997895</v>
      </c>
      <c r="C151" s="25">
        <v>46.925944500001144</v>
      </c>
      <c r="D151" s="25">
        <v>21.486999999999998</v>
      </c>
      <c r="E151" s="6">
        <f t="shared" si="60"/>
        <v>331.21177159998012</v>
      </c>
      <c r="F151">
        <f t="shared" si="57"/>
        <v>1</v>
      </c>
      <c r="G151" s="5">
        <f t="shared" si="67"/>
        <v>43965</v>
      </c>
      <c r="H151" s="25">
        <v>224.74441200006009</v>
      </c>
      <c r="I151" s="25">
        <v>46.932397500000896</v>
      </c>
      <c r="J151" s="25">
        <v>24.22</v>
      </c>
      <c r="K151" s="6">
        <f t="shared" si="61"/>
        <v>295.89680950006095</v>
      </c>
      <c r="L151">
        <f t="shared" si="58"/>
        <v>1</v>
      </c>
      <c r="M151" s="5">
        <f t="shared" si="68"/>
        <v>44331</v>
      </c>
      <c r="N151" s="25">
        <v>275.56191569995877</v>
      </c>
      <c r="O151" s="25">
        <v>44.03717069999874</v>
      </c>
      <c r="P151" s="25">
        <v>19.159456000000706</v>
      </c>
      <c r="Q151" s="6">
        <f t="shared" si="59"/>
        <v>338.75854239995823</v>
      </c>
      <c r="R151">
        <f t="shared" si="52"/>
        <v>1</v>
      </c>
      <c r="S151" s="5">
        <f t="shared" si="69"/>
        <v>44696</v>
      </c>
      <c r="T151" s="25">
        <v>262.13429209995269</v>
      </c>
      <c r="U151" s="25">
        <v>50.244712600007652</v>
      </c>
      <c r="V151" s="25">
        <v>17.450206800000043</v>
      </c>
      <c r="W151" s="6">
        <f t="shared" si="62"/>
        <v>329.82921149996037</v>
      </c>
      <c r="X151">
        <f t="shared" si="53"/>
        <v>1</v>
      </c>
      <c r="Z151" s="5">
        <f t="shared" si="70"/>
        <v>44696</v>
      </c>
      <c r="AA151" s="25">
        <v>279.33135920000075</v>
      </c>
      <c r="AB151" s="25">
        <v>62.058912100002168</v>
      </c>
      <c r="AC151" s="25">
        <v>25.526689799999353</v>
      </c>
      <c r="AD151" s="6">
        <f t="shared" si="63"/>
        <v>366.91696110000225</v>
      </c>
      <c r="AE151">
        <f t="shared" si="54"/>
        <v>1</v>
      </c>
      <c r="AF151" s="5">
        <f t="shared" si="71"/>
        <v>45426</v>
      </c>
      <c r="AG151" s="25"/>
      <c r="AH151" s="25"/>
      <c r="AI151" s="25"/>
      <c r="AJ151" s="6">
        <f t="shared" si="64"/>
        <v>0</v>
      </c>
      <c r="AK151">
        <f t="shared" si="55"/>
        <v>0</v>
      </c>
      <c r="AL151" s="5">
        <f t="shared" si="72"/>
        <v>45792</v>
      </c>
      <c r="AM151" s="25"/>
      <c r="AN151" s="25"/>
      <c r="AO151" s="25"/>
      <c r="AP151" s="6">
        <f t="shared" si="65"/>
        <v>0</v>
      </c>
      <c r="AQ151">
        <f t="shared" si="56"/>
        <v>0</v>
      </c>
    </row>
    <row r="152" spans="1:43" x14ac:dyDescent="0.3">
      <c r="A152" s="5">
        <f t="shared" si="66"/>
        <v>43601</v>
      </c>
      <c r="B152" s="25">
        <v>263.28096510004997</v>
      </c>
      <c r="C152" s="25">
        <v>46.034661000000312</v>
      </c>
      <c r="D152" s="25">
        <v>21.972999999999999</v>
      </c>
      <c r="E152" s="6">
        <f t="shared" si="60"/>
        <v>331.28862610005029</v>
      </c>
      <c r="F152">
        <f t="shared" si="57"/>
        <v>1</v>
      </c>
      <c r="G152" s="5">
        <f t="shared" si="67"/>
        <v>43966</v>
      </c>
      <c r="H152" s="25">
        <v>245.59216729998587</v>
      </c>
      <c r="I152" s="25">
        <v>49.678997299998997</v>
      </c>
      <c r="J152" s="25">
        <v>23.754999999999999</v>
      </c>
      <c r="K152" s="6">
        <f t="shared" si="61"/>
        <v>319.0261645999849</v>
      </c>
      <c r="L152">
        <f t="shared" si="58"/>
        <v>1</v>
      </c>
      <c r="M152" s="5">
        <f t="shared" si="68"/>
        <v>44332</v>
      </c>
      <c r="N152" s="25">
        <v>273.75786040008069</v>
      </c>
      <c r="O152" s="25">
        <v>43.261804600000382</v>
      </c>
      <c r="P152" s="25">
        <v>18.197842299998737</v>
      </c>
      <c r="Q152" s="6">
        <f t="shared" si="59"/>
        <v>335.21750730007983</v>
      </c>
      <c r="R152">
        <f t="shared" si="52"/>
        <v>1</v>
      </c>
      <c r="S152" s="5">
        <f t="shared" si="69"/>
        <v>44697</v>
      </c>
      <c r="T152" s="25">
        <v>321.42441620004178</v>
      </c>
      <c r="U152" s="25">
        <v>58.764210499987009</v>
      </c>
      <c r="V152" s="25">
        <v>20.254135600000154</v>
      </c>
      <c r="W152" s="6">
        <f t="shared" si="62"/>
        <v>400.44276230002896</v>
      </c>
      <c r="X152">
        <f t="shared" si="53"/>
        <v>1</v>
      </c>
      <c r="Z152" s="5">
        <f t="shared" si="70"/>
        <v>44697</v>
      </c>
      <c r="AA152" s="25">
        <v>281.3308236000538</v>
      </c>
      <c r="AB152" s="25">
        <v>64.039830200001603</v>
      </c>
      <c r="AC152" s="25">
        <v>25.326456800002138</v>
      </c>
      <c r="AD152" s="6">
        <f t="shared" si="63"/>
        <v>370.6971106000575</v>
      </c>
      <c r="AE152">
        <f t="shared" si="54"/>
        <v>1</v>
      </c>
      <c r="AF152" s="5">
        <f t="shared" si="71"/>
        <v>45427</v>
      </c>
      <c r="AG152" s="25"/>
      <c r="AH152" s="25"/>
      <c r="AI152" s="25"/>
      <c r="AJ152" s="6">
        <f t="shared" si="64"/>
        <v>0</v>
      </c>
      <c r="AK152">
        <f t="shared" si="55"/>
        <v>0</v>
      </c>
      <c r="AL152" s="5">
        <f t="shared" si="72"/>
        <v>45793</v>
      </c>
      <c r="AM152" s="25"/>
      <c r="AN152" s="25"/>
      <c r="AO152" s="25"/>
      <c r="AP152" s="6">
        <f t="shared" si="65"/>
        <v>0</v>
      </c>
      <c r="AQ152">
        <f t="shared" si="56"/>
        <v>0</v>
      </c>
    </row>
    <row r="153" spans="1:43" x14ac:dyDescent="0.3">
      <c r="A153" s="5">
        <f t="shared" si="66"/>
        <v>43602</v>
      </c>
      <c r="B153" s="25">
        <v>267.19848259997366</v>
      </c>
      <c r="C153" s="25">
        <v>45.000171000000087</v>
      </c>
      <c r="D153" s="25">
        <v>22.015000000000001</v>
      </c>
      <c r="E153" s="6">
        <f t="shared" si="60"/>
        <v>334.21365359997372</v>
      </c>
      <c r="F153">
        <f t="shared" si="57"/>
        <v>1</v>
      </c>
      <c r="G153" s="5">
        <f t="shared" si="67"/>
        <v>43967</v>
      </c>
      <c r="H153" s="25">
        <v>235.15881199991702</v>
      </c>
      <c r="I153" s="25">
        <v>45.832934000000357</v>
      </c>
      <c r="J153" s="25">
        <v>24.161000000000001</v>
      </c>
      <c r="K153" s="6">
        <f t="shared" si="61"/>
        <v>305.15274599991739</v>
      </c>
      <c r="L153">
        <f t="shared" si="58"/>
        <v>1</v>
      </c>
      <c r="M153" s="5">
        <f t="shared" si="68"/>
        <v>44333</v>
      </c>
      <c r="N153" s="25">
        <v>308.64066939997673</v>
      </c>
      <c r="O153" s="25">
        <v>51.207443100005385</v>
      </c>
      <c r="P153" s="25">
        <v>26.341168700000505</v>
      </c>
      <c r="Q153" s="6">
        <f t="shared" si="59"/>
        <v>386.18928119998259</v>
      </c>
      <c r="R153">
        <f t="shared" si="52"/>
        <v>1</v>
      </c>
      <c r="S153" s="5">
        <f t="shared" si="69"/>
        <v>44698</v>
      </c>
      <c r="T153" s="25">
        <v>287.19391759991646</v>
      </c>
      <c r="U153" s="25">
        <v>60.478118400007489</v>
      </c>
      <c r="V153" s="25">
        <v>20.643028899999567</v>
      </c>
      <c r="W153" s="6">
        <f t="shared" si="62"/>
        <v>368.31506489992353</v>
      </c>
      <c r="X153">
        <f t="shared" si="53"/>
        <v>1</v>
      </c>
      <c r="Z153" s="5">
        <f t="shared" si="70"/>
        <v>44698</v>
      </c>
      <c r="AA153" s="25">
        <v>235.05742639994622</v>
      </c>
      <c r="AB153" s="25">
        <v>64.313453999996185</v>
      </c>
      <c r="AC153" s="25">
        <v>22.596552099999506</v>
      </c>
      <c r="AD153" s="6">
        <f t="shared" si="63"/>
        <v>321.96743249994188</v>
      </c>
      <c r="AE153">
        <f t="shared" si="54"/>
        <v>1</v>
      </c>
      <c r="AF153" s="5">
        <f t="shared" si="71"/>
        <v>45428</v>
      </c>
      <c r="AG153" s="25"/>
      <c r="AH153" s="25"/>
      <c r="AI153" s="25"/>
      <c r="AJ153" s="6">
        <f t="shared" si="64"/>
        <v>0</v>
      </c>
      <c r="AK153">
        <f t="shared" si="55"/>
        <v>0</v>
      </c>
      <c r="AL153" s="5">
        <f t="shared" si="72"/>
        <v>45794</v>
      </c>
      <c r="AM153" s="25"/>
      <c r="AN153" s="25"/>
      <c r="AO153" s="25"/>
      <c r="AP153" s="6">
        <f t="shared" si="65"/>
        <v>0</v>
      </c>
      <c r="AQ153">
        <f t="shared" si="56"/>
        <v>0</v>
      </c>
    </row>
    <row r="154" spans="1:43" x14ac:dyDescent="0.3">
      <c r="A154" s="5">
        <f t="shared" si="66"/>
        <v>43603</v>
      </c>
      <c r="B154" s="25">
        <v>247.52507410001755</v>
      </c>
      <c r="C154" s="25">
        <v>45.00391259999946</v>
      </c>
      <c r="D154" s="25">
        <v>21.811</v>
      </c>
      <c r="E154" s="6">
        <f t="shared" si="60"/>
        <v>314.33998670001699</v>
      </c>
      <c r="F154">
        <f t="shared" si="57"/>
        <v>1</v>
      </c>
      <c r="G154" s="5">
        <f t="shared" si="67"/>
        <v>43968</v>
      </c>
      <c r="H154" s="25">
        <v>231.68895270001889</v>
      </c>
      <c r="I154" s="25">
        <v>41.131666500002147</v>
      </c>
      <c r="J154" s="25">
        <v>19.305</v>
      </c>
      <c r="K154" s="6">
        <f t="shared" si="61"/>
        <v>292.12561920002105</v>
      </c>
      <c r="L154">
        <f t="shared" si="58"/>
        <v>1</v>
      </c>
      <c r="M154" s="5">
        <f t="shared" si="68"/>
        <v>44334</v>
      </c>
      <c r="N154" s="25">
        <v>331.78283799993994</v>
      </c>
      <c r="O154" s="25">
        <v>50.957119499996303</v>
      </c>
      <c r="P154" s="25">
        <v>26.699850999996766</v>
      </c>
      <c r="Q154" s="6">
        <f t="shared" si="59"/>
        <v>409.43980849993301</v>
      </c>
      <c r="R154">
        <f t="shared" si="52"/>
        <v>1</v>
      </c>
      <c r="S154" s="5">
        <f t="shared" si="69"/>
        <v>44699</v>
      </c>
      <c r="T154" s="25">
        <v>303.58709940004348</v>
      </c>
      <c r="U154" s="25">
        <v>60.599726699993013</v>
      </c>
      <c r="V154" s="25">
        <v>20.98497190000047</v>
      </c>
      <c r="W154" s="6">
        <f t="shared" si="62"/>
        <v>385.17179800003697</v>
      </c>
      <c r="X154">
        <f t="shared" si="53"/>
        <v>1</v>
      </c>
      <c r="Z154" s="5">
        <f t="shared" si="70"/>
        <v>44699</v>
      </c>
      <c r="AA154" s="25">
        <v>240.76368400001525</v>
      </c>
      <c r="AB154" s="25">
        <v>65.41814390000701</v>
      </c>
      <c r="AC154" s="25">
        <v>22.332178399997762</v>
      </c>
      <c r="AD154" s="6">
        <f t="shared" si="63"/>
        <v>328.51400630002001</v>
      </c>
      <c r="AE154">
        <f t="shared" si="54"/>
        <v>1</v>
      </c>
      <c r="AF154" s="5">
        <f t="shared" si="71"/>
        <v>45429</v>
      </c>
      <c r="AG154" s="25"/>
      <c r="AH154" s="25"/>
      <c r="AI154" s="25"/>
      <c r="AJ154" s="6">
        <f t="shared" si="64"/>
        <v>0</v>
      </c>
      <c r="AK154">
        <f t="shared" si="55"/>
        <v>0</v>
      </c>
      <c r="AL154" s="5">
        <f t="shared" si="72"/>
        <v>45795</v>
      </c>
      <c r="AM154" s="25"/>
      <c r="AN154" s="25"/>
      <c r="AO154" s="25"/>
      <c r="AP154" s="6">
        <f t="shared" si="65"/>
        <v>0</v>
      </c>
      <c r="AQ154">
        <f t="shared" si="56"/>
        <v>0</v>
      </c>
    </row>
    <row r="155" spans="1:43" x14ac:dyDescent="0.3">
      <c r="A155" s="5">
        <f t="shared" si="66"/>
        <v>43604</v>
      </c>
      <c r="B155" s="25">
        <v>224.80341780000924</v>
      </c>
      <c r="C155" s="25">
        <v>40.885618000000719</v>
      </c>
      <c r="D155" s="25">
        <v>17.515000000000001</v>
      </c>
      <c r="E155" s="6">
        <f t="shared" si="60"/>
        <v>283.20403580000993</v>
      </c>
      <c r="F155">
        <f t="shared" si="57"/>
        <v>1</v>
      </c>
      <c r="G155" s="5">
        <f t="shared" si="67"/>
        <v>43969</v>
      </c>
      <c r="H155" s="25">
        <v>256.78096370005608</v>
      </c>
      <c r="I155" s="25">
        <v>49.79803859999776</v>
      </c>
      <c r="J155" s="25">
        <v>22.959</v>
      </c>
      <c r="K155" s="6">
        <f t="shared" si="61"/>
        <v>329.53800230005385</v>
      </c>
      <c r="L155">
        <f t="shared" si="58"/>
        <v>1</v>
      </c>
      <c r="M155" s="5">
        <f t="shared" si="68"/>
        <v>44335</v>
      </c>
      <c r="N155" s="25">
        <v>324.46100600004195</v>
      </c>
      <c r="O155" s="25">
        <v>51.002995499998335</v>
      </c>
      <c r="P155" s="25">
        <v>27.356602800002321</v>
      </c>
      <c r="Q155" s="6">
        <f t="shared" si="59"/>
        <v>402.82060430004265</v>
      </c>
      <c r="R155">
        <f t="shared" si="52"/>
        <v>1</v>
      </c>
      <c r="S155" s="5">
        <f t="shared" si="69"/>
        <v>44700</v>
      </c>
      <c r="T155" s="25">
        <v>295.19401489996909</v>
      </c>
      <c r="U155" s="25">
        <v>61.670647300004958</v>
      </c>
      <c r="V155" s="25">
        <v>20.898915799999376</v>
      </c>
      <c r="W155" s="6">
        <f t="shared" si="62"/>
        <v>377.76357799997345</v>
      </c>
      <c r="X155">
        <f t="shared" si="53"/>
        <v>1</v>
      </c>
      <c r="Z155" s="5">
        <f t="shared" si="70"/>
        <v>44700</v>
      </c>
      <c r="AA155" s="25">
        <v>256.37231990003585</v>
      </c>
      <c r="AB155" s="25">
        <v>64.693422600001099</v>
      </c>
      <c r="AC155" s="25">
        <v>23.001680200002621</v>
      </c>
      <c r="AD155" s="6">
        <f t="shared" si="63"/>
        <v>344.06742270003957</v>
      </c>
      <c r="AE155">
        <f t="shared" si="54"/>
        <v>1</v>
      </c>
      <c r="AF155" s="5">
        <f t="shared" si="71"/>
        <v>45430</v>
      </c>
      <c r="AG155" s="25"/>
      <c r="AH155" s="25"/>
      <c r="AI155" s="25"/>
      <c r="AJ155" s="6">
        <f t="shared" si="64"/>
        <v>0</v>
      </c>
      <c r="AK155">
        <f t="shared" si="55"/>
        <v>0</v>
      </c>
      <c r="AL155" s="5">
        <f t="shared" si="72"/>
        <v>45796</v>
      </c>
      <c r="AM155" s="25"/>
      <c r="AN155" s="25"/>
      <c r="AO155" s="25"/>
      <c r="AP155" s="6">
        <f t="shared" si="65"/>
        <v>0</v>
      </c>
      <c r="AQ155">
        <f t="shared" si="56"/>
        <v>0</v>
      </c>
    </row>
    <row r="156" spans="1:43" x14ac:dyDescent="0.3">
      <c r="A156" s="5">
        <f t="shared" si="66"/>
        <v>43605</v>
      </c>
      <c r="B156" s="25">
        <v>248.47660639995337</v>
      </c>
      <c r="C156" s="25">
        <v>46.175493299998344</v>
      </c>
      <c r="D156" s="25">
        <v>21.088000000000001</v>
      </c>
      <c r="E156" s="6">
        <f t="shared" si="60"/>
        <v>315.74009969995171</v>
      </c>
      <c r="F156">
        <f t="shared" si="57"/>
        <v>1</v>
      </c>
      <c r="G156" s="5">
        <f t="shared" si="67"/>
        <v>43970</v>
      </c>
      <c r="H156" s="25">
        <v>251.96418819999695</v>
      </c>
      <c r="I156" s="25">
        <v>49.05370380000025</v>
      </c>
      <c r="J156" s="25">
        <v>24.445</v>
      </c>
      <c r="K156" s="6">
        <f t="shared" si="61"/>
        <v>325.46289199999723</v>
      </c>
      <c r="L156">
        <f t="shared" si="58"/>
        <v>1</v>
      </c>
      <c r="M156" s="5">
        <f t="shared" si="68"/>
        <v>44336</v>
      </c>
      <c r="N156" s="25">
        <v>323.60993929994106</v>
      </c>
      <c r="O156" s="25">
        <v>50.015770700000225</v>
      </c>
      <c r="P156" s="25">
        <v>25.876012099999933</v>
      </c>
      <c r="Q156" s="6">
        <f t="shared" si="59"/>
        <v>399.50172209994122</v>
      </c>
      <c r="R156">
        <f t="shared" si="52"/>
        <v>1</v>
      </c>
      <c r="S156" s="5">
        <f t="shared" si="69"/>
        <v>44701</v>
      </c>
      <c r="T156" s="25">
        <v>314.54166970002649</v>
      </c>
      <c r="U156" s="25">
        <v>60.583840700000522</v>
      </c>
      <c r="V156" s="25">
        <v>20.011145300000209</v>
      </c>
      <c r="W156" s="6">
        <f t="shared" si="62"/>
        <v>395.13665570002718</v>
      </c>
      <c r="X156">
        <f t="shared" si="53"/>
        <v>1</v>
      </c>
      <c r="Z156" s="5">
        <f t="shared" si="70"/>
        <v>44701</v>
      </c>
      <c r="AA156" s="25">
        <v>252.76780309998989</v>
      </c>
      <c r="AB156" s="25">
        <v>60.736101699993014</v>
      </c>
      <c r="AC156" s="25">
        <v>23.967802000000606</v>
      </c>
      <c r="AD156" s="6">
        <f t="shared" si="63"/>
        <v>337.47170679998356</v>
      </c>
      <c r="AE156">
        <f t="shared" si="54"/>
        <v>1</v>
      </c>
      <c r="AF156" s="5">
        <f t="shared" si="71"/>
        <v>45431</v>
      </c>
      <c r="AG156" s="25"/>
      <c r="AH156" s="25"/>
      <c r="AI156" s="25"/>
      <c r="AJ156" s="6">
        <f t="shared" si="64"/>
        <v>0</v>
      </c>
      <c r="AK156">
        <f t="shared" si="55"/>
        <v>0</v>
      </c>
      <c r="AL156" s="5">
        <f t="shared" si="72"/>
        <v>45797</v>
      </c>
      <c r="AM156" s="25"/>
      <c r="AN156" s="25"/>
      <c r="AO156" s="25"/>
      <c r="AP156" s="6">
        <f t="shared" si="65"/>
        <v>0</v>
      </c>
      <c r="AQ156">
        <f t="shared" si="56"/>
        <v>0</v>
      </c>
    </row>
    <row r="157" spans="1:43" x14ac:dyDescent="0.3">
      <c r="A157" s="5">
        <f t="shared" si="66"/>
        <v>43606</v>
      </c>
      <c r="B157" s="25">
        <v>228.38473590004443</v>
      </c>
      <c r="C157" s="25">
        <v>40.974421000000092</v>
      </c>
      <c r="D157" s="25">
        <v>18.623000000000001</v>
      </c>
      <c r="E157" s="6">
        <f t="shared" si="60"/>
        <v>287.98215690004452</v>
      </c>
      <c r="F157">
        <f t="shared" si="57"/>
        <v>1</v>
      </c>
      <c r="G157" s="5">
        <f t="shared" si="67"/>
        <v>43971</v>
      </c>
      <c r="H157" s="25">
        <v>255.62417879998685</v>
      </c>
      <c r="I157" s="25">
        <v>48.772564400002359</v>
      </c>
      <c r="J157" s="25">
        <v>18.332999999999998</v>
      </c>
      <c r="K157" s="6">
        <f t="shared" si="61"/>
        <v>322.72974319998923</v>
      </c>
      <c r="L157">
        <f t="shared" si="58"/>
        <v>1</v>
      </c>
      <c r="M157" s="5">
        <f t="shared" si="68"/>
        <v>44337</v>
      </c>
      <c r="N157" s="25">
        <v>284.51397830009461</v>
      </c>
      <c r="O157" s="25">
        <v>46.569979100003842</v>
      </c>
      <c r="P157" s="25">
        <v>22.175733499998692</v>
      </c>
      <c r="Q157" s="6">
        <f t="shared" si="59"/>
        <v>353.2596909000971</v>
      </c>
      <c r="R157">
        <f t="shared" si="52"/>
        <v>1</v>
      </c>
      <c r="S157" s="5">
        <f t="shared" si="69"/>
        <v>44702</v>
      </c>
      <c r="T157" s="25">
        <v>245.71735189998151</v>
      </c>
      <c r="U157" s="25">
        <v>48.731811000004413</v>
      </c>
      <c r="V157" s="25">
        <v>17.886366300000578</v>
      </c>
      <c r="W157" s="6">
        <f t="shared" si="62"/>
        <v>312.33552919998652</v>
      </c>
      <c r="X157">
        <f t="shared" si="53"/>
        <v>1</v>
      </c>
      <c r="Z157" s="5">
        <f t="shared" si="70"/>
        <v>44702</v>
      </c>
      <c r="AA157" s="25">
        <v>235.45346179997921</v>
      </c>
      <c r="AB157" s="25">
        <v>50.867134200006724</v>
      </c>
      <c r="AC157" s="25">
        <v>18.165386399998329</v>
      </c>
      <c r="AD157" s="6">
        <f t="shared" si="63"/>
        <v>304.48598239998427</v>
      </c>
      <c r="AE157">
        <f t="shared" si="54"/>
        <v>1</v>
      </c>
      <c r="AF157" s="5">
        <f t="shared" si="71"/>
        <v>45432</v>
      </c>
      <c r="AG157" s="25"/>
      <c r="AH157" s="25"/>
      <c r="AI157" s="25"/>
      <c r="AJ157" s="6">
        <f t="shared" si="64"/>
        <v>0</v>
      </c>
      <c r="AK157">
        <f t="shared" si="55"/>
        <v>0</v>
      </c>
      <c r="AL157" s="5">
        <f t="shared" si="72"/>
        <v>45798</v>
      </c>
      <c r="AM157" s="25"/>
      <c r="AN157" s="25"/>
      <c r="AO157" s="25"/>
      <c r="AP157" s="6">
        <f t="shared" si="65"/>
        <v>0</v>
      </c>
      <c r="AQ157">
        <f t="shared" si="56"/>
        <v>0</v>
      </c>
    </row>
    <row r="158" spans="1:43" x14ac:dyDescent="0.3">
      <c r="A158" s="5">
        <f t="shared" si="66"/>
        <v>43607</v>
      </c>
      <c r="B158" s="25">
        <v>300.98670229995253</v>
      </c>
      <c r="C158" s="25">
        <v>47.145013600001114</v>
      </c>
      <c r="D158" s="25">
        <v>21.547999999999998</v>
      </c>
      <c r="E158" s="6">
        <f t="shared" si="60"/>
        <v>369.67971589995364</v>
      </c>
      <c r="F158">
        <f t="shared" si="57"/>
        <v>1</v>
      </c>
      <c r="G158" s="5">
        <f t="shared" si="67"/>
        <v>43972</v>
      </c>
      <c r="H158" s="25">
        <v>229.07266970002652</v>
      </c>
      <c r="I158" s="25">
        <v>42.260813699997961</v>
      </c>
      <c r="J158" s="25">
        <v>16.670000000000002</v>
      </c>
      <c r="K158" s="6">
        <f t="shared" si="61"/>
        <v>288.00348340002449</v>
      </c>
      <c r="L158">
        <f t="shared" si="58"/>
        <v>1</v>
      </c>
      <c r="M158" s="5">
        <f t="shared" si="68"/>
        <v>44338</v>
      </c>
      <c r="N158" s="25">
        <v>310.12309449994564</v>
      </c>
      <c r="O158" s="25">
        <v>46.724233399994674</v>
      </c>
      <c r="P158" s="25">
        <v>24.883331500002416</v>
      </c>
      <c r="Q158" s="6">
        <f t="shared" si="59"/>
        <v>381.73065939994274</v>
      </c>
      <c r="R158">
        <f t="shared" si="52"/>
        <v>1</v>
      </c>
      <c r="S158" s="5">
        <f t="shared" si="69"/>
        <v>44703</v>
      </c>
      <c r="T158" s="25">
        <v>241.74709399998187</v>
      </c>
      <c r="U158" s="25">
        <v>44.861754199996589</v>
      </c>
      <c r="V158" s="25">
        <v>17.297524199999636</v>
      </c>
      <c r="W158" s="6">
        <f t="shared" si="62"/>
        <v>303.90637239997812</v>
      </c>
      <c r="X158">
        <f t="shared" si="53"/>
        <v>1</v>
      </c>
      <c r="Z158" s="5">
        <f t="shared" si="70"/>
        <v>44703</v>
      </c>
      <c r="AA158" s="25">
        <v>283.07464649999145</v>
      </c>
      <c r="AB158" s="25">
        <v>63.929529499992725</v>
      </c>
      <c r="AC158" s="25">
        <v>25.591480900001713</v>
      </c>
      <c r="AD158" s="6">
        <f t="shared" si="63"/>
        <v>372.5956568999859</v>
      </c>
      <c r="AE158">
        <f t="shared" si="54"/>
        <v>1</v>
      </c>
      <c r="AF158" s="5">
        <f t="shared" si="71"/>
        <v>45433</v>
      </c>
      <c r="AG158" s="25"/>
      <c r="AH158" s="25"/>
      <c r="AI158" s="25"/>
      <c r="AJ158" s="6">
        <f t="shared" si="64"/>
        <v>0</v>
      </c>
      <c r="AK158">
        <f t="shared" si="55"/>
        <v>0</v>
      </c>
      <c r="AL158" s="5">
        <f t="shared" si="72"/>
        <v>45799</v>
      </c>
      <c r="AM158" s="25"/>
      <c r="AN158" s="25"/>
      <c r="AO158" s="25"/>
      <c r="AP158" s="6">
        <f t="shared" si="65"/>
        <v>0</v>
      </c>
      <c r="AQ158">
        <f t="shared" si="56"/>
        <v>0</v>
      </c>
    </row>
    <row r="159" spans="1:43" x14ac:dyDescent="0.3">
      <c r="A159" s="5">
        <f t="shared" si="66"/>
        <v>43608</v>
      </c>
      <c r="B159" s="25">
        <v>319.04093000000717</v>
      </c>
      <c r="C159" s="25">
        <v>48.059879300000148</v>
      </c>
      <c r="D159" s="25">
        <v>21.765000000000001</v>
      </c>
      <c r="E159" s="6">
        <f t="shared" si="60"/>
        <v>388.8658093000073</v>
      </c>
      <c r="F159">
        <f t="shared" si="57"/>
        <v>1</v>
      </c>
      <c r="G159" s="5">
        <f t="shared" si="67"/>
        <v>43973</v>
      </c>
      <c r="H159" s="25">
        <v>254.07333050000668</v>
      </c>
      <c r="I159" s="25">
        <v>48.921457299999894</v>
      </c>
      <c r="J159" s="25">
        <v>24.415800000000004</v>
      </c>
      <c r="K159" s="6">
        <f t="shared" si="61"/>
        <v>327.41058780000657</v>
      </c>
      <c r="L159">
        <f t="shared" si="58"/>
        <v>1</v>
      </c>
      <c r="M159" s="5">
        <f t="shared" si="68"/>
        <v>44339</v>
      </c>
      <c r="N159" s="25">
        <v>287.97307990002633</v>
      </c>
      <c r="O159" s="25">
        <v>44.307318900004027</v>
      </c>
      <c r="P159" s="25">
        <v>22.104815099993022</v>
      </c>
      <c r="Q159" s="6">
        <f t="shared" si="59"/>
        <v>354.38521390002336</v>
      </c>
      <c r="R159">
        <f t="shared" si="52"/>
        <v>1</v>
      </c>
      <c r="S159" s="5">
        <f t="shared" si="69"/>
        <v>44704</v>
      </c>
      <c r="T159" s="25">
        <v>266.1660029000044</v>
      </c>
      <c r="U159" s="25">
        <v>57.94080239999294</v>
      </c>
      <c r="V159" s="25">
        <v>19.729781800000229</v>
      </c>
      <c r="W159" s="6">
        <f t="shared" si="62"/>
        <v>343.83658709999759</v>
      </c>
      <c r="X159">
        <f t="shared" si="53"/>
        <v>1</v>
      </c>
      <c r="Z159" s="5">
        <f t="shared" si="70"/>
        <v>44704</v>
      </c>
      <c r="AA159" s="25">
        <v>274.80651909995078</v>
      </c>
      <c r="AB159" s="25">
        <v>65.600728600010271</v>
      </c>
      <c r="AC159" s="25">
        <v>25.845735199999066</v>
      </c>
      <c r="AD159" s="6">
        <f t="shared" si="63"/>
        <v>366.2529828999601</v>
      </c>
      <c r="AE159">
        <f t="shared" si="54"/>
        <v>1</v>
      </c>
      <c r="AF159" s="5">
        <f t="shared" si="71"/>
        <v>45434</v>
      </c>
      <c r="AG159" s="25"/>
      <c r="AH159" s="25"/>
      <c r="AI159" s="25"/>
      <c r="AJ159" s="6">
        <f t="shared" si="64"/>
        <v>0</v>
      </c>
      <c r="AK159">
        <f t="shared" si="55"/>
        <v>0</v>
      </c>
      <c r="AL159" s="5">
        <f t="shared" si="72"/>
        <v>45800</v>
      </c>
      <c r="AM159" s="25"/>
      <c r="AN159" s="25"/>
      <c r="AO159" s="25"/>
      <c r="AP159" s="6">
        <f t="shared" si="65"/>
        <v>0</v>
      </c>
      <c r="AQ159">
        <f t="shared" si="56"/>
        <v>0</v>
      </c>
    </row>
    <row r="160" spans="1:43" x14ac:dyDescent="0.3">
      <c r="A160" s="5">
        <f t="shared" si="66"/>
        <v>43609</v>
      </c>
      <c r="B160" s="25">
        <v>311.43542570000886</v>
      </c>
      <c r="C160" s="25">
        <v>43.654777300000191</v>
      </c>
      <c r="D160" s="25">
        <v>23.285</v>
      </c>
      <c r="E160" s="6">
        <f t="shared" si="60"/>
        <v>378.37520300000909</v>
      </c>
      <c r="F160">
        <f t="shared" si="57"/>
        <v>1</v>
      </c>
      <c r="G160" s="5">
        <f t="shared" si="67"/>
        <v>43974</v>
      </c>
      <c r="H160" s="25">
        <v>244.73845459997654</v>
      </c>
      <c r="I160" s="25">
        <v>46.305201799999921</v>
      </c>
      <c r="J160" s="25">
        <v>23.430199999999999</v>
      </c>
      <c r="K160" s="6">
        <f t="shared" si="61"/>
        <v>314.47385639997646</v>
      </c>
      <c r="L160">
        <f t="shared" si="58"/>
        <v>1</v>
      </c>
      <c r="M160" s="5">
        <f t="shared" si="68"/>
        <v>44340</v>
      </c>
      <c r="N160" s="25">
        <v>302.45539740002152</v>
      </c>
      <c r="O160" s="25">
        <v>51.463874600000679</v>
      </c>
      <c r="P160" s="25">
        <v>27.029597300000489</v>
      </c>
      <c r="Q160" s="6">
        <f t="shared" si="59"/>
        <v>380.94886930002269</v>
      </c>
      <c r="R160">
        <f t="shared" si="52"/>
        <v>1</v>
      </c>
      <c r="S160" s="5">
        <f t="shared" si="69"/>
        <v>44705</v>
      </c>
      <c r="T160" s="25">
        <v>261.54292940008639</v>
      </c>
      <c r="U160" s="25">
        <v>59.107517000004648</v>
      </c>
      <c r="V160" s="25">
        <v>19.990280200000154</v>
      </c>
      <c r="W160" s="6">
        <f t="shared" si="62"/>
        <v>340.64072660009117</v>
      </c>
      <c r="X160">
        <f t="shared" si="53"/>
        <v>1</v>
      </c>
      <c r="Z160" s="5">
        <f t="shared" si="70"/>
        <v>44705</v>
      </c>
      <c r="AA160" s="25">
        <v>274.12809650003908</v>
      </c>
      <c r="AB160" s="25">
        <v>63.357472499996426</v>
      </c>
      <c r="AC160" s="25">
        <v>25.20353799999971</v>
      </c>
      <c r="AD160" s="6">
        <f t="shared" si="63"/>
        <v>362.68910700003522</v>
      </c>
      <c r="AE160">
        <f t="shared" si="54"/>
        <v>1</v>
      </c>
      <c r="AF160" s="5">
        <f t="shared" si="71"/>
        <v>45435</v>
      </c>
      <c r="AG160" s="25"/>
      <c r="AH160" s="25"/>
      <c r="AI160" s="25"/>
      <c r="AJ160" s="6">
        <f t="shared" si="64"/>
        <v>0</v>
      </c>
      <c r="AK160">
        <f t="shared" si="55"/>
        <v>0</v>
      </c>
      <c r="AL160" s="5">
        <f t="shared" si="72"/>
        <v>45801</v>
      </c>
      <c r="AM160" s="25"/>
      <c r="AN160" s="25"/>
      <c r="AO160" s="25"/>
      <c r="AP160" s="6">
        <f t="shared" si="65"/>
        <v>0</v>
      </c>
      <c r="AQ160">
        <f t="shared" si="56"/>
        <v>0</v>
      </c>
    </row>
    <row r="161" spans="1:43" x14ac:dyDescent="0.3">
      <c r="A161" s="5">
        <f t="shared" si="66"/>
        <v>43610</v>
      </c>
      <c r="B161" s="25">
        <v>292.71766729998586</v>
      </c>
      <c r="C161" s="25">
        <v>43.236670899998394</v>
      </c>
      <c r="D161" s="25">
        <v>21.992999999999999</v>
      </c>
      <c r="E161" s="6">
        <f t="shared" si="60"/>
        <v>357.94733819998424</v>
      </c>
      <c r="F161">
        <f t="shared" si="57"/>
        <v>1</v>
      </c>
      <c r="G161" s="5">
        <f t="shared" si="67"/>
        <v>43975</v>
      </c>
      <c r="H161" s="25">
        <v>233.6463925999403</v>
      </c>
      <c r="I161" s="25">
        <v>40.001718800000845</v>
      </c>
      <c r="J161" s="25">
        <v>21.0976</v>
      </c>
      <c r="K161" s="6">
        <f t="shared" si="61"/>
        <v>294.74571139994117</v>
      </c>
      <c r="L161">
        <f t="shared" si="58"/>
        <v>1</v>
      </c>
      <c r="M161" s="5">
        <f t="shared" si="68"/>
        <v>44341</v>
      </c>
      <c r="N161" s="25">
        <v>297.75001479995251</v>
      </c>
      <c r="O161" s="25">
        <v>52.305728799998761</v>
      </c>
      <c r="P161" s="25">
        <v>25.631106100004864</v>
      </c>
      <c r="Q161" s="6">
        <f t="shared" si="59"/>
        <v>375.6868496999561</v>
      </c>
      <c r="R161">
        <f t="shared" si="52"/>
        <v>1</v>
      </c>
      <c r="S161" s="5">
        <f t="shared" si="69"/>
        <v>44706</v>
      </c>
      <c r="T161" s="25">
        <v>252.65825589990615</v>
      </c>
      <c r="U161" s="25">
        <v>58.653031800001862</v>
      </c>
      <c r="V161" s="25">
        <v>20.751704699999653</v>
      </c>
      <c r="W161" s="6">
        <f t="shared" si="62"/>
        <v>332.06299239990767</v>
      </c>
      <c r="X161">
        <f t="shared" si="53"/>
        <v>1</v>
      </c>
      <c r="Z161" s="5">
        <f t="shared" si="70"/>
        <v>44706</v>
      </c>
      <c r="AA161" s="25">
        <v>268.98305970001223</v>
      </c>
      <c r="AB161" s="25">
        <v>63.228414499998095</v>
      </c>
      <c r="AC161" s="25">
        <v>26.511453500000293</v>
      </c>
      <c r="AD161" s="6">
        <f t="shared" si="63"/>
        <v>358.72292770001064</v>
      </c>
      <c r="AE161">
        <f t="shared" si="54"/>
        <v>1</v>
      </c>
      <c r="AF161" s="5">
        <f t="shared" si="71"/>
        <v>45436</v>
      </c>
      <c r="AG161" s="25"/>
      <c r="AH161" s="25"/>
      <c r="AI161" s="25"/>
      <c r="AJ161" s="6">
        <f t="shared" si="64"/>
        <v>0</v>
      </c>
      <c r="AK161">
        <f t="shared" si="55"/>
        <v>0</v>
      </c>
      <c r="AL161" s="5">
        <f t="shared" si="72"/>
        <v>45802</v>
      </c>
      <c r="AM161" s="25"/>
      <c r="AN161" s="25"/>
      <c r="AO161" s="25"/>
      <c r="AP161" s="6">
        <f t="shared" si="65"/>
        <v>0</v>
      </c>
      <c r="AQ161">
        <f t="shared" si="56"/>
        <v>0</v>
      </c>
    </row>
    <row r="162" spans="1:43" x14ac:dyDescent="0.3">
      <c r="A162" s="5">
        <f t="shared" si="66"/>
        <v>43611</v>
      </c>
      <c r="B162" s="25">
        <v>278.59055760002138</v>
      </c>
      <c r="C162" s="25">
        <v>40.762808200001714</v>
      </c>
      <c r="D162" s="25">
        <v>17.524000000000001</v>
      </c>
      <c r="E162" s="6">
        <f t="shared" si="60"/>
        <v>336.87736580002309</v>
      </c>
      <c r="F162">
        <f t="shared" si="57"/>
        <v>1</v>
      </c>
      <c r="G162" s="5">
        <f t="shared" si="67"/>
        <v>43976</v>
      </c>
      <c r="H162" s="25">
        <v>257.13878649997713</v>
      </c>
      <c r="I162" s="25">
        <v>50.313532900001853</v>
      </c>
      <c r="J162" s="25">
        <v>25.166</v>
      </c>
      <c r="K162" s="6">
        <f t="shared" si="61"/>
        <v>332.61831939997899</v>
      </c>
      <c r="L162">
        <f t="shared" si="58"/>
        <v>1</v>
      </c>
      <c r="M162" s="5">
        <f t="shared" si="68"/>
        <v>44342</v>
      </c>
      <c r="N162" s="25">
        <v>256.39358529996872</v>
      </c>
      <c r="O162" s="25">
        <v>55.297855800002814</v>
      </c>
      <c r="P162" s="25">
        <v>23.594325600002893</v>
      </c>
      <c r="Q162" s="6">
        <f t="shared" si="59"/>
        <v>335.28576669997443</v>
      </c>
      <c r="R162">
        <f t="shared" si="52"/>
        <v>1</v>
      </c>
      <c r="S162" s="5">
        <f t="shared" si="69"/>
        <v>44707</v>
      </c>
      <c r="T162" s="25">
        <v>266.90206319999697</v>
      </c>
      <c r="U162" s="25">
        <v>59.797346000000836</v>
      </c>
      <c r="V162" s="25">
        <v>20.32702230000007</v>
      </c>
      <c r="W162" s="6">
        <f t="shared" si="62"/>
        <v>347.0264314999979</v>
      </c>
      <c r="X162">
        <f t="shared" si="53"/>
        <v>1</v>
      </c>
      <c r="Z162" s="5">
        <f t="shared" si="70"/>
        <v>44707</v>
      </c>
      <c r="AA162" s="25">
        <v>229.17132529997826</v>
      </c>
      <c r="AB162" s="25">
        <v>63.701423099994656</v>
      </c>
      <c r="AC162" s="25">
        <v>26.206360900001133</v>
      </c>
      <c r="AD162" s="6">
        <f t="shared" si="63"/>
        <v>319.07910929997405</v>
      </c>
      <c r="AE162">
        <f t="shared" si="54"/>
        <v>1</v>
      </c>
      <c r="AF162" s="5">
        <f t="shared" si="71"/>
        <v>45437</v>
      </c>
      <c r="AG162" s="25"/>
      <c r="AH162" s="25"/>
      <c r="AI162" s="25"/>
      <c r="AJ162" s="6">
        <f t="shared" si="64"/>
        <v>0</v>
      </c>
      <c r="AK162">
        <f t="shared" si="55"/>
        <v>0</v>
      </c>
      <c r="AL162" s="5">
        <f t="shared" si="72"/>
        <v>45803</v>
      </c>
      <c r="AM162" s="25"/>
      <c r="AN162" s="25"/>
      <c r="AO162" s="25"/>
      <c r="AP162" s="6">
        <f t="shared" si="65"/>
        <v>0</v>
      </c>
      <c r="AQ162">
        <f t="shared" si="56"/>
        <v>0</v>
      </c>
    </row>
    <row r="163" spans="1:43" x14ac:dyDescent="0.3">
      <c r="A163" s="5">
        <f t="shared" si="66"/>
        <v>43612</v>
      </c>
      <c r="B163" s="25">
        <v>313.21771259999275</v>
      </c>
      <c r="C163" s="25">
        <v>47.136066199999306</v>
      </c>
      <c r="D163" s="25">
        <v>21.193000000000001</v>
      </c>
      <c r="E163" s="6">
        <f t="shared" si="60"/>
        <v>381.54677879999201</v>
      </c>
      <c r="F163">
        <f t="shared" si="57"/>
        <v>1</v>
      </c>
      <c r="G163" s="5">
        <f t="shared" si="67"/>
        <v>43977</v>
      </c>
      <c r="H163" s="25">
        <v>252.78824250006676</v>
      </c>
      <c r="I163" s="25">
        <v>51.178943399999291</v>
      </c>
      <c r="J163" s="25">
        <v>24.341999999999999</v>
      </c>
      <c r="K163" s="6">
        <f t="shared" si="61"/>
        <v>328.30918590006604</v>
      </c>
      <c r="L163">
        <f t="shared" si="58"/>
        <v>1</v>
      </c>
      <c r="M163" s="5">
        <f t="shared" si="68"/>
        <v>44343</v>
      </c>
      <c r="N163" s="25">
        <v>289.44662279999255</v>
      </c>
      <c r="O163" s="25">
        <v>54.36969549999386</v>
      </c>
      <c r="P163" s="25">
        <v>23.702608799998181</v>
      </c>
      <c r="Q163" s="6">
        <f t="shared" si="59"/>
        <v>367.51892709998458</v>
      </c>
      <c r="R163">
        <f t="shared" si="52"/>
        <v>1</v>
      </c>
      <c r="S163" s="5">
        <f t="shared" si="69"/>
        <v>44708</v>
      </c>
      <c r="T163" s="25">
        <v>276.25058060002328</v>
      </c>
      <c r="U163" s="25">
        <v>61.153816300004721</v>
      </c>
      <c r="V163" s="25">
        <v>19.47215709999972</v>
      </c>
      <c r="W163" s="6">
        <f t="shared" si="62"/>
        <v>356.87655400002774</v>
      </c>
      <c r="X163">
        <f t="shared" si="53"/>
        <v>1</v>
      </c>
      <c r="Z163" s="5">
        <f t="shared" si="70"/>
        <v>44708</v>
      </c>
      <c r="AA163" s="25">
        <v>233.10129130005836</v>
      </c>
      <c r="AB163" s="25">
        <v>62.544832100003958</v>
      </c>
      <c r="AC163" s="25">
        <v>26.748950399999508</v>
      </c>
      <c r="AD163" s="6">
        <f t="shared" si="63"/>
        <v>322.39507380006182</v>
      </c>
      <c r="AE163">
        <f t="shared" si="54"/>
        <v>1</v>
      </c>
      <c r="AF163" s="5">
        <f t="shared" si="71"/>
        <v>45438</v>
      </c>
      <c r="AG163" s="25"/>
      <c r="AH163" s="25"/>
      <c r="AI163" s="25"/>
      <c r="AJ163" s="6">
        <f t="shared" si="64"/>
        <v>0</v>
      </c>
      <c r="AK163">
        <f t="shared" si="55"/>
        <v>0</v>
      </c>
      <c r="AL163" s="5">
        <f t="shared" si="72"/>
        <v>45804</v>
      </c>
      <c r="AM163" s="25"/>
      <c r="AN163" s="25"/>
      <c r="AO163" s="25"/>
      <c r="AP163" s="6">
        <f t="shared" si="65"/>
        <v>0</v>
      </c>
      <c r="AQ163">
        <f t="shared" si="56"/>
        <v>0</v>
      </c>
    </row>
    <row r="164" spans="1:43" x14ac:dyDescent="0.3">
      <c r="A164" s="5">
        <f t="shared" si="66"/>
        <v>43613</v>
      </c>
      <c r="B164" s="25">
        <v>317.89822630000117</v>
      </c>
      <c r="C164" s="25">
        <v>47.24878329999931</v>
      </c>
      <c r="D164" s="25">
        <v>21.725000000000001</v>
      </c>
      <c r="E164" s="6">
        <f t="shared" si="60"/>
        <v>386.87200960000052</v>
      </c>
      <c r="F164">
        <f t="shared" si="57"/>
        <v>1</v>
      </c>
      <c r="G164" s="5">
        <f t="shared" si="67"/>
        <v>43978</v>
      </c>
      <c r="H164" s="25">
        <v>287.36251179993155</v>
      </c>
      <c r="I164" s="25">
        <v>49.511100400000814</v>
      </c>
      <c r="J164" s="25">
        <v>23.427</v>
      </c>
      <c r="K164" s="6">
        <f t="shared" si="61"/>
        <v>360.3006121999324</v>
      </c>
      <c r="L164">
        <f t="shared" si="58"/>
        <v>1</v>
      </c>
      <c r="M164" s="5">
        <f t="shared" si="68"/>
        <v>44344</v>
      </c>
      <c r="N164" s="25">
        <v>244.11776470005512</v>
      </c>
      <c r="O164" s="25">
        <v>55.411205800004304</v>
      </c>
      <c r="P164" s="25">
        <v>21.545469699995358</v>
      </c>
      <c r="Q164" s="6">
        <f t="shared" si="59"/>
        <v>321.07444020005477</v>
      </c>
      <c r="R164">
        <f t="shared" si="52"/>
        <v>1</v>
      </c>
      <c r="S164" s="5">
        <f t="shared" si="69"/>
        <v>44709</v>
      </c>
      <c r="T164" s="25">
        <v>257.81393210005763</v>
      </c>
      <c r="U164" s="25">
        <v>57.025144999995831</v>
      </c>
      <c r="V164" s="25">
        <v>18.689766499999912</v>
      </c>
      <c r="W164" s="6">
        <f t="shared" si="62"/>
        <v>333.52884360005339</v>
      </c>
      <c r="X164">
        <f t="shared" si="53"/>
        <v>1</v>
      </c>
      <c r="Z164" s="5">
        <f t="shared" si="70"/>
        <v>44709</v>
      </c>
      <c r="AA164" s="25">
        <v>226.56024649989604</v>
      </c>
      <c r="AB164" s="25">
        <v>52.117609099999072</v>
      </c>
      <c r="AC164" s="25">
        <v>18.753336699999871</v>
      </c>
      <c r="AD164" s="6">
        <f t="shared" si="63"/>
        <v>297.43119229989497</v>
      </c>
      <c r="AE164">
        <f t="shared" si="54"/>
        <v>1</v>
      </c>
      <c r="AF164" s="5">
        <f t="shared" si="71"/>
        <v>45439</v>
      </c>
      <c r="AG164" s="25"/>
      <c r="AH164" s="25"/>
      <c r="AI164" s="25"/>
      <c r="AJ164" s="6">
        <f t="shared" si="64"/>
        <v>0</v>
      </c>
      <c r="AK164">
        <f t="shared" si="55"/>
        <v>0</v>
      </c>
      <c r="AL164" s="5">
        <f t="shared" si="72"/>
        <v>45805</v>
      </c>
      <c r="AM164" s="25"/>
      <c r="AN164" s="25"/>
      <c r="AO164" s="25"/>
      <c r="AP164" s="6">
        <f t="shared" si="65"/>
        <v>0</v>
      </c>
      <c r="AQ164">
        <f t="shared" si="56"/>
        <v>0</v>
      </c>
    </row>
    <row r="165" spans="1:43" x14ac:dyDescent="0.3">
      <c r="A165" s="5">
        <f t="shared" si="66"/>
        <v>43614</v>
      </c>
      <c r="B165" s="25">
        <v>313.2568930000067</v>
      </c>
      <c r="C165" s="25">
        <v>47.342246700000018</v>
      </c>
      <c r="D165" s="25">
        <v>22.428000000000001</v>
      </c>
      <c r="E165" s="6">
        <f t="shared" si="60"/>
        <v>383.02713970000673</v>
      </c>
      <c r="F165">
        <f t="shared" si="57"/>
        <v>1</v>
      </c>
      <c r="G165" s="5">
        <f t="shared" si="67"/>
        <v>43979</v>
      </c>
      <c r="H165" s="25">
        <v>281.94740830004213</v>
      </c>
      <c r="I165" s="25">
        <v>49.556901399999859</v>
      </c>
      <c r="J165" s="25">
        <v>24.431999999999999</v>
      </c>
      <c r="K165" s="6">
        <f t="shared" si="61"/>
        <v>355.93630970004199</v>
      </c>
      <c r="L165">
        <f t="shared" si="58"/>
        <v>1</v>
      </c>
      <c r="M165" s="5">
        <f t="shared" si="68"/>
        <v>44345</v>
      </c>
      <c r="N165" s="25">
        <v>239.72945379996301</v>
      </c>
      <c r="O165" s="25">
        <v>49.108425999999049</v>
      </c>
      <c r="P165" s="25">
        <v>21.350932000000959</v>
      </c>
      <c r="Q165" s="6">
        <f t="shared" si="59"/>
        <v>310.18881179996305</v>
      </c>
      <c r="R165">
        <f t="shared" si="52"/>
        <v>1</v>
      </c>
      <c r="S165" s="5">
        <f t="shared" si="69"/>
        <v>44710</v>
      </c>
      <c r="T165" s="25">
        <v>235.0265638999939</v>
      </c>
      <c r="U165" s="25">
        <v>47.279769199997183</v>
      </c>
      <c r="V165" s="25">
        <v>17.634172100000317</v>
      </c>
      <c r="W165" s="6">
        <f t="shared" si="62"/>
        <v>299.94050519999143</v>
      </c>
      <c r="X165">
        <f t="shared" si="53"/>
        <v>1</v>
      </c>
      <c r="Z165" s="5">
        <f t="shared" si="70"/>
        <v>44710</v>
      </c>
      <c r="AA165" s="25">
        <v>275.9336822000742</v>
      </c>
      <c r="AB165" s="25">
        <v>63.918913100004197</v>
      </c>
      <c r="AC165" s="25">
        <v>22.301818800000476</v>
      </c>
      <c r="AD165" s="6">
        <f t="shared" si="63"/>
        <v>362.1544141000789</v>
      </c>
      <c r="AE165">
        <f t="shared" si="54"/>
        <v>1</v>
      </c>
      <c r="AF165" s="5">
        <f t="shared" si="71"/>
        <v>45440</v>
      </c>
      <c r="AG165" s="25"/>
      <c r="AH165" s="25"/>
      <c r="AI165" s="25"/>
      <c r="AJ165" s="6">
        <f t="shared" si="64"/>
        <v>0</v>
      </c>
      <c r="AK165">
        <f t="shared" si="55"/>
        <v>0</v>
      </c>
      <c r="AL165" s="5">
        <f t="shared" si="72"/>
        <v>45806</v>
      </c>
      <c r="AM165" s="25"/>
      <c r="AN165" s="25"/>
      <c r="AO165" s="25"/>
      <c r="AP165" s="6">
        <f t="shared" si="65"/>
        <v>0</v>
      </c>
      <c r="AQ165">
        <f t="shared" si="56"/>
        <v>0</v>
      </c>
    </row>
    <row r="166" spans="1:43" x14ac:dyDescent="0.3">
      <c r="A166" s="5">
        <f t="shared" si="66"/>
        <v>43615</v>
      </c>
      <c r="B166" s="25">
        <v>316.88392320001128</v>
      </c>
      <c r="C166" s="25">
        <v>49.067464600000534</v>
      </c>
      <c r="D166" s="25">
        <v>20.986999999999998</v>
      </c>
      <c r="E166" s="6">
        <f t="shared" si="60"/>
        <v>386.93838780001187</v>
      </c>
      <c r="F166">
        <f t="shared" si="57"/>
        <v>1</v>
      </c>
      <c r="G166" s="5">
        <f t="shared" si="67"/>
        <v>43980</v>
      </c>
      <c r="H166" s="25">
        <v>262.82100220000746</v>
      </c>
      <c r="I166" s="25">
        <v>50.45030579999834</v>
      </c>
      <c r="J166" s="25">
        <v>24.530999999999999</v>
      </c>
      <c r="K166" s="6">
        <f t="shared" si="61"/>
        <v>337.80230800000578</v>
      </c>
      <c r="L166">
        <f t="shared" si="58"/>
        <v>1</v>
      </c>
      <c r="M166" s="5">
        <f t="shared" si="68"/>
        <v>44346</v>
      </c>
      <c r="N166" s="25">
        <v>240.84958520007135</v>
      </c>
      <c r="O166" s="25">
        <v>43.221969200000167</v>
      </c>
      <c r="P166" s="25">
        <v>19.77897339999932</v>
      </c>
      <c r="Q166" s="6">
        <f t="shared" si="59"/>
        <v>303.85052780007084</v>
      </c>
      <c r="R166">
        <f t="shared" si="52"/>
        <v>1</v>
      </c>
      <c r="S166" s="5">
        <f t="shared" si="69"/>
        <v>44711</v>
      </c>
      <c r="T166" s="25">
        <v>281.82257009994981</v>
      </c>
      <c r="U166" s="25">
        <v>58.668024299994109</v>
      </c>
      <c r="V166" s="25">
        <v>19.934104099999647</v>
      </c>
      <c r="W166" s="6">
        <f t="shared" si="62"/>
        <v>360.42469849994359</v>
      </c>
      <c r="X166">
        <f t="shared" si="53"/>
        <v>1</v>
      </c>
      <c r="Z166" s="5">
        <f t="shared" si="70"/>
        <v>44711</v>
      </c>
      <c r="AA166" s="25">
        <v>280.24538929998874</v>
      </c>
      <c r="AB166" s="25">
        <v>60.932090100005269</v>
      </c>
      <c r="AC166" s="25">
        <v>25.150025900000706</v>
      </c>
      <c r="AD166" s="6">
        <f t="shared" si="63"/>
        <v>366.3275052999947</v>
      </c>
      <c r="AE166">
        <f t="shared" si="54"/>
        <v>1</v>
      </c>
      <c r="AF166" s="5">
        <f t="shared" si="71"/>
        <v>45441</v>
      </c>
      <c r="AG166" s="25"/>
      <c r="AH166" s="25"/>
      <c r="AI166" s="25"/>
      <c r="AJ166" s="6">
        <f t="shared" si="64"/>
        <v>0</v>
      </c>
      <c r="AK166">
        <f t="shared" si="55"/>
        <v>0</v>
      </c>
      <c r="AL166" s="5">
        <f t="shared" si="72"/>
        <v>45807</v>
      </c>
      <c r="AM166" s="25"/>
      <c r="AN166" s="25"/>
      <c r="AO166" s="25"/>
      <c r="AP166" s="6">
        <f t="shared" si="65"/>
        <v>0</v>
      </c>
      <c r="AQ166">
        <f t="shared" si="56"/>
        <v>0</v>
      </c>
    </row>
    <row r="167" spans="1:43" x14ac:dyDescent="0.3">
      <c r="A167" s="21">
        <f t="shared" si="66"/>
        <v>43616</v>
      </c>
      <c r="B167" s="25">
        <v>310.82178399997952</v>
      </c>
      <c r="C167" s="25">
        <v>47.058206499999386</v>
      </c>
      <c r="D167" s="25">
        <v>21.962</v>
      </c>
      <c r="E167" s="6">
        <f t="shared" si="60"/>
        <v>379.84199049997892</v>
      </c>
      <c r="F167">
        <f t="shared" si="57"/>
        <v>1</v>
      </c>
      <c r="G167" s="5">
        <f t="shared" si="67"/>
        <v>43981</v>
      </c>
      <c r="H167" s="25">
        <v>245.60413919997217</v>
      </c>
      <c r="I167" s="25">
        <v>47.803947200000287</v>
      </c>
      <c r="J167" s="25">
        <v>24.873000000000001</v>
      </c>
      <c r="K167" s="6">
        <f t="shared" si="61"/>
        <v>318.28108639997242</v>
      </c>
      <c r="L167">
        <f t="shared" si="58"/>
        <v>1</v>
      </c>
      <c r="M167" s="21">
        <f t="shared" si="68"/>
        <v>44347</v>
      </c>
      <c r="N167" s="25">
        <v>306.75286479997635</v>
      </c>
      <c r="O167" s="25">
        <v>57.436431999996302</v>
      </c>
      <c r="P167" s="25">
        <v>25.038511900002604</v>
      </c>
      <c r="Q167" s="6">
        <f t="shared" si="59"/>
        <v>389.2278086999753</v>
      </c>
      <c r="R167">
        <f t="shared" si="52"/>
        <v>1</v>
      </c>
      <c r="S167" s="21">
        <f t="shared" si="69"/>
        <v>44712</v>
      </c>
      <c r="T167" s="25">
        <v>291.53371870005128</v>
      </c>
      <c r="U167" s="25">
        <v>61.023037800014016</v>
      </c>
      <c r="V167" s="25">
        <v>20.15209280000045</v>
      </c>
      <c r="W167" s="6">
        <f t="shared" si="62"/>
        <v>372.70884930006576</v>
      </c>
      <c r="X167">
        <f t="shared" si="53"/>
        <v>1</v>
      </c>
      <c r="Z167" s="21">
        <f t="shared" si="70"/>
        <v>44712</v>
      </c>
      <c r="AA167" s="25">
        <v>273.1811085000038</v>
      </c>
      <c r="AB167" s="25">
        <v>61.08738299998641</v>
      </c>
      <c r="AC167" s="25">
        <v>25.73061899999762</v>
      </c>
      <c r="AD167" s="6">
        <f t="shared" si="63"/>
        <v>359.99911049998781</v>
      </c>
      <c r="AE167">
        <f t="shared" si="54"/>
        <v>1</v>
      </c>
      <c r="AF167" s="21">
        <f t="shared" si="71"/>
        <v>45442</v>
      </c>
      <c r="AG167" s="25"/>
      <c r="AH167" s="25"/>
      <c r="AI167" s="25"/>
      <c r="AJ167" s="6">
        <f t="shared" si="64"/>
        <v>0</v>
      </c>
      <c r="AK167">
        <f t="shared" si="55"/>
        <v>0</v>
      </c>
      <c r="AL167" s="21">
        <f t="shared" si="72"/>
        <v>45808</v>
      </c>
      <c r="AM167" s="25"/>
      <c r="AN167" s="25"/>
      <c r="AO167" s="25"/>
      <c r="AP167" s="6">
        <f t="shared" si="65"/>
        <v>0</v>
      </c>
      <c r="AQ167">
        <f t="shared" si="56"/>
        <v>0</v>
      </c>
    </row>
    <row r="168" spans="1:43" x14ac:dyDescent="0.3">
      <c r="A168" s="5">
        <f t="shared" si="66"/>
        <v>43617</v>
      </c>
      <c r="B168" s="25">
        <v>296.67850490003826</v>
      </c>
      <c r="C168" s="25">
        <v>46.091022600000727</v>
      </c>
      <c r="D168" s="25">
        <v>23.343</v>
      </c>
      <c r="E168" s="6">
        <f t="shared" si="60"/>
        <v>366.11252750003899</v>
      </c>
      <c r="F168">
        <f t="shared" si="57"/>
        <v>1</v>
      </c>
      <c r="G168" s="21">
        <f t="shared" si="67"/>
        <v>43982</v>
      </c>
      <c r="H168" s="25">
        <v>229.26226340007781</v>
      </c>
      <c r="I168" s="25">
        <v>40.720313599999997</v>
      </c>
      <c r="J168" s="25">
        <v>21.1</v>
      </c>
      <c r="K168" s="6">
        <f t="shared" si="61"/>
        <v>291.08257700007783</v>
      </c>
      <c r="L168">
        <f t="shared" si="58"/>
        <v>1</v>
      </c>
      <c r="M168" s="5">
        <f t="shared" si="68"/>
        <v>44348</v>
      </c>
      <c r="N168" s="25">
        <v>317.70362409996989</v>
      </c>
      <c r="O168" s="25">
        <v>56.398644900001585</v>
      </c>
      <c r="P168" s="25">
        <v>25.187773399997038</v>
      </c>
      <c r="Q168" s="6">
        <f t="shared" si="59"/>
        <v>399.29004239996846</v>
      </c>
      <c r="R168">
        <f t="shared" si="52"/>
        <v>1</v>
      </c>
      <c r="S168" s="5">
        <f t="shared" si="69"/>
        <v>44713</v>
      </c>
      <c r="T168" s="25">
        <v>292.12901440000536</v>
      </c>
      <c r="U168" s="25">
        <v>61.644471399992703</v>
      </c>
      <c r="V168" s="25">
        <v>19.739032399999676</v>
      </c>
      <c r="W168" s="6">
        <f t="shared" si="62"/>
        <v>373.51251819999777</v>
      </c>
      <c r="X168">
        <f t="shared" si="53"/>
        <v>1</v>
      </c>
      <c r="Z168" s="5">
        <f t="shared" si="70"/>
        <v>44713</v>
      </c>
      <c r="AA168" s="25">
        <v>0</v>
      </c>
      <c r="AB168" s="25">
        <v>0</v>
      </c>
      <c r="AC168" s="25">
        <v>0</v>
      </c>
      <c r="AD168" s="6">
        <f t="shared" si="63"/>
        <v>0</v>
      </c>
      <c r="AE168">
        <f t="shared" si="54"/>
        <v>0</v>
      </c>
      <c r="AF168" s="5">
        <f t="shared" si="71"/>
        <v>45443</v>
      </c>
      <c r="AG168" s="25">
        <v>0</v>
      </c>
      <c r="AH168" s="25">
        <v>0</v>
      </c>
      <c r="AI168" s="25">
        <v>0</v>
      </c>
      <c r="AJ168" s="6">
        <f t="shared" si="64"/>
        <v>0</v>
      </c>
      <c r="AK168">
        <f t="shared" si="55"/>
        <v>0</v>
      </c>
      <c r="AL168" s="5">
        <f t="shared" si="72"/>
        <v>45809</v>
      </c>
      <c r="AM168" s="25"/>
      <c r="AN168" s="25"/>
      <c r="AO168" s="25"/>
      <c r="AP168" s="6">
        <f t="shared" si="65"/>
        <v>0</v>
      </c>
      <c r="AQ168">
        <f t="shared" si="56"/>
        <v>0</v>
      </c>
    </row>
    <row r="169" spans="1:43" x14ac:dyDescent="0.3">
      <c r="A169" s="5">
        <f t="shared" si="66"/>
        <v>43618</v>
      </c>
      <c r="B169" s="25">
        <v>284.47269689995051</v>
      </c>
      <c r="C169" s="25">
        <v>41.308157399998976</v>
      </c>
      <c r="D169" s="25">
        <v>14.608000000000001</v>
      </c>
      <c r="E169" s="6">
        <f t="shared" si="60"/>
        <v>340.38885429994951</v>
      </c>
      <c r="F169">
        <f t="shared" si="57"/>
        <v>1</v>
      </c>
      <c r="G169" s="5">
        <f t="shared" si="67"/>
        <v>43983</v>
      </c>
      <c r="H169" s="25">
        <v>249.22754369997978</v>
      </c>
      <c r="I169" s="25">
        <v>49.277780000001194</v>
      </c>
      <c r="J169" s="25">
        <v>25.123000000000001</v>
      </c>
      <c r="K169" s="6">
        <f t="shared" si="61"/>
        <v>323.62832369998097</v>
      </c>
      <c r="L169">
        <f t="shared" si="58"/>
        <v>1</v>
      </c>
      <c r="M169" s="5">
        <f t="shared" si="68"/>
        <v>44349</v>
      </c>
      <c r="N169" s="25">
        <v>310.99927770006656</v>
      </c>
      <c r="O169" s="25">
        <v>59.146227800004183</v>
      </c>
      <c r="P169" s="25">
        <v>24.454874200002521</v>
      </c>
      <c r="Q169" s="6">
        <f t="shared" si="59"/>
        <v>394.60037970007323</v>
      </c>
      <c r="R169">
        <f t="shared" si="52"/>
        <v>1</v>
      </c>
      <c r="S169" s="5">
        <f t="shared" si="69"/>
        <v>44714</v>
      </c>
      <c r="T169" s="25">
        <v>285.26729610002042</v>
      </c>
      <c r="U169" s="25">
        <v>61.329080300003291</v>
      </c>
      <c r="V169" s="25">
        <v>20.328874600000212</v>
      </c>
      <c r="W169" s="6">
        <f t="shared" si="62"/>
        <v>366.92525100002393</v>
      </c>
      <c r="X169">
        <f t="shared" si="53"/>
        <v>1</v>
      </c>
      <c r="Z169" s="5">
        <f t="shared" si="70"/>
        <v>44714</v>
      </c>
      <c r="AA169" s="25">
        <v>0</v>
      </c>
      <c r="AB169" s="25">
        <v>0</v>
      </c>
      <c r="AC169" s="25">
        <v>0</v>
      </c>
      <c r="AD169" s="6">
        <f t="shared" si="63"/>
        <v>0</v>
      </c>
      <c r="AE169">
        <f t="shared" si="54"/>
        <v>0</v>
      </c>
      <c r="AF169" s="5">
        <f t="shared" si="71"/>
        <v>45444</v>
      </c>
      <c r="AG169" s="25">
        <v>0</v>
      </c>
      <c r="AH169" s="25">
        <v>0</v>
      </c>
      <c r="AI169" s="25">
        <v>0</v>
      </c>
      <c r="AJ169" s="6">
        <f t="shared" si="64"/>
        <v>0</v>
      </c>
      <c r="AK169">
        <f t="shared" si="55"/>
        <v>0</v>
      </c>
      <c r="AL169" s="5">
        <f t="shared" si="72"/>
        <v>45810</v>
      </c>
      <c r="AM169" s="25"/>
      <c r="AN169" s="25"/>
      <c r="AO169" s="25"/>
      <c r="AP169" s="6">
        <f t="shared" si="65"/>
        <v>0</v>
      </c>
      <c r="AQ169">
        <f t="shared" si="56"/>
        <v>0</v>
      </c>
    </row>
    <row r="170" spans="1:43" x14ac:dyDescent="0.3">
      <c r="A170" s="5">
        <f t="shared" si="66"/>
        <v>43619</v>
      </c>
      <c r="B170" s="25">
        <v>321.87213530004027</v>
      </c>
      <c r="C170" s="25">
        <v>46.97744470000081</v>
      </c>
      <c r="D170" s="25">
        <v>23.937999999999999</v>
      </c>
      <c r="E170" s="6">
        <f t="shared" si="60"/>
        <v>392.78758000004109</v>
      </c>
      <c r="F170">
        <f t="shared" si="57"/>
        <v>1</v>
      </c>
      <c r="G170" s="5">
        <f t="shared" si="67"/>
        <v>43984</v>
      </c>
      <c r="H170" s="25">
        <v>262.09409430003166</v>
      </c>
      <c r="I170" s="25">
        <v>50.926548699997369</v>
      </c>
      <c r="J170" s="25">
        <v>25.262</v>
      </c>
      <c r="K170" s="6">
        <f t="shared" si="61"/>
        <v>338.28264300002905</v>
      </c>
      <c r="L170">
        <f t="shared" si="58"/>
        <v>1</v>
      </c>
      <c r="M170" s="5">
        <f t="shared" si="68"/>
        <v>44350</v>
      </c>
      <c r="N170" s="25">
        <v>277.93978129994872</v>
      </c>
      <c r="O170" s="25">
        <v>57.569204700000583</v>
      </c>
      <c r="P170" s="25">
        <v>25.691810899997364</v>
      </c>
      <c r="Q170" s="6">
        <f t="shared" si="59"/>
        <v>361.20079689994668</v>
      </c>
      <c r="R170">
        <f t="shared" si="52"/>
        <v>1</v>
      </c>
      <c r="S170" s="5">
        <f t="shared" si="69"/>
        <v>44715</v>
      </c>
      <c r="T170" s="25">
        <v>286.04938499999048</v>
      </c>
      <c r="U170" s="25">
        <v>61.516240199998023</v>
      </c>
      <c r="V170" s="25">
        <v>19.452656399999746</v>
      </c>
      <c r="W170" s="6">
        <f t="shared" si="62"/>
        <v>367.01828159998826</v>
      </c>
      <c r="X170">
        <f t="shared" si="53"/>
        <v>1</v>
      </c>
      <c r="Z170" s="5">
        <f t="shared" si="70"/>
        <v>44715</v>
      </c>
      <c r="AA170" s="25">
        <v>0</v>
      </c>
      <c r="AB170" s="25">
        <v>0</v>
      </c>
      <c r="AC170" s="25">
        <v>0</v>
      </c>
      <c r="AD170" s="6">
        <f t="shared" si="63"/>
        <v>0</v>
      </c>
      <c r="AE170">
        <f t="shared" si="54"/>
        <v>0</v>
      </c>
      <c r="AF170" s="5">
        <f t="shared" si="71"/>
        <v>45445</v>
      </c>
      <c r="AG170" s="25">
        <v>0</v>
      </c>
      <c r="AH170" s="25">
        <v>0</v>
      </c>
      <c r="AI170" s="25">
        <v>0</v>
      </c>
      <c r="AJ170" s="6">
        <f t="shared" si="64"/>
        <v>0</v>
      </c>
      <c r="AK170">
        <f t="shared" si="55"/>
        <v>0</v>
      </c>
      <c r="AL170" s="5">
        <f t="shared" si="72"/>
        <v>45811</v>
      </c>
      <c r="AM170" s="25"/>
      <c r="AN170" s="25"/>
      <c r="AO170" s="25"/>
      <c r="AP170" s="6">
        <f t="shared" si="65"/>
        <v>0</v>
      </c>
      <c r="AQ170">
        <f t="shared" si="56"/>
        <v>0</v>
      </c>
    </row>
    <row r="171" spans="1:43" x14ac:dyDescent="0.3">
      <c r="A171" s="5">
        <f t="shared" si="66"/>
        <v>43620</v>
      </c>
      <c r="B171" s="25">
        <v>323.19432129997017</v>
      </c>
      <c r="C171" s="25">
        <v>49.603097000001</v>
      </c>
      <c r="D171" s="25">
        <v>23.437999999999999</v>
      </c>
      <c r="E171" s="6">
        <f t="shared" si="60"/>
        <v>396.23541829997117</v>
      </c>
      <c r="F171">
        <f t="shared" si="57"/>
        <v>1</v>
      </c>
      <c r="G171" s="5">
        <f t="shared" si="67"/>
        <v>43985</v>
      </c>
      <c r="H171" s="25">
        <v>249.24004869997501</v>
      </c>
      <c r="I171" s="25">
        <v>50.288166799999772</v>
      </c>
      <c r="J171" s="25">
        <v>23.82</v>
      </c>
      <c r="K171" s="6">
        <f t="shared" si="61"/>
        <v>323.34821549997474</v>
      </c>
      <c r="L171">
        <f t="shared" si="58"/>
        <v>1</v>
      </c>
      <c r="M171" s="5">
        <f t="shared" si="68"/>
        <v>44351</v>
      </c>
      <c r="N171" s="25">
        <v>287.44494210004808</v>
      </c>
      <c r="O171" s="25">
        <v>58.920017399996517</v>
      </c>
      <c r="P171" s="25">
        <v>23.284145199999678</v>
      </c>
      <c r="Q171" s="6">
        <f t="shared" si="59"/>
        <v>369.64910470004429</v>
      </c>
      <c r="R171">
        <f t="shared" si="52"/>
        <v>1</v>
      </c>
      <c r="S171" s="5">
        <f t="shared" si="69"/>
        <v>44716</v>
      </c>
      <c r="T171" s="25">
        <v>252.2098597999811</v>
      </c>
      <c r="U171" s="25">
        <v>58.924909199997785</v>
      </c>
      <c r="V171" s="25">
        <v>19.045865500000307</v>
      </c>
      <c r="W171" s="6">
        <f t="shared" si="62"/>
        <v>330.18063449997919</v>
      </c>
      <c r="X171">
        <f t="shared" si="53"/>
        <v>1</v>
      </c>
      <c r="Z171" s="5">
        <f t="shared" si="70"/>
        <v>44716</v>
      </c>
      <c r="AA171" s="25">
        <v>0</v>
      </c>
      <c r="AB171" s="25">
        <v>0</v>
      </c>
      <c r="AC171" s="25">
        <v>0</v>
      </c>
      <c r="AD171" s="6">
        <f t="shared" si="63"/>
        <v>0</v>
      </c>
      <c r="AE171">
        <f t="shared" si="54"/>
        <v>0</v>
      </c>
      <c r="AF171" s="5">
        <f t="shared" si="71"/>
        <v>45446</v>
      </c>
      <c r="AG171" s="25">
        <v>0</v>
      </c>
      <c r="AH171" s="25">
        <v>0</v>
      </c>
      <c r="AI171" s="25">
        <v>0</v>
      </c>
      <c r="AJ171" s="6">
        <f t="shared" si="64"/>
        <v>0</v>
      </c>
      <c r="AK171">
        <f t="shared" si="55"/>
        <v>0</v>
      </c>
      <c r="AL171" s="5">
        <f t="shared" si="72"/>
        <v>45812</v>
      </c>
      <c r="AM171" s="25"/>
      <c r="AN171" s="25"/>
      <c r="AO171" s="25"/>
      <c r="AP171" s="6">
        <f t="shared" si="65"/>
        <v>0</v>
      </c>
      <c r="AQ171">
        <f t="shared" si="56"/>
        <v>0</v>
      </c>
    </row>
    <row r="172" spans="1:43" x14ac:dyDescent="0.3">
      <c r="A172" s="5">
        <f t="shared" si="66"/>
        <v>43621</v>
      </c>
      <c r="B172" s="25">
        <v>317.29242640000581</v>
      </c>
      <c r="C172" s="25">
        <v>45.995170099999754</v>
      </c>
      <c r="D172" s="25">
        <v>21.591999999999999</v>
      </c>
      <c r="E172" s="6">
        <f t="shared" si="60"/>
        <v>384.87959650000556</v>
      </c>
      <c r="F172">
        <f t="shared" si="57"/>
        <v>1</v>
      </c>
      <c r="G172" s="5">
        <f t="shared" si="67"/>
        <v>43986</v>
      </c>
      <c r="H172" s="25">
        <v>245.17765579998493</v>
      </c>
      <c r="I172" s="25">
        <v>49.360775400001558</v>
      </c>
      <c r="J172" s="25">
        <v>22.463000000000001</v>
      </c>
      <c r="K172" s="6">
        <f t="shared" si="61"/>
        <v>317.00143119998648</v>
      </c>
      <c r="L172">
        <f t="shared" si="58"/>
        <v>1</v>
      </c>
      <c r="M172" s="5">
        <f t="shared" si="68"/>
        <v>44352</v>
      </c>
      <c r="N172" s="25">
        <v>256.78486199998855</v>
      </c>
      <c r="O172" s="25">
        <v>55.197149999998508</v>
      </c>
      <c r="P172" s="25">
        <v>25.122687700002921</v>
      </c>
      <c r="Q172" s="6">
        <f t="shared" si="59"/>
        <v>337.10469969998996</v>
      </c>
      <c r="R172">
        <f t="shared" si="52"/>
        <v>1</v>
      </c>
      <c r="S172" s="5">
        <f t="shared" si="69"/>
        <v>44717</v>
      </c>
      <c r="T172" s="25">
        <v>226.319152099967</v>
      </c>
      <c r="U172" s="25">
        <v>48.516696700006726</v>
      </c>
      <c r="V172" s="25">
        <v>17.141197399999481</v>
      </c>
      <c r="W172" s="6">
        <f t="shared" si="62"/>
        <v>291.97704619997324</v>
      </c>
      <c r="X172">
        <f t="shared" si="53"/>
        <v>1</v>
      </c>
      <c r="Z172" s="5">
        <f t="shared" si="70"/>
        <v>44717</v>
      </c>
      <c r="AA172" s="25">
        <v>0</v>
      </c>
      <c r="AB172" s="25">
        <v>0</v>
      </c>
      <c r="AC172" s="25">
        <v>0</v>
      </c>
      <c r="AD172" s="6">
        <f t="shared" si="63"/>
        <v>0</v>
      </c>
      <c r="AE172">
        <f t="shared" si="54"/>
        <v>0</v>
      </c>
      <c r="AF172" s="5">
        <f t="shared" si="71"/>
        <v>45447</v>
      </c>
      <c r="AG172" s="25">
        <v>0</v>
      </c>
      <c r="AH172" s="25">
        <v>0</v>
      </c>
      <c r="AI172" s="25">
        <v>0</v>
      </c>
      <c r="AJ172" s="6">
        <f t="shared" si="64"/>
        <v>0</v>
      </c>
      <c r="AK172">
        <f t="shared" si="55"/>
        <v>0</v>
      </c>
      <c r="AL172" s="5">
        <f t="shared" si="72"/>
        <v>45813</v>
      </c>
      <c r="AM172" s="25"/>
      <c r="AN172" s="25"/>
      <c r="AO172" s="25"/>
      <c r="AP172" s="6">
        <f t="shared" si="65"/>
        <v>0</v>
      </c>
      <c r="AQ172">
        <f t="shared" si="56"/>
        <v>0</v>
      </c>
    </row>
    <row r="173" spans="1:43" x14ac:dyDescent="0.3">
      <c r="A173" s="5">
        <f t="shared" si="66"/>
        <v>43622</v>
      </c>
      <c r="B173" s="25">
        <v>313.47091540002822</v>
      </c>
      <c r="C173" s="25">
        <v>46.375863699998703</v>
      </c>
      <c r="D173" s="25">
        <v>23.547999999999998</v>
      </c>
      <c r="E173" s="6">
        <f t="shared" si="60"/>
        <v>383.39477910002694</v>
      </c>
      <c r="F173">
        <f t="shared" si="57"/>
        <v>1</v>
      </c>
      <c r="G173" s="5">
        <f t="shared" si="67"/>
        <v>43987</v>
      </c>
      <c r="H173" s="25">
        <v>247.62344350004196</v>
      </c>
      <c r="I173" s="25">
        <v>49.033485799998047</v>
      </c>
      <c r="J173" s="25">
        <v>24.088000000000001</v>
      </c>
      <c r="K173" s="6">
        <f t="shared" si="61"/>
        <v>320.74492930004004</v>
      </c>
      <c r="L173">
        <f t="shared" si="58"/>
        <v>1</v>
      </c>
      <c r="M173" s="5">
        <f t="shared" si="68"/>
        <v>44353</v>
      </c>
      <c r="N173" s="25">
        <v>237.43594219994546</v>
      </c>
      <c r="O173" s="25">
        <v>44.184086300000551</v>
      </c>
      <c r="P173" s="25">
        <v>18.567590900001349</v>
      </c>
      <c r="Q173" s="6">
        <f t="shared" si="59"/>
        <v>300.18761939994732</v>
      </c>
      <c r="R173">
        <f t="shared" si="52"/>
        <v>1</v>
      </c>
      <c r="S173" s="5">
        <f t="shared" si="69"/>
        <v>44718</v>
      </c>
      <c r="T173" s="25">
        <v>280.84876470005514</v>
      </c>
      <c r="U173" s="25">
        <v>59.799096599996091</v>
      </c>
      <c r="V173" s="25">
        <v>19.176337500000141</v>
      </c>
      <c r="W173" s="6">
        <f t="shared" si="62"/>
        <v>359.82419880005136</v>
      </c>
      <c r="X173">
        <f t="shared" si="53"/>
        <v>1</v>
      </c>
      <c r="Z173" s="5">
        <f t="shared" si="70"/>
        <v>44718</v>
      </c>
      <c r="AA173" s="25">
        <v>0</v>
      </c>
      <c r="AB173" s="25">
        <v>0</v>
      </c>
      <c r="AC173" s="25">
        <v>0</v>
      </c>
      <c r="AD173" s="6">
        <f t="shared" si="63"/>
        <v>0</v>
      </c>
      <c r="AE173">
        <f t="shared" si="54"/>
        <v>0</v>
      </c>
      <c r="AF173" s="5">
        <f t="shared" si="71"/>
        <v>45448</v>
      </c>
      <c r="AG173" s="25">
        <v>0</v>
      </c>
      <c r="AH173" s="25">
        <v>0</v>
      </c>
      <c r="AI173" s="25">
        <v>0</v>
      </c>
      <c r="AJ173" s="6">
        <f t="shared" si="64"/>
        <v>0</v>
      </c>
      <c r="AK173">
        <f t="shared" si="55"/>
        <v>0</v>
      </c>
      <c r="AL173" s="5">
        <f t="shared" si="72"/>
        <v>45814</v>
      </c>
      <c r="AM173" s="25"/>
      <c r="AN173" s="25"/>
      <c r="AO173" s="25"/>
      <c r="AP173" s="6">
        <f t="shared" si="65"/>
        <v>0</v>
      </c>
      <c r="AQ173">
        <f t="shared" si="56"/>
        <v>0</v>
      </c>
    </row>
    <row r="174" spans="1:43" x14ac:dyDescent="0.3">
      <c r="A174" s="5">
        <f t="shared" si="66"/>
        <v>43623</v>
      </c>
      <c r="B174" s="25">
        <v>316.42225399994851</v>
      </c>
      <c r="C174" s="25">
        <v>47.114215800000352</v>
      </c>
      <c r="D174" s="25">
        <v>24.928999999999998</v>
      </c>
      <c r="E174" s="6">
        <f t="shared" si="60"/>
        <v>388.46546979994883</v>
      </c>
      <c r="F174">
        <f t="shared" si="57"/>
        <v>1</v>
      </c>
      <c r="G174" s="5">
        <f t="shared" si="67"/>
        <v>43988</v>
      </c>
      <c r="H174" s="25">
        <v>244.59209270000457</v>
      </c>
      <c r="I174" s="25">
        <v>47.462012700002639</v>
      </c>
      <c r="J174" s="25">
        <v>23.756</v>
      </c>
      <c r="K174" s="6">
        <f t="shared" si="61"/>
        <v>315.81010540000716</v>
      </c>
      <c r="L174">
        <f t="shared" si="58"/>
        <v>1</v>
      </c>
      <c r="M174" s="5">
        <f t="shared" si="68"/>
        <v>44354</v>
      </c>
      <c r="N174" s="25">
        <v>268.42165680003166</v>
      </c>
      <c r="O174" s="25">
        <v>55.939726000003517</v>
      </c>
      <c r="P174" s="25">
        <v>24.469649999998975</v>
      </c>
      <c r="Q174" s="6">
        <f t="shared" si="59"/>
        <v>348.83103280003417</v>
      </c>
      <c r="R174">
        <f t="shared" si="52"/>
        <v>1</v>
      </c>
      <c r="S174" s="5">
        <f t="shared" si="69"/>
        <v>44719</v>
      </c>
      <c r="T174" s="25">
        <v>278.90660739994047</v>
      </c>
      <c r="U174" s="25">
        <v>59.452151500001548</v>
      </c>
      <c r="V174" s="25">
        <v>20.243280400000046</v>
      </c>
      <c r="W174" s="6">
        <f t="shared" si="62"/>
        <v>358.60203929994208</v>
      </c>
      <c r="X174">
        <f t="shared" si="53"/>
        <v>1</v>
      </c>
      <c r="Z174" s="5">
        <f t="shared" si="70"/>
        <v>44719</v>
      </c>
      <c r="AA174" s="25">
        <v>0</v>
      </c>
      <c r="AB174" s="25">
        <v>0</v>
      </c>
      <c r="AC174" s="25">
        <v>0</v>
      </c>
      <c r="AD174" s="6">
        <f t="shared" si="63"/>
        <v>0</v>
      </c>
      <c r="AE174">
        <f t="shared" si="54"/>
        <v>0</v>
      </c>
      <c r="AF174" s="5">
        <f t="shared" si="71"/>
        <v>45449</v>
      </c>
      <c r="AG174" s="25">
        <v>0</v>
      </c>
      <c r="AH174" s="25">
        <v>0</v>
      </c>
      <c r="AI174" s="25">
        <v>0</v>
      </c>
      <c r="AJ174" s="6">
        <f t="shared" si="64"/>
        <v>0</v>
      </c>
      <c r="AK174">
        <f t="shared" si="55"/>
        <v>0</v>
      </c>
      <c r="AL174" s="5">
        <f t="shared" si="72"/>
        <v>45815</v>
      </c>
      <c r="AM174" s="25"/>
      <c r="AN174" s="25"/>
      <c r="AO174" s="25"/>
      <c r="AP174" s="6">
        <f t="shared" si="65"/>
        <v>0</v>
      </c>
      <c r="AQ174">
        <f t="shared" si="56"/>
        <v>0</v>
      </c>
    </row>
    <row r="175" spans="1:43" x14ac:dyDescent="0.3">
      <c r="A175" s="5">
        <f t="shared" si="66"/>
        <v>43624</v>
      </c>
      <c r="B175" s="25">
        <v>299.91637510001658</v>
      </c>
      <c r="C175" s="25">
        <v>44.990006400000304</v>
      </c>
      <c r="D175" s="25">
        <v>24.606000000000002</v>
      </c>
      <c r="E175" s="6">
        <f t="shared" si="60"/>
        <v>369.51238150001689</v>
      </c>
      <c r="F175">
        <f t="shared" si="57"/>
        <v>1</v>
      </c>
      <c r="G175" s="5">
        <f t="shared" si="67"/>
        <v>43989</v>
      </c>
      <c r="H175" s="25">
        <v>225.08671849989892</v>
      </c>
      <c r="I175" s="25">
        <v>41.136221599999814</v>
      </c>
      <c r="J175" s="25">
        <v>18.634</v>
      </c>
      <c r="K175" s="6">
        <f t="shared" si="61"/>
        <v>284.85694009989874</v>
      </c>
      <c r="L175">
        <f t="shared" si="58"/>
        <v>1</v>
      </c>
      <c r="M175" s="5">
        <f t="shared" si="68"/>
        <v>44355</v>
      </c>
      <c r="N175" s="25">
        <v>276.23942839992048</v>
      </c>
      <c r="O175" s="25">
        <v>58.732642200000583</v>
      </c>
      <c r="P175" s="25">
        <v>25.279061800000026</v>
      </c>
      <c r="Q175" s="6">
        <f t="shared" si="59"/>
        <v>360.25113239992106</v>
      </c>
      <c r="R175">
        <f t="shared" si="52"/>
        <v>1</v>
      </c>
      <c r="S175" s="5">
        <f t="shared" si="69"/>
        <v>44720</v>
      </c>
      <c r="T175" s="25">
        <v>283.83299240005016</v>
      </c>
      <c r="U175" s="25">
        <v>61.718820399999622</v>
      </c>
      <c r="V175" s="25">
        <v>19.52281920000026</v>
      </c>
      <c r="W175" s="6">
        <f t="shared" si="62"/>
        <v>365.07463200005003</v>
      </c>
      <c r="X175">
        <f t="shared" si="53"/>
        <v>1</v>
      </c>
      <c r="Z175" s="5">
        <f t="shared" si="70"/>
        <v>44720</v>
      </c>
      <c r="AA175" s="25">
        <v>0</v>
      </c>
      <c r="AB175" s="25">
        <v>0</v>
      </c>
      <c r="AC175" s="25">
        <v>0</v>
      </c>
      <c r="AD175" s="6">
        <f t="shared" si="63"/>
        <v>0</v>
      </c>
      <c r="AE175">
        <f t="shared" si="54"/>
        <v>0</v>
      </c>
      <c r="AF175" s="5">
        <f t="shared" si="71"/>
        <v>45450</v>
      </c>
      <c r="AG175" s="25">
        <v>0</v>
      </c>
      <c r="AH175" s="25">
        <v>0</v>
      </c>
      <c r="AI175" s="25">
        <v>0</v>
      </c>
      <c r="AJ175" s="6">
        <f t="shared" si="64"/>
        <v>0</v>
      </c>
      <c r="AK175">
        <f t="shared" si="55"/>
        <v>0</v>
      </c>
      <c r="AL175" s="5">
        <f t="shared" si="72"/>
        <v>45816</v>
      </c>
      <c r="AM175" s="25"/>
      <c r="AN175" s="25"/>
      <c r="AO175" s="25"/>
      <c r="AP175" s="6">
        <f t="shared" si="65"/>
        <v>0</v>
      </c>
      <c r="AQ175">
        <f t="shared" si="56"/>
        <v>0</v>
      </c>
    </row>
    <row r="176" spans="1:43" x14ac:dyDescent="0.3">
      <c r="A176" s="5">
        <f t="shared" si="66"/>
        <v>43625</v>
      </c>
      <c r="B176" s="25">
        <v>260.48180790007115</v>
      </c>
      <c r="C176" s="25">
        <v>41.254996799999851</v>
      </c>
      <c r="D176" s="25">
        <v>15.653</v>
      </c>
      <c r="E176" s="6">
        <f t="shared" si="60"/>
        <v>317.38980470007101</v>
      </c>
      <c r="F176">
        <f t="shared" si="57"/>
        <v>1</v>
      </c>
      <c r="G176" s="5">
        <f t="shared" si="67"/>
        <v>43990</v>
      </c>
      <c r="H176" s="25">
        <v>253.24731880009173</v>
      </c>
      <c r="I176" s="25">
        <v>51.405681099999697</v>
      </c>
      <c r="J176" s="25">
        <v>22.569900000000001</v>
      </c>
      <c r="K176" s="6">
        <f t="shared" si="61"/>
        <v>327.22289990009148</v>
      </c>
      <c r="L176">
        <f t="shared" si="58"/>
        <v>1</v>
      </c>
      <c r="M176" s="5">
        <f t="shared" si="68"/>
        <v>44356</v>
      </c>
      <c r="N176" s="25">
        <v>253.2236561000347</v>
      </c>
      <c r="O176" s="25">
        <v>56.601674099996686</v>
      </c>
      <c r="P176" s="25">
        <v>25.160793799995446</v>
      </c>
      <c r="Q176" s="6">
        <f t="shared" si="59"/>
        <v>334.98612400002685</v>
      </c>
      <c r="R176">
        <f t="shared" si="52"/>
        <v>1</v>
      </c>
      <c r="S176" s="5">
        <f t="shared" si="69"/>
        <v>44721</v>
      </c>
      <c r="T176" s="25">
        <v>286.65861259996893</v>
      </c>
      <c r="U176" s="25">
        <v>62.106335600003597</v>
      </c>
      <c r="V176" s="25">
        <v>18.298016899999698</v>
      </c>
      <c r="W176" s="6">
        <f t="shared" si="62"/>
        <v>367.06296509997225</v>
      </c>
      <c r="X176">
        <f t="shared" si="53"/>
        <v>1</v>
      </c>
      <c r="Z176" s="5">
        <f t="shared" si="70"/>
        <v>44721</v>
      </c>
      <c r="AA176" s="25">
        <v>0</v>
      </c>
      <c r="AB176" s="25">
        <v>0</v>
      </c>
      <c r="AC176" s="25">
        <v>0</v>
      </c>
      <c r="AD176" s="6">
        <f t="shared" si="63"/>
        <v>0</v>
      </c>
      <c r="AE176">
        <f t="shared" si="54"/>
        <v>0</v>
      </c>
      <c r="AF176" s="5">
        <f t="shared" si="71"/>
        <v>45451</v>
      </c>
      <c r="AG176" s="25">
        <v>0</v>
      </c>
      <c r="AH176" s="25">
        <v>0</v>
      </c>
      <c r="AI176" s="25">
        <v>0</v>
      </c>
      <c r="AJ176" s="6">
        <f t="shared" si="64"/>
        <v>0</v>
      </c>
      <c r="AK176">
        <f t="shared" si="55"/>
        <v>0</v>
      </c>
      <c r="AL176" s="5">
        <f t="shared" si="72"/>
        <v>45817</v>
      </c>
      <c r="AM176" s="25"/>
      <c r="AN176" s="25"/>
      <c r="AO176" s="25"/>
      <c r="AP176" s="6">
        <f t="shared" si="65"/>
        <v>0</v>
      </c>
      <c r="AQ176">
        <f t="shared" si="56"/>
        <v>0</v>
      </c>
    </row>
    <row r="177" spans="1:43" x14ac:dyDescent="0.3">
      <c r="A177" s="5">
        <f t="shared" si="66"/>
        <v>43626</v>
      </c>
      <c r="B177" s="25">
        <v>305.02523739993575</v>
      </c>
      <c r="C177" s="25">
        <v>48.330696399999781</v>
      </c>
      <c r="D177" s="25">
        <v>19.806000000000001</v>
      </c>
      <c r="E177" s="6">
        <f t="shared" si="60"/>
        <v>373.16193379993553</v>
      </c>
      <c r="F177">
        <f t="shared" si="57"/>
        <v>1</v>
      </c>
      <c r="G177" s="5">
        <f t="shared" si="67"/>
        <v>43991</v>
      </c>
      <c r="H177" s="25">
        <v>254.55240169990063</v>
      </c>
      <c r="I177" s="25">
        <v>52.217059099998323</v>
      </c>
      <c r="J177" s="25">
        <v>25.478800000000003</v>
      </c>
      <c r="K177" s="6">
        <f t="shared" si="61"/>
        <v>332.24826079989896</v>
      </c>
      <c r="L177">
        <f t="shared" si="58"/>
        <v>1</v>
      </c>
      <c r="M177" s="5">
        <f t="shared" si="68"/>
        <v>44357</v>
      </c>
      <c r="N177" s="25">
        <v>270.06020210003851</v>
      </c>
      <c r="O177" s="25">
        <v>57.194342699997129</v>
      </c>
      <c r="P177" s="25">
        <v>24.329267000005579</v>
      </c>
      <c r="Q177" s="6">
        <f t="shared" si="59"/>
        <v>351.58381180004125</v>
      </c>
      <c r="R177">
        <f t="shared" si="52"/>
        <v>1</v>
      </c>
      <c r="S177" s="5">
        <f t="shared" si="69"/>
        <v>44722</v>
      </c>
      <c r="T177" s="25">
        <v>280.80433239996432</v>
      </c>
      <c r="U177" s="25">
        <v>62.258667999997733</v>
      </c>
      <c r="V177" s="25">
        <v>20.36004030000046</v>
      </c>
      <c r="W177" s="6">
        <f t="shared" si="62"/>
        <v>363.42304069996248</v>
      </c>
      <c r="X177">
        <f t="shared" si="53"/>
        <v>1</v>
      </c>
      <c r="Z177" s="5">
        <f t="shared" si="70"/>
        <v>44722</v>
      </c>
      <c r="AA177" s="25">
        <v>0</v>
      </c>
      <c r="AB177" s="25">
        <v>0</v>
      </c>
      <c r="AC177" s="25">
        <v>0</v>
      </c>
      <c r="AD177" s="6">
        <f t="shared" si="63"/>
        <v>0</v>
      </c>
      <c r="AE177">
        <f t="shared" si="54"/>
        <v>0</v>
      </c>
      <c r="AF177" s="5">
        <f t="shared" si="71"/>
        <v>45452</v>
      </c>
      <c r="AG177" s="25">
        <v>0</v>
      </c>
      <c r="AH177" s="25">
        <v>0</v>
      </c>
      <c r="AI177" s="25">
        <v>0</v>
      </c>
      <c r="AJ177" s="6">
        <f t="shared" si="64"/>
        <v>0</v>
      </c>
      <c r="AK177">
        <f t="shared" si="55"/>
        <v>0</v>
      </c>
      <c r="AL177" s="5">
        <f t="shared" si="72"/>
        <v>45818</v>
      </c>
      <c r="AM177" s="25"/>
      <c r="AN177" s="25"/>
      <c r="AO177" s="25"/>
      <c r="AP177" s="6">
        <f t="shared" si="65"/>
        <v>0</v>
      </c>
      <c r="AQ177">
        <f t="shared" si="56"/>
        <v>0</v>
      </c>
    </row>
    <row r="178" spans="1:43" x14ac:dyDescent="0.3">
      <c r="A178" s="5">
        <f t="shared" si="66"/>
        <v>43627</v>
      </c>
      <c r="B178" s="25">
        <v>320.25573020005226</v>
      </c>
      <c r="C178" s="25">
        <v>49.522185300000011</v>
      </c>
      <c r="D178" s="25">
        <v>20.361999999999998</v>
      </c>
      <c r="E178" s="6">
        <f t="shared" si="60"/>
        <v>390.13991550005227</v>
      </c>
      <c r="F178">
        <f t="shared" si="57"/>
        <v>1</v>
      </c>
      <c r="G178" s="5">
        <f t="shared" si="67"/>
        <v>43992</v>
      </c>
      <c r="H178" s="25">
        <v>254.28820469999314</v>
      </c>
      <c r="I178" s="25">
        <v>49.470102099999785</v>
      </c>
      <c r="J178" s="25">
        <v>23.1145</v>
      </c>
      <c r="K178" s="6">
        <f t="shared" si="61"/>
        <v>326.87280679999293</v>
      </c>
      <c r="L178">
        <f t="shared" si="58"/>
        <v>1</v>
      </c>
      <c r="M178" s="5">
        <f t="shared" si="68"/>
        <v>44358</v>
      </c>
      <c r="N178" s="25">
        <v>273.37281149995329</v>
      </c>
      <c r="O178" s="25">
        <v>57.127913800001146</v>
      </c>
      <c r="P178" s="25">
        <v>21.962795399995056</v>
      </c>
      <c r="Q178" s="6">
        <f t="shared" si="59"/>
        <v>352.46352069994947</v>
      </c>
      <c r="R178">
        <f t="shared" si="52"/>
        <v>1</v>
      </c>
      <c r="S178" s="5">
        <f t="shared" si="69"/>
        <v>44723</v>
      </c>
      <c r="T178" s="25">
        <v>273.90385570001604</v>
      </c>
      <c r="U178" s="25">
        <v>56.989645300000909</v>
      </c>
      <c r="V178" s="25">
        <v>19.530512899999508</v>
      </c>
      <c r="W178" s="6">
        <f t="shared" si="62"/>
        <v>350.42401390001646</v>
      </c>
      <c r="X178">
        <f t="shared" si="53"/>
        <v>1</v>
      </c>
      <c r="Z178" s="5">
        <f t="shared" si="70"/>
        <v>44723</v>
      </c>
      <c r="AA178" s="25">
        <v>0</v>
      </c>
      <c r="AB178" s="25">
        <v>0</v>
      </c>
      <c r="AC178" s="25">
        <v>0</v>
      </c>
      <c r="AD178" s="6">
        <f t="shared" si="63"/>
        <v>0</v>
      </c>
      <c r="AE178">
        <f t="shared" si="54"/>
        <v>0</v>
      </c>
      <c r="AF178" s="5">
        <f t="shared" si="71"/>
        <v>45453</v>
      </c>
      <c r="AG178" s="25">
        <v>0</v>
      </c>
      <c r="AH178" s="25">
        <v>0</v>
      </c>
      <c r="AI178" s="25">
        <v>0</v>
      </c>
      <c r="AJ178" s="6">
        <f t="shared" si="64"/>
        <v>0</v>
      </c>
      <c r="AK178">
        <f t="shared" si="55"/>
        <v>0</v>
      </c>
      <c r="AL178" s="5">
        <f t="shared" si="72"/>
        <v>45819</v>
      </c>
      <c r="AM178" s="25"/>
      <c r="AN178" s="25"/>
      <c r="AO178" s="25"/>
      <c r="AP178" s="6">
        <f t="shared" si="65"/>
        <v>0</v>
      </c>
      <c r="AQ178">
        <f t="shared" si="56"/>
        <v>0</v>
      </c>
    </row>
    <row r="179" spans="1:43" x14ac:dyDescent="0.3">
      <c r="A179" s="5">
        <f t="shared" si="66"/>
        <v>43628</v>
      </c>
      <c r="B179" s="25">
        <v>322.25296429991721</v>
      </c>
      <c r="C179" s="25">
        <v>49.870929100001234</v>
      </c>
      <c r="D179" s="25">
        <v>17.443000000000001</v>
      </c>
      <c r="E179" s="6">
        <f t="shared" si="60"/>
        <v>389.5668933999184</v>
      </c>
      <c r="F179">
        <f t="shared" si="57"/>
        <v>1</v>
      </c>
      <c r="G179" s="5">
        <f t="shared" si="67"/>
        <v>43993</v>
      </c>
      <c r="H179" s="25">
        <v>253.52135430002213</v>
      </c>
      <c r="I179" s="25">
        <v>51.250609500002113</v>
      </c>
      <c r="J179" s="25">
        <v>24.427</v>
      </c>
      <c r="K179" s="6">
        <f t="shared" si="61"/>
        <v>329.19896380002427</v>
      </c>
      <c r="L179">
        <f t="shared" si="58"/>
        <v>1</v>
      </c>
      <c r="M179" s="5">
        <f t="shared" si="68"/>
        <v>44359</v>
      </c>
      <c r="N179" s="25">
        <v>237.25630980002879</v>
      </c>
      <c r="O179" s="25">
        <v>54.193989100001751</v>
      </c>
      <c r="P179" s="25">
        <v>17.117131800003119</v>
      </c>
      <c r="Q179" s="6">
        <f t="shared" si="59"/>
        <v>308.56743070003364</v>
      </c>
      <c r="R179">
        <f t="shared" si="52"/>
        <v>1</v>
      </c>
      <c r="S179" s="5">
        <f t="shared" si="69"/>
        <v>44724</v>
      </c>
      <c r="T179" s="25">
        <v>245.08170990002156</v>
      </c>
      <c r="U179" s="25">
        <v>50.891771999999882</v>
      </c>
      <c r="V179" s="25">
        <v>16.59748060000036</v>
      </c>
      <c r="W179" s="6">
        <f t="shared" si="62"/>
        <v>312.57096250002184</v>
      </c>
      <c r="X179">
        <f t="shared" si="53"/>
        <v>1</v>
      </c>
      <c r="Z179" s="5">
        <f t="shared" si="70"/>
        <v>44724</v>
      </c>
      <c r="AA179" s="25">
        <v>0</v>
      </c>
      <c r="AB179" s="25">
        <v>0</v>
      </c>
      <c r="AC179" s="25">
        <v>0</v>
      </c>
      <c r="AD179" s="6">
        <f t="shared" si="63"/>
        <v>0</v>
      </c>
      <c r="AE179">
        <f t="shared" si="54"/>
        <v>0</v>
      </c>
      <c r="AF179" s="5">
        <f t="shared" si="71"/>
        <v>45454</v>
      </c>
      <c r="AG179" s="25">
        <v>0</v>
      </c>
      <c r="AH179" s="25">
        <v>0</v>
      </c>
      <c r="AI179" s="25">
        <v>0</v>
      </c>
      <c r="AJ179" s="6">
        <f t="shared" si="64"/>
        <v>0</v>
      </c>
      <c r="AK179">
        <f t="shared" si="55"/>
        <v>0</v>
      </c>
      <c r="AL179" s="5">
        <f t="shared" si="72"/>
        <v>45820</v>
      </c>
      <c r="AM179" s="25"/>
      <c r="AN179" s="25"/>
      <c r="AO179" s="25"/>
      <c r="AP179" s="6">
        <f t="shared" si="65"/>
        <v>0</v>
      </c>
      <c r="AQ179">
        <f t="shared" si="56"/>
        <v>0</v>
      </c>
    </row>
    <row r="180" spans="1:43" x14ac:dyDescent="0.3">
      <c r="A180" s="5">
        <f t="shared" si="66"/>
        <v>43629</v>
      </c>
      <c r="B180" s="25">
        <v>326.96170600008963</v>
      </c>
      <c r="C180" s="25">
        <v>49.675606199998406</v>
      </c>
      <c r="D180" s="25">
        <v>22.254999999999999</v>
      </c>
      <c r="E180" s="6">
        <f t="shared" si="60"/>
        <v>398.89231220008804</v>
      </c>
      <c r="F180">
        <f t="shared" si="57"/>
        <v>1</v>
      </c>
      <c r="G180" s="5">
        <f t="shared" si="67"/>
        <v>43994</v>
      </c>
      <c r="H180" s="25">
        <v>251.96259160006045</v>
      </c>
      <c r="I180" s="25">
        <v>49.939366700001059</v>
      </c>
      <c r="J180" s="25">
        <v>23.469000000000001</v>
      </c>
      <c r="K180" s="6">
        <f t="shared" si="61"/>
        <v>325.37095830006149</v>
      </c>
      <c r="L180">
        <f t="shared" si="58"/>
        <v>1</v>
      </c>
      <c r="M180" s="5">
        <f t="shared" si="68"/>
        <v>44360</v>
      </c>
      <c r="N180" s="25">
        <v>222.44199150002004</v>
      </c>
      <c r="O180" s="25">
        <v>44.542091499999167</v>
      </c>
      <c r="P180" s="25">
        <v>15.53318609999679</v>
      </c>
      <c r="Q180" s="6">
        <f t="shared" si="59"/>
        <v>282.51726910001599</v>
      </c>
      <c r="R180">
        <f t="shared" si="52"/>
        <v>1</v>
      </c>
      <c r="S180" s="5">
        <f t="shared" si="69"/>
        <v>44725</v>
      </c>
      <c r="T180" s="25">
        <v>278.15239509999753</v>
      </c>
      <c r="U180" s="25">
        <v>58.972995499998333</v>
      </c>
      <c r="V180" s="25">
        <v>20.279843100000171</v>
      </c>
      <c r="W180" s="6">
        <f t="shared" si="62"/>
        <v>357.40523369999602</v>
      </c>
      <c r="X180">
        <f t="shared" si="53"/>
        <v>1</v>
      </c>
      <c r="Z180" s="5">
        <f t="shared" si="70"/>
        <v>44725</v>
      </c>
      <c r="AA180" s="25">
        <v>0</v>
      </c>
      <c r="AB180" s="25">
        <v>0</v>
      </c>
      <c r="AC180" s="25">
        <v>0</v>
      </c>
      <c r="AD180" s="6">
        <f t="shared" si="63"/>
        <v>0</v>
      </c>
      <c r="AE180">
        <f t="shared" si="54"/>
        <v>0</v>
      </c>
      <c r="AF180" s="5">
        <f t="shared" si="71"/>
        <v>45455</v>
      </c>
      <c r="AG180" s="25">
        <v>0</v>
      </c>
      <c r="AH180" s="25">
        <v>0</v>
      </c>
      <c r="AI180" s="25">
        <v>0</v>
      </c>
      <c r="AJ180" s="6">
        <f t="shared" si="64"/>
        <v>0</v>
      </c>
      <c r="AK180">
        <f t="shared" si="55"/>
        <v>0</v>
      </c>
      <c r="AL180" s="5">
        <f t="shared" si="72"/>
        <v>45821</v>
      </c>
      <c r="AM180" s="25"/>
      <c r="AN180" s="25"/>
      <c r="AO180" s="25"/>
      <c r="AP180" s="6">
        <f t="shared" si="65"/>
        <v>0</v>
      </c>
      <c r="AQ180">
        <f t="shared" si="56"/>
        <v>0</v>
      </c>
    </row>
    <row r="181" spans="1:43" x14ac:dyDescent="0.3">
      <c r="A181" s="5">
        <f t="shared" si="66"/>
        <v>43630</v>
      </c>
      <c r="B181" s="25">
        <v>327.70405179989336</v>
      </c>
      <c r="C181" s="25">
        <v>50.135604400001469</v>
      </c>
      <c r="D181" s="25">
        <v>21.783000000000001</v>
      </c>
      <c r="E181" s="6">
        <f t="shared" si="60"/>
        <v>399.62265619989483</v>
      </c>
      <c r="F181">
        <f t="shared" si="57"/>
        <v>1</v>
      </c>
      <c r="G181" s="5">
        <f t="shared" si="67"/>
        <v>43995</v>
      </c>
      <c r="H181" s="25">
        <v>247.27796659994127</v>
      </c>
      <c r="I181" s="25">
        <v>47.659428700000049</v>
      </c>
      <c r="J181" s="25">
        <v>23.454000000000001</v>
      </c>
      <c r="K181" s="6">
        <f t="shared" si="61"/>
        <v>318.39139529994134</v>
      </c>
      <c r="L181">
        <f t="shared" si="58"/>
        <v>1</v>
      </c>
      <c r="M181" s="5">
        <f t="shared" si="68"/>
        <v>44361</v>
      </c>
      <c r="N181" s="25">
        <v>267.2942188999653</v>
      </c>
      <c r="O181" s="25">
        <v>55.886005000002683</v>
      </c>
      <c r="P181" s="25">
        <v>19.634579800002744</v>
      </c>
      <c r="Q181" s="6">
        <f t="shared" si="59"/>
        <v>342.81480369997075</v>
      </c>
      <c r="R181">
        <f t="shared" si="52"/>
        <v>1</v>
      </c>
      <c r="S181" s="5">
        <f t="shared" si="69"/>
        <v>44726</v>
      </c>
      <c r="T181" s="25">
        <v>290.48854989993572</v>
      </c>
      <c r="U181" s="25">
        <v>61.054003799989822</v>
      </c>
      <c r="V181" s="25">
        <v>21.027538999999873</v>
      </c>
      <c r="W181" s="6">
        <f t="shared" si="62"/>
        <v>372.5700926999254</v>
      </c>
      <c r="X181">
        <f t="shared" si="53"/>
        <v>1</v>
      </c>
      <c r="Z181" s="5">
        <f t="shared" si="70"/>
        <v>44726</v>
      </c>
      <c r="AA181" s="25">
        <v>0</v>
      </c>
      <c r="AB181" s="25">
        <v>0</v>
      </c>
      <c r="AC181" s="25">
        <v>0</v>
      </c>
      <c r="AD181" s="6">
        <f t="shared" si="63"/>
        <v>0</v>
      </c>
      <c r="AE181">
        <f t="shared" si="54"/>
        <v>0</v>
      </c>
      <c r="AF181" s="5">
        <f t="shared" si="71"/>
        <v>45456</v>
      </c>
      <c r="AG181" s="25">
        <v>0</v>
      </c>
      <c r="AH181" s="25">
        <v>0</v>
      </c>
      <c r="AI181" s="25">
        <v>0</v>
      </c>
      <c r="AJ181" s="6">
        <f t="shared" si="64"/>
        <v>0</v>
      </c>
      <c r="AK181">
        <f t="shared" si="55"/>
        <v>0</v>
      </c>
      <c r="AL181" s="5">
        <f t="shared" si="72"/>
        <v>45822</v>
      </c>
      <c r="AM181" s="25"/>
      <c r="AN181" s="25"/>
      <c r="AO181" s="25"/>
      <c r="AP181" s="6">
        <f t="shared" si="65"/>
        <v>0</v>
      </c>
      <c r="AQ181">
        <f t="shared" si="56"/>
        <v>0</v>
      </c>
    </row>
    <row r="182" spans="1:43" x14ac:dyDescent="0.3">
      <c r="A182" s="5">
        <f t="shared" si="66"/>
        <v>43631</v>
      </c>
      <c r="B182" s="25">
        <v>303.15599639999868</v>
      </c>
      <c r="C182" s="25">
        <v>47.155384299999106</v>
      </c>
      <c r="D182" s="25">
        <v>21.757999999999999</v>
      </c>
      <c r="E182" s="6">
        <f t="shared" si="60"/>
        <v>372.06938069999779</v>
      </c>
      <c r="F182">
        <f t="shared" si="57"/>
        <v>1</v>
      </c>
      <c r="G182" s="5">
        <f t="shared" si="67"/>
        <v>43996</v>
      </c>
      <c r="H182" s="25">
        <v>238.87719150006771</v>
      </c>
      <c r="I182" s="25">
        <v>43.994548499997705</v>
      </c>
      <c r="J182" s="25">
        <v>20.425000000000001</v>
      </c>
      <c r="K182" s="6">
        <f t="shared" si="61"/>
        <v>303.29674000006543</v>
      </c>
      <c r="L182">
        <f t="shared" si="58"/>
        <v>1</v>
      </c>
      <c r="M182" s="5">
        <f t="shared" si="68"/>
        <v>44362</v>
      </c>
      <c r="N182" s="25">
        <v>280.97392729997637</v>
      </c>
      <c r="O182" s="25">
        <v>57.087681800000368</v>
      </c>
      <c r="P182" s="25">
        <v>23.009530399998418</v>
      </c>
      <c r="Q182" s="6">
        <f t="shared" si="59"/>
        <v>361.07113949997517</v>
      </c>
      <c r="R182">
        <f t="shared" si="52"/>
        <v>1</v>
      </c>
      <c r="S182" s="5">
        <f t="shared" si="69"/>
        <v>44727</v>
      </c>
      <c r="T182" s="25">
        <v>291.21975720000268</v>
      </c>
      <c r="U182" s="25">
        <v>60.502986000001428</v>
      </c>
      <c r="V182" s="25">
        <v>20.967901199999499</v>
      </c>
      <c r="W182" s="6">
        <f t="shared" si="62"/>
        <v>372.69064440000363</v>
      </c>
      <c r="X182">
        <f t="shared" si="53"/>
        <v>1</v>
      </c>
      <c r="Z182" s="5">
        <f t="shared" si="70"/>
        <v>44727</v>
      </c>
      <c r="AA182" s="25">
        <v>0</v>
      </c>
      <c r="AB182" s="25">
        <v>0</v>
      </c>
      <c r="AC182" s="25">
        <v>0</v>
      </c>
      <c r="AD182" s="6">
        <f t="shared" si="63"/>
        <v>0</v>
      </c>
      <c r="AE182">
        <f t="shared" si="54"/>
        <v>0</v>
      </c>
      <c r="AF182" s="5">
        <f t="shared" si="71"/>
        <v>45457</v>
      </c>
      <c r="AG182" s="25">
        <v>0</v>
      </c>
      <c r="AH182" s="25">
        <v>0</v>
      </c>
      <c r="AI182" s="25">
        <v>0</v>
      </c>
      <c r="AJ182" s="6">
        <f t="shared" si="64"/>
        <v>0</v>
      </c>
      <c r="AK182">
        <f t="shared" si="55"/>
        <v>0</v>
      </c>
      <c r="AL182" s="5">
        <f t="shared" si="72"/>
        <v>45823</v>
      </c>
      <c r="AM182" s="25"/>
      <c r="AN182" s="25"/>
      <c r="AO182" s="25"/>
      <c r="AP182" s="6">
        <f t="shared" si="65"/>
        <v>0</v>
      </c>
      <c r="AQ182">
        <f t="shared" si="56"/>
        <v>0</v>
      </c>
    </row>
    <row r="183" spans="1:43" x14ac:dyDescent="0.3">
      <c r="A183" s="5">
        <f t="shared" si="66"/>
        <v>43632</v>
      </c>
      <c r="B183" s="25">
        <v>276.35518790006637</v>
      </c>
      <c r="C183" s="25">
        <v>40.250809700001028</v>
      </c>
      <c r="D183" s="25">
        <v>15.808999999999999</v>
      </c>
      <c r="E183" s="6">
        <f t="shared" si="60"/>
        <v>332.41499760006741</v>
      </c>
      <c r="F183">
        <f t="shared" si="57"/>
        <v>1</v>
      </c>
      <c r="G183" s="5">
        <f t="shared" si="67"/>
        <v>43997</v>
      </c>
      <c r="H183" s="25">
        <v>261.32339329993727</v>
      </c>
      <c r="I183" s="25">
        <v>52.236463800001893</v>
      </c>
      <c r="J183" s="25">
        <v>23.492000000000001</v>
      </c>
      <c r="K183" s="6">
        <f t="shared" si="61"/>
        <v>337.05185709993918</v>
      </c>
      <c r="L183">
        <f t="shared" si="58"/>
        <v>1</v>
      </c>
      <c r="M183" s="5">
        <f t="shared" si="68"/>
        <v>44363</v>
      </c>
      <c r="N183" s="25">
        <v>282.44632109999657</v>
      </c>
      <c r="O183" s="25">
        <v>56.140039999999104</v>
      </c>
      <c r="P183" s="25">
        <v>23.324022400004324</v>
      </c>
      <c r="Q183" s="6">
        <f t="shared" si="59"/>
        <v>361.91038349999997</v>
      </c>
      <c r="R183">
        <f t="shared" si="52"/>
        <v>1</v>
      </c>
      <c r="S183" s="5">
        <f t="shared" si="69"/>
        <v>44728</v>
      </c>
      <c r="T183" s="25">
        <v>278.95640100002288</v>
      </c>
      <c r="U183" s="25">
        <v>60.253503000006077</v>
      </c>
      <c r="V183" s="25">
        <v>20.801516000000529</v>
      </c>
      <c r="W183" s="6">
        <f t="shared" si="62"/>
        <v>360.01142000002943</v>
      </c>
      <c r="X183">
        <f t="shared" si="53"/>
        <v>1</v>
      </c>
      <c r="Z183" s="5">
        <f t="shared" si="70"/>
        <v>44728</v>
      </c>
      <c r="AA183" s="25">
        <v>0</v>
      </c>
      <c r="AB183" s="25">
        <v>0</v>
      </c>
      <c r="AC183" s="25">
        <v>0</v>
      </c>
      <c r="AD183" s="6">
        <f t="shared" si="63"/>
        <v>0</v>
      </c>
      <c r="AE183">
        <f t="shared" si="54"/>
        <v>0</v>
      </c>
      <c r="AF183" s="5">
        <f t="shared" si="71"/>
        <v>45458</v>
      </c>
      <c r="AG183" s="25">
        <v>0</v>
      </c>
      <c r="AH183" s="25">
        <v>0</v>
      </c>
      <c r="AI183" s="25">
        <v>0</v>
      </c>
      <c r="AJ183" s="6">
        <f t="shared" si="64"/>
        <v>0</v>
      </c>
      <c r="AK183">
        <f t="shared" si="55"/>
        <v>0</v>
      </c>
      <c r="AL183" s="5">
        <f t="shared" si="72"/>
        <v>45824</v>
      </c>
      <c r="AM183" s="25"/>
      <c r="AN183" s="25"/>
      <c r="AO183" s="25"/>
      <c r="AP183" s="6">
        <f t="shared" si="65"/>
        <v>0</v>
      </c>
      <c r="AQ183">
        <f t="shared" si="56"/>
        <v>0</v>
      </c>
    </row>
    <row r="184" spans="1:43" x14ac:dyDescent="0.3">
      <c r="A184" s="5">
        <f t="shared" si="66"/>
        <v>43633</v>
      </c>
      <c r="B184" s="25">
        <v>323.41836160004141</v>
      </c>
      <c r="C184" s="25">
        <v>47.894425899999213</v>
      </c>
      <c r="D184" s="25">
        <v>21.137</v>
      </c>
      <c r="E184" s="6">
        <f t="shared" si="60"/>
        <v>392.4497875000406</v>
      </c>
      <c r="F184">
        <f t="shared" si="57"/>
        <v>1</v>
      </c>
      <c r="G184" s="5">
        <f t="shared" si="67"/>
        <v>43998</v>
      </c>
      <c r="H184" s="25">
        <v>258.97081459999083</v>
      </c>
      <c r="I184" s="25">
        <v>52.673035599999132</v>
      </c>
      <c r="J184" s="25">
        <v>22.928000000000001</v>
      </c>
      <c r="K184" s="6">
        <f t="shared" si="61"/>
        <v>334.57185019998997</v>
      </c>
      <c r="L184">
        <f t="shared" si="58"/>
        <v>1</v>
      </c>
      <c r="M184" s="5">
        <f t="shared" si="68"/>
        <v>44364</v>
      </c>
      <c r="N184" s="25">
        <v>285.29853369998932</v>
      </c>
      <c r="O184" s="25">
        <v>55.569015900000927</v>
      </c>
      <c r="P184" s="25">
        <v>23.617452499998269</v>
      </c>
      <c r="Q184" s="6">
        <f t="shared" si="59"/>
        <v>364.48500209998849</v>
      </c>
      <c r="R184">
        <f t="shared" si="52"/>
        <v>1</v>
      </c>
      <c r="S184" s="5">
        <f t="shared" si="69"/>
        <v>44729</v>
      </c>
      <c r="T184" s="25">
        <v>288.58455490005014</v>
      </c>
      <c r="U184" s="25">
        <v>59.002697699993846</v>
      </c>
      <c r="V184" s="25">
        <v>20.581484699999447</v>
      </c>
      <c r="W184" s="6">
        <f t="shared" si="62"/>
        <v>368.16873730004346</v>
      </c>
      <c r="X184">
        <f t="shared" si="53"/>
        <v>1</v>
      </c>
      <c r="Z184" s="5">
        <f t="shared" si="70"/>
        <v>44729</v>
      </c>
      <c r="AA184" s="25">
        <v>0</v>
      </c>
      <c r="AB184" s="25">
        <v>0</v>
      </c>
      <c r="AC184" s="25">
        <v>0</v>
      </c>
      <c r="AD184" s="6">
        <f t="shared" si="63"/>
        <v>0</v>
      </c>
      <c r="AE184">
        <f t="shared" si="54"/>
        <v>0</v>
      </c>
      <c r="AF184" s="5">
        <f t="shared" si="71"/>
        <v>45459</v>
      </c>
      <c r="AG184" s="25">
        <v>0</v>
      </c>
      <c r="AH184" s="25">
        <v>0</v>
      </c>
      <c r="AI184" s="25">
        <v>0</v>
      </c>
      <c r="AJ184" s="6">
        <f t="shared" si="64"/>
        <v>0</v>
      </c>
      <c r="AK184">
        <f t="shared" si="55"/>
        <v>0</v>
      </c>
      <c r="AL184" s="5">
        <f t="shared" si="72"/>
        <v>45825</v>
      </c>
      <c r="AM184" s="25"/>
      <c r="AN184" s="25"/>
      <c r="AO184" s="25"/>
      <c r="AP184" s="6">
        <f t="shared" si="65"/>
        <v>0</v>
      </c>
      <c r="AQ184">
        <f t="shared" si="56"/>
        <v>0</v>
      </c>
    </row>
    <row r="185" spans="1:43" x14ac:dyDescent="0.3">
      <c r="A185" s="5">
        <f t="shared" si="66"/>
        <v>43634</v>
      </c>
      <c r="B185" s="25">
        <v>313.81207499992848</v>
      </c>
      <c r="C185" s="25">
        <v>48.521828500000758</v>
      </c>
      <c r="D185" s="25">
        <v>22.227</v>
      </c>
      <c r="E185" s="6">
        <f t="shared" si="60"/>
        <v>384.56090349992922</v>
      </c>
      <c r="F185">
        <f t="shared" si="57"/>
        <v>1</v>
      </c>
      <c r="G185" s="5">
        <f t="shared" si="67"/>
        <v>43999</v>
      </c>
      <c r="H185" s="25">
        <v>261.63429890000822</v>
      </c>
      <c r="I185" s="25">
        <v>52.775285700000822</v>
      </c>
      <c r="J185" s="25">
        <v>22.062999999999999</v>
      </c>
      <c r="K185" s="6">
        <f t="shared" si="61"/>
        <v>336.47258460000904</v>
      </c>
      <c r="L185">
        <f t="shared" si="58"/>
        <v>1</v>
      </c>
      <c r="M185" s="5">
        <f t="shared" si="68"/>
        <v>44365</v>
      </c>
      <c r="N185" s="25">
        <v>275.85729790008065</v>
      </c>
      <c r="O185" s="25">
        <v>53.859731399998068</v>
      </c>
      <c r="P185" s="25">
        <v>23.072209099998698</v>
      </c>
      <c r="Q185" s="6">
        <f t="shared" si="59"/>
        <v>352.78923840007741</v>
      </c>
      <c r="R185">
        <f t="shared" si="52"/>
        <v>1</v>
      </c>
      <c r="S185" s="5">
        <f t="shared" si="69"/>
        <v>44730</v>
      </c>
      <c r="T185" s="25">
        <v>263.55670789992809</v>
      </c>
      <c r="U185" s="25">
        <v>59.399399400010708</v>
      </c>
      <c r="V185" s="25">
        <v>19.249789300000529</v>
      </c>
      <c r="W185" s="6">
        <f t="shared" si="62"/>
        <v>342.20589659993936</v>
      </c>
      <c r="X185">
        <f t="shared" si="53"/>
        <v>1</v>
      </c>
      <c r="Z185" s="5">
        <f t="shared" si="70"/>
        <v>44730</v>
      </c>
      <c r="AA185" s="25">
        <v>0</v>
      </c>
      <c r="AB185" s="25">
        <v>0</v>
      </c>
      <c r="AC185" s="25">
        <v>0</v>
      </c>
      <c r="AD185" s="6">
        <f t="shared" si="63"/>
        <v>0</v>
      </c>
      <c r="AE185">
        <f t="shared" si="54"/>
        <v>0</v>
      </c>
      <c r="AF185" s="5">
        <f t="shared" si="71"/>
        <v>45460</v>
      </c>
      <c r="AG185" s="25">
        <v>0</v>
      </c>
      <c r="AH185" s="25">
        <v>0</v>
      </c>
      <c r="AI185" s="25">
        <v>0</v>
      </c>
      <c r="AJ185" s="6">
        <f t="shared" si="64"/>
        <v>0</v>
      </c>
      <c r="AK185">
        <f t="shared" si="55"/>
        <v>0</v>
      </c>
      <c r="AL185" s="5">
        <f t="shared" si="72"/>
        <v>45826</v>
      </c>
      <c r="AM185" s="25"/>
      <c r="AN185" s="25"/>
      <c r="AO185" s="25"/>
      <c r="AP185" s="6">
        <f t="shared" si="65"/>
        <v>0</v>
      </c>
      <c r="AQ185">
        <f t="shared" si="56"/>
        <v>0</v>
      </c>
    </row>
    <row r="186" spans="1:43" x14ac:dyDescent="0.3">
      <c r="A186" s="5">
        <f t="shared" si="66"/>
        <v>43635</v>
      </c>
      <c r="B186" s="25">
        <v>320.70589320003984</v>
      </c>
      <c r="C186" s="25">
        <v>47.93403379999846</v>
      </c>
      <c r="D186" s="25">
        <v>21.649000000000001</v>
      </c>
      <c r="E186" s="6">
        <f t="shared" si="60"/>
        <v>390.28892700003831</v>
      </c>
      <c r="F186">
        <f t="shared" si="57"/>
        <v>1</v>
      </c>
      <c r="G186" s="5">
        <f t="shared" si="67"/>
        <v>44000</v>
      </c>
      <c r="H186" s="25">
        <v>264.51505190002916</v>
      </c>
      <c r="I186" s="25">
        <v>54.359804499998688</v>
      </c>
      <c r="J186" s="25">
        <v>22.6859</v>
      </c>
      <c r="K186" s="6">
        <f t="shared" si="61"/>
        <v>341.56075640002786</v>
      </c>
      <c r="L186">
        <f t="shared" si="58"/>
        <v>1</v>
      </c>
      <c r="M186" s="5">
        <f t="shared" si="68"/>
        <v>44366</v>
      </c>
      <c r="N186" s="25">
        <v>251.03178569996356</v>
      </c>
      <c r="O186" s="25">
        <v>51.029715999998153</v>
      </c>
      <c r="P186" s="25">
        <v>21.620410599998198</v>
      </c>
      <c r="Q186" s="6">
        <f t="shared" si="59"/>
        <v>323.68191229995989</v>
      </c>
      <c r="R186">
        <f t="shared" si="52"/>
        <v>1</v>
      </c>
      <c r="S186" s="5">
        <f t="shared" si="69"/>
        <v>44731</v>
      </c>
      <c r="T186" s="25">
        <v>230.21755420005323</v>
      </c>
      <c r="U186" s="25">
        <v>48.087186199992892</v>
      </c>
      <c r="V186" s="25">
        <v>16.216423899999821</v>
      </c>
      <c r="W186" s="6">
        <f t="shared" si="62"/>
        <v>294.52116430004594</v>
      </c>
      <c r="X186">
        <f t="shared" si="53"/>
        <v>1</v>
      </c>
      <c r="Z186" s="5">
        <f t="shared" si="70"/>
        <v>44731</v>
      </c>
      <c r="AA186" s="25">
        <v>0</v>
      </c>
      <c r="AB186" s="25">
        <v>0</v>
      </c>
      <c r="AC186" s="25">
        <v>0</v>
      </c>
      <c r="AD186" s="6">
        <f t="shared" si="63"/>
        <v>0</v>
      </c>
      <c r="AE186">
        <f t="shared" si="54"/>
        <v>0</v>
      </c>
      <c r="AF186" s="5">
        <f t="shared" si="71"/>
        <v>45461</v>
      </c>
      <c r="AG186" s="25">
        <v>0</v>
      </c>
      <c r="AH186" s="25">
        <v>0</v>
      </c>
      <c r="AI186" s="25">
        <v>0</v>
      </c>
      <c r="AJ186" s="6">
        <f t="shared" si="64"/>
        <v>0</v>
      </c>
      <c r="AK186">
        <f t="shared" si="55"/>
        <v>0</v>
      </c>
      <c r="AL186" s="5">
        <f t="shared" si="72"/>
        <v>45827</v>
      </c>
      <c r="AM186" s="25">
        <v>0</v>
      </c>
      <c r="AN186" s="25">
        <v>0</v>
      </c>
      <c r="AO186" s="25">
        <v>0</v>
      </c>
      <c r="AP186" s="6">
        <f t="shared" si="65"/>
        <v>0</v>
      </c>
      <c r="AQ186">
        <f t="shared" si="56"/>
        <v>0</v>
      </c>
    </row>
    <row r="187" spans="1:43" x14ac:dyDescent="0.3">
      <c r="A187" s="5">
        <f t="shared" si="66"/>
        <v>43636</v>
      </c>
      <c r="B187" s="25">
        <v>321.0286198999882</v>
      </c>
      <c r="C187" s="25">
        <v>50.071533200001348</v>
      </c>
      <c r="D187" s="25">
        <v>21.608000000000001</v>
      </c>
      <c r="E187" s="6">
        <f t="shared" si="60"/>
        <v>392.70815309998954</v>
      </c>
      <c r="F187">
        <f t="shared" si="57"/>
        <v>1</v>
      </c>
      <c r="G187" s="5">
        <f t="shared" si="67"/>
        <v>44001</v>
      </c>
      <c r="H187" s="25">
        <v>260.46945650005341</v>
      </c>
      <c r="I187" s="25">
        <v>52.578883499998597</v>
      </c>
      <c r="J187" s="25">
        <v>25.4131</v>
      </c>
      <c r="K187" s="6">
        <f t="shared" si="61"/>
        <v>338.46144000005199</v>
      </c>
      <c r="L187">
        <f t="shared" si="58"/>
        <v>1</v>
      </c>
      <c r="M187" s="5">
        <f t="shared" si="68"/>
        <v>44367</v>
      </c>
      <c r="N187" s="25">
        <v>231.16464090001583</v>
      </c>
      <c r="O187" s="25">
        <v>42.711241800002753</v>
      </c>
      <c r="P187" s="25">
        <v>18.66256550000189</v>
      </c>
      <c r="Q187" s="6">
        <f t="shared" si="59"/>
        <v>292.53844820002047</v>
      </c>
      <c r="R187">
        <f t="shared" si="52"/>
        <v>1</v>
      </c>
      <c r="S187" s="5">
        <f t="shared" si="69"/>
        <v>44732</v>
      </c>
      <c r="T187" s="25">
        <v>274.68819099998473</v>
      </c>
      <c r="U187" s="25">
        <v>55.870551200002431</v>
      </c>
      <c r="V187" s="25">
        <v>20.066915500000118</v>
      </c>
      <c r="W187" s="6">
        <f t="shared" si="62"/>
        <v>350.62565769998724</v>
      </c>
      <c r="X187">
        <f t="shared" si="53"/>
        <v>1</v>
      </c>
      <c r="Z187" s="5">
        <f t="shared" si="70"/>
        <v>44732</v>
      </c>
      <c r="AA187" s="25">
        <v>0</v>
      </c>
      <c r="AB187" s="25">
        <v>0</v>
      </c>
      <c r="AC187" s="25">
        <v>0</v>
      </c>
      <c r="AD187" s="6">
        <f t="shared" si="63"/>
        <v>0</v>
      </c>
      <c r="AE187">
        <f t="shared" si="54"/>
        <v>0</v>
      </c>
      <c r="AF187" s="5">
        <f t="shared" si="71"/>
        <v>45462</v>
      </c>
      <c r="AG187" s="25">
        <v>0</v>
      </c>
      <c r="AH187" s="25">
        <v>0</v>
      </c>
      <c r="AI187" s="25">
        <v>0</v>
      </c>
      <c r="AJ187" s="6">
        <f t="shared" si="64"/>
        <v>0</v>
      </c>
      <c r="AK187">
        <f t="shared" si="55"/>
        <v>0</v>
      </c>
      <c r="AL187" s="5">
        <f t="shared" si="72"/>
        <v>45828</v>
      </c>
      <c r="AM187" s="25">
        <v>0</v>
      </c>
      <c r="AN187" s="25">
        <v>0</v>
      </c>
      <c r="AO187" s="25">
        <v>0</v>
      </c>
      <c r="AP187" s="6">
        <f t="shared" si="65"/>
        <v>0</v>
      </c>
      <c r="AQ187">
        <f t="shared" si="56"/>
        <v>0</v>
      </c>
    </row>
    <row r="188" spans="1:43" x14ac:dyDescent="0.3">
      <c r="A188" s="5">
        <f t="shared" si="66"/>
        <v>43637</v>
      </c>
      <c r="B188" s="25">
        <v>347.36384420001508</v>
      </c>
      <c r="C188" s="25">
        <v>48.765016499999909</v>
      </c>
      <c r="D188" s="25">
        <v>22.312999999999999</v>
      </c>
      <c r="E188" s="6">
        <f t="shared" si="60"/>
        <v>418.44186070001496</v>
      </c>
      <c r="F188">
        <f t="shared" si="57"/>
        <v>1</v>
      </c>
      <c r="G188" s="5">
        <f t="shared" si="67"/>
        <v>44002</v>
      </c>
      <c r="H188" s="25">
        <v>250.64595909988881</v>
      </c>
      <c r="I188" s="25">
        <v>49.630951900001612</v>
      </c>
      <c r="J188" s="25">
        <v>23.8111</v>
      </c>
      <c r="K188" s="6">
        <f t="shared" si="61"/>
        <v>324.08801099989046</v>
      </c>
      <c r="L188">
        <f t="shared" si="58"/>
        <v>1</v>
      </c>
      <c r="M188" s="5">
        <f t="shared" si="68"/>
        <v>44368</v>
      </c>
      <c r="N188" s="25">
        <v>239.18254770004748</v>
      </c>
      <c r="O188" s="25">
        <v>44.28182299999893</v>
      </c>
      <c r="P188" s="25">
        <v>19.497110399997094</v>
      </c>
      <c r="Q188" s="6">
        <f t="shared" si="59"/>
        <v>302.9614811000435</v>
      </c>
      <c r="R188">
        <f t="shared" si="52"/>
        <v>1</v>
      </c>
      <c r="S188" s="5">
        <f t="shared" si="69"/>
        <v>44733</v>
      </c>
      <c r="T188" s="25">
        <v>244.63523090004921</v>
      </c>
      <c r="U188" s="25">
        <v>55.146036100000146</v>
      </c>
      <c r="V188" s="25">
        <v>18.164660199999808</v>
      </c>
      <c r="W188" s="6">
        <f t="shared" si="62"/>
        <v>317.94592720004914</v>
      </c>
      <c r="X188">
        <f t="shared" si="53"/>
        <v>1</v>
      </c>
      <c r="Z188" s="5">
        <f t="shared" si="70"/>
        <v>44733</v>
      </c>
      <c r="AA188" s="25">
        <v>0</v>
      </c>
      <c r="AB188" s="25">
        <v>0</v>
      </c>
      <c r="AC188" s="25">
        <v>0</v>
      </c>
      <c r="AD188" s="6">
        <f t="shared" si="63"/>
        <v>0</v>
      </c>
      <c r="AE188">
        <f t="shared" si="54"/>
        <v>0</v>
      </c>
      <c r="AF188" s="5">
        <f t="shared" si="71"/>
        <v>45463</v>
      </c>
      <c r="AG188" s="25">
        <v>0</v>
      </c>
      <c r="AH188" s="25">
        <v>0</v>
      </c>
      <c r="AI188" s="25">
        <v>0</v>
      </c>
      <c r="AJ188" s="6">
        <f t="shared" si="64"/>
        <v>0</v>
      </c>
      <c r="AK188">
        <f t="shared" si="55"/>
        <v>0</v>
      </c>
      <c r="AL188" s="5">
        <f t="shared" si="72"/>
        <v>45829</v>
      </c>
      <c r="AM188" s="25">
        <v>0</v>
      </c>
      <c r="AN188" s="25">
        <v>0</v>
      </c>
      <c r="AO188" s="25">
        <v>0</v>
      </c>
      <c r="AP188" s="6">
        <f t="shared" si="65"/>
        <v>0</v>
      </c>
      <c r="AQ188">
        <f t="shared" si="56"/>
        <v>0</v>
      </c>
    </row>
    <row r="189" spans="1:43" x14ac:dyDescent="0.3">
      <c r="A189" s="5">
        <f t="shared" si="66"/>
        <v>43638</v>
      </c>
      <c r="B189" s="25">
        <v>293.4394062999487</v>
      </c>
      <c r="C189" s="25">
        <v>44.816019999997692</v>
      </c>
      <c r="D189" s="25">
        <v>21.152999999999999</v>
      </c>
      <c r="E189" s="6">
        <f t="shared" si="60"/>
        <v>359.40842629994643</v>
      </c>
      <c r="F189">
        <f t="shared" si="57"/>
        <v>1</v>
      </c>
      <c r="G189" s="5">
        <f t="shared" si="67"/>
        <v>44003</v>
      </c>
      <c r="H189" s="25">
        <v>233.15699130010606</v>
      </c>
      <c r="I189" s="25">
        <v>41.769251400001345</v>
      </c>
      <c r="J189" s="25">
        <v>20.004799999999999</v>
      </c>
      <c r="K189" s="6">
        <f t="shared" si="61"/>
        <v>294.93104270010741</v>
      </c>
      <c r="L189">
        <f t="shared" si="58"/>
        <v>1</v>
      </c>
      <c r="M189" s="5">
        <f t="shared" si="68"/>
        <v>44369</v>
      </c>
      <c r="N189" s="25">
        <v>280.58106269991396</v>
      </c>
      <c r="O189" s="25">
        <v>55.294927900001404</v>
      </c>
      <c r="P189" s="25">
        <v>23.737291200006613</v>
      </c>
      <c r="Q189" s="6">
        <f t="shared" si="59"/>
        <v>359.61328179992199</v>
      </c>
      <c r="R189">
        <f t="shared" si="52"/>
        <v>1</v>
      </c>
      <c r="S189" s="5">
        <f t="shared" si="69"/>
        <v>44734</v>
      </c>
      <c r="T189" s="25">
        <v>267.31955729997156</v>
      </c>
      <c r="U189" s="25">
        <v>59.148794499993322</v>
      </c>
      <c r="V189" s="25">
        <v>20.618837800000097</v>
      </c>
      <c r="W189" s="6">
        <f t="shared" si="62"/>
        <v>347.08718959996497</v>
      </c>
      <c r="X189">
        <f t="shared" si="53"/>
        <v>1</v>
      </c>
      <c r="Z189" s="5">
        <f t="shared" si="70"/>
        <v>44734</v>
      </c>
      <c r="AA189" s="25">
        <v>0</v>
      </c>
      <c r="AB189" s="25">
        <v>0</v>
      </c>
      <c r="AC189" s="25">
        <v>0</v>
      </c>
      <c r="AD189" s="6">
        <f t="shared" si="63"/>
        <v>0</v>
      </c>
      <c r="AE189">
        <f t="shared" si="54"/>
        <v>0</v>
      </c>
      <c r="AF189" s="5">
        <f t="shared" si="71"/>
        <v>45464</v>
      </c>
      <c r="AG189" s="25">
        <v>0</v>
      </c>
      <c r="AH189" s="25">
        <v>0</v>
      </c>
      <c r="AI189" s="25">
        <v>0</v>
      </c>
      <c r="AJ189" s="6">
        <f t="shared" si="64"/>
        <v>0</v>
      </c>
      <c r="AK189">
        <f t="shared" si="55"/>
        <v>0</v>
      </c>
      <c r="AL189" s="5">
        <f t="shared" si="72"/>
        <v>45830</v>
      </c>
      <c r="AM189" s="25">
        <v>0</v>
      </c>
      <c r="AN189" s="25">
        <v>0</v>
      </c>
      <c r="AO189" s="25">
        <v>0</v>
      </c>
      <c r="AP189" s="6">
        <f t="shared" si="65"/>
        <v>0</v>
      </c>
      <c r="AQ189">
        <f t="shared" si="56"/>
        <v>0</v>
      </c>
    </row>
    <row r="190" spans="1:43" x14ac:dyDescent="0.3">
      <c r="A190" s="5">
        <f t="shared" si="66"/>
        <v>43639</v>
      </c>
      <c r="B190" s="25">
        <v>284.77571160006522</v>
      </c>
      <c r="C190" s="25">
        <v>41.300451400000604</v>
      </c>
      <c r="D190" s="25">
        <v>16.416</v>
      </c>
      <c r="E190" s="6">
        <f t="shared" si="60"/>
        <v>342.49216300006583</v>
      </c>
      <c r="F190">
        <f t="shared" si="57"/>
        <v>1</v>
      </c>
      <c r="G190" s="5">
        <f t="shared" si="67"/>
        <v>44004</v>
      </c>
      <c r="H190" s="25">
        <v>257.90723239994048</v>
      </c>
      <c r="I190" s="25">
        <v>53.088070299997923</v>
      </c>
      <c r="J190" s="25">
        <v>23.236999999999998</v>
      </c>
      <c r="K190" s="6">
        <f t="shared" si="61"/>
        <v>334.23230269993843</v>
      </c>
      <c r="L190">
        <f t="shared" si="58"/>
        <v>1</v>
      </c>
      <c r="M190" s="5">
        <f t="shared" si="68"/>
        <v>44370</v>
      </c>
      <c r="N190" s="25">
        <v>298.53960409998894</v>
      </c>
      <c r="O190" s="25">
        <v>55.442968000002203</v>
      </c>
      <c r="P190" s="25">
        <v>23.79999709999375</v>
      </c>
      <c r="Q190" s="6">
        <f t="shared" si="59"/>
        <v>377.78256919998489</v>
      </c>
      <c r="R190">
        <f t="shared" si="52"/>
        <v>1</v>
      </c>
      <c r="S190" s="5">
        <f t="shared" si="69"/>
        <v>44735</v>
      </c>
      <c r="T190" s="25">
        <v>275.8801849999428</v>
      </c>
      <c r="U190" s="25">
        <v>56.435406600013373</v>
      </c>
      <c r="V190" s="25">
        <v>18.988561200000113</v>
      </c>
      <c r="W190" s="6">
        <f t="shared" si="62"/>
        <v>351.30415279995628</v>
      </c>
      <c r="X190">
        <f t="shared" si="53"/>
        <v>1</v>
      </c>
      <c r="Z190" s="5">
        <f t="shared" si="70"/>
        <v>44735</v>
      </c>
      <c r="AA190" s="25">
        <v>0</v>
      </c>
      <c r="AB190" s="25">
        <v>0</v>
      </c>
      <c r="AC190" s="25">
        <v>0</v>
      </c>
      <c r="AD190" s="6">
        <f t="shared" si="63"/>
        <v>0</v>
      </c>
      <c r="AE190">
        <f t="shared" si="54"/>
        <v>0</v>
      </c>
      <c r="AF190" s="5">
        <f t="shared" si="71"/>
        <v>45465</v>
      </c>
      <c r="AG190" s="25">
        <v>0</v>
      </c>
      <c r="AH190" s="25">
        <v>0</v>
      </c>
      <c r="AI190" s="25">
        <v>0</v>
      </c>
      <c r="AJ190" s="6">
        <f t="shared" si="64"/>
        <v>0</v>
      </c>
      <c r="AK190">
        <f t="shared" si="55"/>
        <v>0</v>
      </c>
      <c r="AL190" s="5">
        <f t="shared" si="72"/>
        <v>45831</v>
      </c>
      <c r="AM190" s="25">
        <v>0</v>
      </c>
      <c r="AN190" s="25">
        <v>0</v>
      </c>
      <c r="AO190" s="25">
        <v>0</v>
      </c>
      <c r="AP190" s="6">
        <f t="shared" si="65"/>
        <v>0</v>
      </c>
      <c r="AQ190">
        <f t="shared" si="56"/>
        <v>0</v>
      </c>
    </row>
    <row r="191" spans="1:43" x14ac:dyDescent="0.3">
      <c r="A191" s="5">
        <f t="shared" si="66"/>
        <v>43640</v>
      </c>
      <c r="B191" s="25">
        <v>323.72245529997349</v>
      </c>
      <c r="C191" s="25">
        <v>48.547189800001682</v>
      </c>
      <c r="D191" s="25">
        <v>21.7</v>
      </c>
      <c r="E191" s="6">
        <f t="shared" si="60"/>
        <v>393.96964509997514</v>
      </c>
      <c r="F191">
        <f t="shared" si="57"/>
        <v>1</v>
      </c>
      <c r="G191" s="5">
        <f t="shared" si="67"/>
        <v>44005</v>
      </c>
      <c r="H191" s="25">
        <v>264.18060689997674</v>
      </c>
      <c r="I191" s="25">
        <v>52.704802299998704</v>
      </c>
      <c r="J191" s="25">
        <v>21.381</v>
      </c>
      <c r="K191" s="6">
        <f t="shared" si="61"/>
        <v>338.26640919997544</v>
      </c>
      <c r="L191">
        <f t="shared" si="58"/>
        <v>1</v>
      </c>
      <c r="M191" s="5">
        <f t="shared" si="68"/>
        <v>44371</v>
      </c>
      <c r="N191" s="25">
        <v>274.69004970002175</v>
      </c>
      <c r="O191" s="25">
        <v>54.276858499996365</v>
      </c>
      <c r="P191" s="25">
        <v>23.635570300000488</v>
      </c>
      <c r="Q191" s="6">
        <f t="shared" si="59"/>
        <v>352.60247850001861</v>
      </c>
      <c r="R191">
        <f t="shared" si="52"/>
        <v>1</v>
      </c>
      <c r="S191" s="5">
        <f t="shared" si="69"/>
        <v>44736</v>
      </c>
      <c r="T191" s="25">
        <v>283.51666000008584</v>
      </c>
      <c r="U191" s="25">
        <v>54.995146599993113</v>
      </c>
      <c r="V191" s="25">
        <v>18.627775999999837</v>
      </c>
      <c r="W191" s="6">
        <f t="shared" si="62"/>
        <v>357.13958260007877</v>
      </c>
      <c r="X191">
        <f t="shared" si="53"/>
        <v>1</v>
      </c>
      <c r="Z191" s="5">
        <f t="shared" si="70"/>
        <v>44736</v>
      </c>
      <c r="AA191" s="25">
        <v>0</v>
      </c>
      <c r="AB191" s="25">
        <v>0</v>
      </c>
      <c r="AC191" s="25">
        <v>0</v>
      </c>
      <c r="AD191" s="6">
        <f t="shared" si="63"/>
        <v>0</v>
      </c>
      <c r="AE191">
        <f t="shared" si="54"/>
        <v>0</v>
      </c>
      <c r="AF191" s="5">
        <f t="shared" si="71"/>
        <v>45466</v>
      </c>
      <c r="AG191" s="25">
        <v>0</v>
      </c>
      <c r="AH191" s="25">
        <v>0</v>
      </c>
      <c r="AI191" s="25">
        <v>0</v>
      </c>
      <c r="AJ191" s="6">
        <f t="shared" si="64"/>
        <v>0</v>
      </c>
      <c r="AK191">
        <f t="shared" si="55"/>
        <v>0</v>
      </c>
      <c r="AL191" s="5">
        <f t="shared" si="72"/>
        <v>45832</v>
      </c>
      <c r="AM191" s="25">
        <v>0</v>
      </c>
      <c r="AN191" s="25">
        <v>0</v>
      </c>
      <c r="AO191" s="25">
        <v>0</v>
      </c>
      <c r="AP191" s="6">
        <f t="shared" si="65"/>
        <v>0</v>
      </c>
      <c r="AQ191">
        <f t="shared" si="56"/>
        <v>0</v>
      </c>
    </row>
    <row r="192" spans="1:43" x14ac:dyDescent="0.3">
      <c r="A192" s="5">
        <f t="shared" si="66"/>
        <v>43641</v>
      </c>
      <c r="B192" s="25">
        <v>318.58348510003088</v>
      </c>
      <c r="C192" s="25">
        <v>48.435104600001125</v>
      </c>
      <c r="D192" s="25">
        <v>21.382999999999999</v>
      </c>
      <c r="E192" s="6">
        <f t="shared" si="60"/>
        <v>388.40158970003199</v>
      </c>
      <c r="F192">
        <f t="shared" si="57"/>
        <v>1</v>
      </c>
      <c r="G192" s="5">
        <f t="shared" si="67"/>
        <v>44006</v>
      </c>
      <c r="H192" s="25">
        <v>258.8550297000408</v>
      </c>
      <c r="I192" s="25">
        <v>52.206194500003008</v>
      </c>
      <c r="J192" s="25">
        <v>24.161999999999999</v>
      </c>
      <c r="K192" s="6">
        <f t="shared" si="61"/>
        <v>335.22322420004377</v>
      </c>
      <c r="L192">
        <f t="shared" si="58"/>
        <v>1</v>
      </c>
      <c r="M192" s="5">
        <f t="shared" si="68"/>
        <v>44372</v>
      </c>
      <c r="N192" s="25">
        <v>253.74769200003146</v>
      </c>
      <c r="O192" s="25">
        <v>53.911595200002196</v>
      </c>
      <c r="P192" s="25">
        <v>23.194112000000196</v>
      </c>
      <c r="Q192" s="6">
        <f t="shared" si="59"/>
        <v>330.85339920003383</v>
      </c>
      <c r="R192">
        <f t="shared" si="52"/>
        <v>1</v>
      </c>
      <c r="S192" s="5">
        <f t="shared" si="69"/>
        <v>44737</v>
      </c>
      <c r="T192" s="25">
        <v>257.83990100002291</v>
      </c>
      <c r="U192" s="25">
        <v>52.022849999994037</v>
      </c>
      <c r="V192" s="25">
        <v>20.453910900000249</v>
      </c>
      <c r="W192" s="6">
        <f t="shared" si="62"/>
        <v>330.31666190001721</v>
      </c>
      <c r="X192">
        <f t="shared" si="53"/>
        <v>1</v>
      </c>
      <c r="Z192" s="5">
        <f t="shared" si="70"/>
        <v>44737</v>
      </c>
      <c r="AA192" s="25">
        <v>0</v>
      </c>
      <c r="AB192" s="25">
        <v>0</v>
      </c>
      <c r="AC192" s="25">
        <v>0</v>
      </c>
      <c r="AD192" s="6">
        <f t="shared" si="63"/>
        <v>0</v>
      </c>
      <c r="AE192">
        <f t="shared" si="54"/>
        <v>0</v>
      </c>
      <c r="AF192" s="5">
        <f t="shared" si="71"/>
        <v>45467</v>
      </c>
      <c r="AG192" s="25">
        <v>0</v>
      </c>
      <c r="AH192" s="25">
        <v>0</v>
      </c>
      <c r="AI192" s="25">
        <v>0</v>
      </c>
      <c r="AJ192" s="6">
        <f t="shared" si="64"/>
        <v>0</v>
      </c>
      <c r="AK192">
        <f t="shared" si="55"/>
        <v>0</v>
      </c>
      <c r="AL192" s="5">
        <f t="shared" si="72"/>
        <v>45833</v>
      </c>
      <c r="AM192" s="25">
        <v>0</v>
      </c>
      <c r="AN192" s="25">
        <v>0</v>
      </c>
      <c r="AO192" s="25">
        <v>0</v>
      </c>
      <c r="AP192" s="6">
        <f t="shared" si="65"/>
        <v>0</v>
      </c>
      <c r="AQ192">
        <f t="shared" si="56"/>
        <v>0</v>
      </c>
    </row>
    <row r="193" spans="1:43" x14ac:dyDescent="0.3">
      <c r="A193" s="5">
        <f t="shared" si="66"/>
        <v>43642</v>
      </c>
      <c r="B193" s="25">
        <v>326.7018042999506</v>
      </c>
      <c r="C193" s="25">
        <v>49.540979199998084</v>
      </c>
      <c r="D193" s="25">
        <v>21.393000000000001</v>
      </c>
      <c r="E193" s="6">
        <f t="shared" si="60"/>
        <v>397.63578349994873</v>
      </c>
      <c r="F193">
        <f t="shared" si="57"/>
        <v>1</v>
      </c>
      <c r="G193" s="5">
        <f t="shared" si="67"/>
        <v>44007</v>
      </c>
      <c r="H193" s="25">
        <v>261.84923140001297</v>
      </c>
      <c r="I193" s="25">
        <v>53.113523699998858</v>
      </c>
      <c r="J193" s="25">
        <v>24.516999999999999</v>
      </c>
      <c r="K193" s="6">
        <f t="shared" si="61"/>
        <v>339.4797551000118</v>
      </c>
      <c r="L193">
        <f t="shared" si="58"/>
        <v>1</v>
      </c>
      <c r="M193" s="5">
        <f t="shared" si="68"/>
        <v>44373</v>
      </c>
      <c r="N193" s="25">
        <v>251.83752429997921</v>
      </c>
      <c r="O193" s="25">
        <v>50.703241099998358</v>
      </c>
      <c r="P193" s="25">
        <v>20.752697800007184</v>
      </c>
      <c r="Q193" s="6">
        <f t="shared" si="59"/>
        <v>323.29346319998473</v>
      </c>
      <c r="R193">
        <f t="shared" si="52"/>
        <v>1</v>
      </c>
      <c r="S193" s="5">
        <f t="shared" si="69"/>
        <v>44738</v>
      </c>
      <c r="T193" s="25">
        <v>224.14974469995499</v>
      </c>
      <c r="U193" s="25">
        <v>44.121747400000693</v>
      </c>
      <c r="V193" s="25">
        <v>17.350217899999581</v>
      </c>
      <c r="W193" s="6">
        <f t="shared" si="62"/>
        <v>285.62170999995527</v>
      </c>
      <c r="X193">
        <f t="shared" si="53"/>
        <v>1</v>
      </c>
      <c r="Z193" s="5">
        <f t="shared" si="70"/>
        <v>44738</v>
      </c>
      <c r="AA193" s="25">
        <v>0</v>
      </c>
      <c r="AB193" s="25">
        <v>0</v>
      </c>
      <c r="AC193" s="25">
        <v>0</v>
      </c>
      <c r="AD193" s="6">
        <f t="shared" si="63"/>
        <v>0</v>
      </c>
      <c r="AE193">
        <f t="shared" si="54"/>
        <v>0</v>
      </c>
      <c r="AF193" s="5">
        <f t="shared" si="71"/>
        <v>45468</v>
      </c>
      <c r="AG193" s="25">
        <v>0</v>
      </c>
      <c r="AH193" s="25">
        <v>0</v>
      </c>
      <c r="AI193" s="25">
        <v>0</v>
      </c>
      <c r="AJ193" s="6">
        <f t="shared" si="64"/>
        <v>0</v>
      </c>
      <c r="AK193">
        <f t="shared" si="55"/>
        <v>0</v>
      </c>
      <c r="AL193" s="5">
        <f t="shared" si="72"/>
        <v>45834</v>
      </c>
      <c r="AM193" s="25">
        <v>0</v>
      </c>
      <c r="AN193" s="25">
        <v>0</v>
      </c>
      <c r="AO193" s="25">
        <v>0</v>
      </c>
      <c r="AP193" s="6">
        <f t="shared" si="65"/>
        <v>0</v>
      </c>
      <c r="AQ193">
        <f t="shared" si="56"/>
        <v>0</v>
      </c>
    </row>
    <row r="194" spans="1:43" x14ac:dyDescent="0.3">
      <c r="A194" s="5">
        <f t="shared" si="66"/>
        <v>43643</v>
      </c>
      <c r="B194" s="25">
        <v>327.34052989995479</v>
      </c>
      <c r="C194" s="25">
        <v>48.837275800000874</v>
      </c>
      <c r="D194" s="25">
        <v>21.166</v>
      </c>
      <c r="E194" s="6">
        <f t="shared" si="60"/>
        <v>397.34380569995568</v>
      </c>
      <c r="F194">
        <f t="shared" si="57"/>
        <v>1</v>
      </c>
      <c r="G194" s="5">
        <f t="shared" si="67"/>
        <v>44008</v>
      </c>
      <c r="H194" s="25">
        <v>259.12947549998762</v>
      </c>
      <c r="I194" s="25">
        <v>53.936579700000586</v>
      </c>
      <c r="J194" s="25">
        <v>24.166</v>
      </c>
      <c r="K194" s="6">
        <f t="shared" si="61"/>
        <v>337.23205519998822</v>
      </c>
      <c r="L194">
        <f t="shared" si="58"/>
        <v>1</v>
      </c>
      <c r="M194" s="5">
        <f t="shared" si="68"/>
        <v>44374</v>
      </c>
      <c r="N194" s="25">
        <v>230.75801450002194</v>
      </c>
      <c r="O194" s="25">
        <v>40.778947700001297</v>
      </c>
      <c r="P194" s="25">
        <v>19.713530499994288</v>
      </c>
      <c r="Q194" s="6">
        <f t="shared" si="59"/>
        <v>291.25049270001756</v>
      </c>
      <c r="R194">
        <f t="shared" si="52"/>
        <v>1</v>
      </c>
      <c r="S194" s="5">
        <f t="shared" si="69"/>
        <v>44739</v>
      </c>
      <c r="T194" s="25">
        <v>242.20555509996413</v>
      </c>
      <c r="U194" s="25">
        <v>46.032162699997428</v>
      </c>
      <c r="V194" s="25">
        <v>16.089573700000297</v>
      </c>
      <c r="W194" s="6">
        <f t="shared" si="62"/>
        <v>304.32729149996186</v>
      </c>
      <c r="X194">
        <f t="shared" si="53"/>
        <v>1</v>
      </c>
      <c r="Z194" s="5">
        <f t="shared" si="70"/>
        <v>44739</v>
      </c>
      <c r="AA194" s="25">
        <v>0</v>
      </c>
      <c r="AB194" s="25">
        <v>0</v>
      </c>
      <c r="AC194" s="25">
        <v>0</v>
      </c>
      <c r="AD194" s="6">
        <f t="shared" si="63"/>
        <v>0</v>
      </c>
      <c r="AE194">
        <f t="shared" si="54"/>
        <v>0</v>
      </c>
      <c r="AF194" s="5">
        <f t="shared" si="71"/>
        <v>45469</v>
      </c>
      <c r="AG194" s="25">
        <v>0</v>
      </c>
      <c r="AH194" s="25">
        <v>0</v>
      </c>
      <c r="AI194" s="25">
        <v>0</v>
      </c>
      <c r="AJ194" s="6">
        <f t="shared" si="64"/>
        <v>0</v>
      </c>
      <c r="AK194">
        <f t="shared" si="55"/>
        <v>0</v>
      </c>
      <c r="AL194" s="5">
        <f t="shared" si="72"/>
        <v>45835</v>
      </c>
      <c r="AM194" s="25">
        <v>0</v>
      </c>
      <c r="AN194" s="25">
        <v>0</v>
      </c>
      <c r="AO194" s="25">
        <v>0</v>
      </c>
      <c r="AP194" s="6">
        <f t="shared" si="65"/>
        <v>0</v>
      </c>
      <c r="AQ194">
        <f t="shared" si="56"/>
        <v>0</v>
      </c>
    </row>
    <row r="195" spans="1:43" x14ac:dyDescent="0.3">
      <c r="A195" s="5">
        <f t="shared" si="66"/>
        <v>43644</v>
      </c>
      <c r="B195" s="25">
        <v>328.23694790005686</v>
      </c>
      <c r="C195" s="25">
        <v>48.533669999998061</v>
      </c>
      <c r="D195" s="25">
        <v>21.085999999999999</v>
      </c>
      <c r="E195" s="6">
        <f t="shared" si="60"/>
        <v>397.85661790005491</v>
      </c>
      <c r="F195">
        <f t="shared" si="57"/>
        <v>1</v>
      </c>
      <c r="G195" s="5">
        <f t="shared" si="67"/>
        <v>44009</v>
      </c>
      <c r="H195" s="25">
        <v>246.13776259994506</v>
      </c>
      <c r="I195" s="25">
        <v>51.72483040000126</v>
      </c>
      <c r="J195" s="25">
        <v>23.890999999999998</v>
      </c>
      <c r="K195" s="6">
        <f t="shared" si="61"/>
        <v>321.75359299994636</v>
      </c>
      <c r="L195">
        <f t="shared" si="58"/>
        <v>1</v>
      </c>
      <c r="M195" s="5">
        <f t="shared" si="68"/>
        <v>44375</v>
      </c>
      <c r="N195" s="25">
        <v>245.00756159996988</v>
      </c>
      <c r="O195" s="25">
        <v>44.429022799998521</v>
      </c>
      <c r="P195" s="25">
        <v>17.934132299998542</v>
      </c>
      <c r="Q195" s="6">
        <f t="shared" si="59"/>
        <v>307.37071669996698</v>
      </c>
      <c r="R195">
        <f t="shared" si="52"/>
        <v>1</v>
      </c>
      <c r="S195" s="5">
        <f t="shared" si="69"/>
        <v>44740</v>
      </c>
      <c r="T195" s="25">
        <v>289.76403530001642</v>
      </c>
      <c r="U195" s="25">
        <v>54.773620000004769</v>
      </c>
      <c r="V195" s="25">
        <v>19.992039499999954</v>
      </c>
      <c r="W195" s="6">
        <f t="shared" si="62"/>
        <v>364.52969480002116</v>
      </c>
      <c r="X195">
        <f t="shared" si="53"/>
        <v>1</v>
      </c>
      <c r="Z195" s="5">
        <f t="shared" si="70"/>
        <v>44740</v>
      </c>
      <c r="AA195" s="25">
        <v>0</v>
      </c>
      <c r="AB195" s="25">
        <v>0</v>
      </c>
      <c r="AC195" s="25">
        <v>0</v>
      </c>
      <c r="AD195" s="6">
        <f t="shared" si="63"/>
        <v>0</v>
      </c>
      <c r="AE195">
        <f t="shared" si="54"/>
        <v>0</v>
      </c>
      <c r="AF195" s="5">
        <f t="shared" si="71"/>
        <v>45470</v>
      </c>
      <c r="AG195" s="25">
        <v>0</v>
      </c>
      <c r="AH195" s="25">
        <v>0</v>
      </c>
      <c r="AI195" s="25">
        <v>0</v>
      </c>
      <c r="AJ195" s="6">
        <f t="shared" si="64"/>
        <v>0</v>
      </c>
      <c r="AK195">
        <f t="shared" si="55"/>
        <v>0</v>
      </c>
      <c r="AL195" s="5">
        <f t="shared" si="72"/>
        <v>45836</v>
      </c>
      <c r="AM195" s="25">
        <v>0</v>
      </c>
      <c r="AN195" s="25">
        <v>0</v>
      </c>
      <c r="AO195" s="25">
        <v>0</v>
      </c>
      <c r="AP195" s="6">
        <f t="shared" si="65"/>
        <v>0</v>
      </c>
      <c r="AQ195">
        <f t="shared" si="56"/>
        <v>0</v>
      </c>
    </row>
    <row r="196" spans="1:43" x14ac:dyDescent="0.3">
      <c r="A196" s="5">
        <f t="shared" si="66"/>
        <v>43645</v>
      </c>
      <c r="B196" s="25">
        <v>283.54608640003204</v>
      </c>
      <c r="C196" s="25">
        <v>41.621417100001125</v>
      </c>
      <c r="D196" s="25">
        <v>16.905999999999999</v>
      </c>
      <c r="E196" s="6">
        <f t="shared" si="60"/>
        <v>342.07350350003315</v>
      </c>
      <c r="F196">
        <f t="shared" si="57"/>
        <v>1</v>
      </c>
      <c r="G196" s="5">
        <f t="shared" si="67"/>
        <v>44010</v>
      </c>
      <c r="H196" s="25">
        <v>232.62578860008716</v>
      </c>
      <c r="I196" s="25">
        <v>46.52721109999716</v>
      </c>
      <c r="J196" s="25">
        <v>17.956</v>
      </c>
      <c r="K196" s="6">
        <f t="shared" si="61"/>
        <v>297.10899970008433</v>
      </c>
      <c r="L196">
        <f t="shared" si="58"/>
        <v>1</v>
      </c>
      <c r="M196" s="5">
        <f t="shared" si="68"/>
        <v>44376</v>
      </c>
      <c r="N196" s="25">
        <v>287.33140380001066</v>
      </c>
      <c r="O196" s="25">
        <v>55.979180600002408</v>
      </c>
      <c r="P196" s="25">
        <v>22.104666600000346</v>
      </c>
      <c r="Q196" s="6">
        <f t="shared" si="59"/>
        <v>365.41525100001343</v>
      </c>
      <c r="R196">
        <f t="shared" si="52"/>
        <v>1</v>
      </c>
      <c r="S196" s="5">
        <f t="shared" si="69"/>
        <v>44741</v>
      </c>
      <c r="T196" s="25">
        <v>296.04336240005495</v>
      </c>
      <c r="U196" s="25">
        <v>54.914314600005746</v>
      </c>
      <c r="V196" s="25">
        <v>19.518367699999594</v>
      </c>
      <c r="W196" s="6">
        <f t="shared" si="62"/>
        <v>370.4760447000603</v>
      </c>
      <c r="X196">
        <f t="shared" si="53"/>
        <v>1</v>
      </c>
      <c r="Z196" s="5">
        <f t="shared" si="70"/>
        <v>44741</v>
      </c>
      <c r="AA196" s="25">
        <v>0</v>
      </c>
      <c r="AB196" s="25">
        <v>0</v>
      </c>
      <c r="AC196" s="25">
        <v>0</v>
      </c>
      <c r="AD196" s="6">
        <f t="shared" si="63"/>
        <v>0</v>
      </c>
      <c r="AE196">
        <f t="shared" si="54"/>
        <v>0</v>
      </c>
      <c r="AF196" s="5">
        <f t="shared" si="71"/>
        <v>45471</v>
      </c>
      <c r="AG196" s="25">
        <v>0</v>
      </c>
      <c r="AH196" s="25">
        <v>0</v>
      </c>
      <c r="AI196" s="25">
        <v>0</v>
      </c>
      <c r="AJ196" s="6">
        <f t="shared" si="64"/>
        <v>0</v>
      </c>
      <c r="AK196">
        <f t="shared" si="55"/>
        <v>0</v>
      </c>
      <c r="AL196" s="5">
        <f t="shared" si="72"/>
        <v>45837</v>
      </c>
      <c r="AM196" s="25">
        <v>0</v>
      </c>
      <c r="AN196" s="25">
        <v>0</v>
      </c>
      <c r="AO196" s="25">
        <v>0</v>
      </c>
      <c r="AP196" s="6">
        <f t="shared" si="65"/>
        <v>0</v>
      </c>
      <c r="AQ196">
        <f t="shared" si="56"/>
        <v>0</v>
      </c>
    </row>
    <row r="197" spans="1:43" x14ac:dyDescent="0.3">
      <c r="A197" s="21">
        <f t="shared" si="66"/>
        <v>43646</v>
      </c>
      <c r="B197" s="25">
        <v>281.80631209993362</v>
      </c>
      <c r="C197" s="25">
        <v>41.258115899998693</v>
      </c>
      <c r="D197" s="25">
        <v>15.303000000000001</v>
      </c>
      <c r="E197" s="6">
        <f t="shared" si="60"/>
        <v>338.36742799993232</v>
      </c>
      <c r="F197">
        <f t="shared" si="57"/>
        <v>1</v>
      </c>
      <c r="G197" s="5">
        <f t="shared" si="67"/>
        <v>44011</v>
      </c>
      <c r="H197" s="25">
        <v>244.39672719991208</v>
      </c>
      <c r="I197" s="25">
        <v>45.716233100004494</v>
      </c>
      <c r="J197" s="25">
        <v>18.276</v>
      </c>
      <c r="K197" s="6">
        <f t="shared" si="61"/>
        <v>308.38896029991656</v>
      </c>
      <c r="L197">
        <f t="shared" si="58"/>
        <v>1</v>
      </c>
      <c r="M197" s="21">
        <f t="shared" si="68"/>
        <v>44377</v>
      </c>
      <c r="N197" s="6">
        <v>295.14842379999163</v>
      </c>
      <c r="O197" s="6">
        <v>54.380693499997257</v>
      </c>
      <c r="P197" s="6">
        <v>22.916960399999518</v>
      </c>
      <c r="Q197" s="6">
        <f t="shared" si="59"/>
        <v>372.44607769998845</v>
      </c>
      <c r="R197">
        <f t="shared" si="52"/>
        <v>1</v>
      </c>
      <c r="S197" s="21">
        <f t="shared" si="69"/>
        <v>44742</v>
      </c>
      <c r="T197" s="6">
        <v>297.70009899997711</v>
      </c>
      <c r="U197" s="6">
        <v>55.604130500003699</v>
      </c>
      <c r="V197" s="6">
        <v>19.442742900000187</v>
      </c>
      <c r="W197" s="6">
        <f t="shared" si="62"/>
        <v>372.74697239998102</v>
      </c>
      <c r="X197">
        <f t="shared" si="53"/>
        <v>1</v>
      </c>
      <c r="Z197" s="21">
        <f t="shared" si="70"/>
        <v>44742</v>
      </c>
      <c r="AA197" s="6">
        <v>0</v>
      </c>
      <c r="AB197" s="6">
        <v>0</v>
      </c>
      <c r="AC197" s="6">
        <v>0</v>
      </c>
      <c r="AD197" s="6">
        <f t="shared" si="63"/>
        <v>0</v>
      </c>
      <c r="AE197">
        <f t="shared" si="54"/>
        <v>0</v>
      </c>
      <c r="AF197" s="21">
        <f t="shared" si="71"/>
        <v>45472</v>
      </c>
      <c r="AG197" s="6">
        <v>0</v>
      </c>
      <c r="AH197" s="6">
        <v>0</v>
      </c>
      <c r="AI197" s="6">
        <v>0</v>
      </c>
      <c r="AJ197" s="6">
        <f t="shared" si="64"/>
        <v>0</v>
      </c>
      <c r="AK197">
        <f t="shared" si="55"/>
        <v>0</v>
      </c>
      <c r="AL197" s="21">
        <f t="shared" si="72"/>
        <v>45838</v>
      </c>
      <c r="AM197" s="6">
        <v>0</v>
      </c>
      <c r="AN197" s="6">
        <v>0</v>
      </c>
      <c r="AO197" s="6">
        <v>0</v>
      </c>
      <c r="AP197" s="6">
        <f t="shared" si="65"/>
        <v>0</v>
      </c>
      <c r="AQ197">
        <f t="shared" si="56"/>
        <v>0</v>
      </c>
    </row>
    <row r="198" spans="1:43" x14ac:dyDescent="0.3">
      <c r="A198" s="5">
        <f t="shared" si="66"/>
        <v>43647</v>
      </c>
      <c r="B198" s="6">
        <v>323.42436839997771</v>
      </c>
      <c r="C198" s="6">
        <v>48.933863800000402</v>
      </c>
      <c r="D198" s="6">
        <v>20.457999999999998</v>
      </c>
      <c r="E198" s="6">
        <f t="shared" si="60"/>
        <v>392.81623219997812</v>
      </c>
      <c r="F198">
        <f t="shared" si="57"/>
        <v>1</v>
      </c>
      <c r="G198" s="21">
        <f t="shared" si="67"/>
        <v>44012</v>
      </c>
      <c r="H198" s="6">
        <v>268.31429940009116</v>
      </c>
      <c r="I198" s="6">
        <v>36.721058100000022</v>
      </c>
      <c r="J198" s="6">
        <v>22.138999999999999</v>
      </c>
      <c r="K198" s="6">
        <f t="shared" si="61"/>
        <v>327.17435750009122</v>
      </c>
      <c r="L198">
        <f t="shared" si="58"/>
        <v>1</v>
      </c>
      <c r="M198" s="5">
        <f t="shared" si="68"/>
        <v>44378</v>
      </c>
      <c r="N198" s="6">
        <v>248.18102390003205</v>
      </c>
      <c r="O198" s="6">
        <v>53.41780650000274</v>
      </c>
      <c r="P198" s="6">
        <v>23.524382200001739</v>
      </c>
      <c r="Q198" s="6">
        <f t="shared" si="59"/>
        <v>325.12321260003654</v>
      </c>
      <c r="R198">
        <f t="shared" si="52"/>
        <v>1</v>
      </c>
      <c r="S198" s="5">
        <f t="shared" si="69"/>
        <v>44743</v>
      </c>
      <c r="T198" s="6">
        <v>288.53488839995862</v>
      </c>
      <c r="U198" s="6">
        <v>58.066321099996564</v>
      </c>
      <c r="V198" s="6">
        <v>20.249657800002023</v>
      </c>
      <c r="W198" s="6">
        <f t="shared" ref="W198:W229" si="73">SUM(T198:V198)</f>
        <v>366.8508672999572</v>
      </c>
      <c r="X198">
        <f t="shared" si="53"/>
        <v>1</v>
      </c>
      <c r="Z198" s="5">
        <f t="shared" si="70"/>
        <v>44743</v>
      </c>
      <c r="AA198" s="6">
        <v>0</v>
      </c>
      <c r="AB198" s="6">
        <v>0</v>
      </c>
      <c r="AC198" s="6">
        <v>0</v>
      </c>
      <c r="AD198" s="6">
        <f t="shared" si="63"/>
        <v>0</v>
      </c>
      <c r="AE198">
        <f t="shared" si="54"/>
        <v>0</v>
      </c>
      <c r="AF198" s="5">
        <f t="shared" si="71"/>
        <v>45473</v>
      </c>
      <c r="AG198" s="6">
        <v>0</v>
      </c>
      <c r="AH198" s="6">
        <v>0</v>
      </c>
      <c r="AI198" s="6">
        <v>0</v>
      </c>
      <c r="AJ198" s="6">
        <f t="shared" si="64"/>
        <v>0</v>
      </c>
      <c r="AK198">
        <f t="shared" si="55"/>
        <v>0</v>
      </c>
      <c r="AL198" s="5">
        <f t="shared" si="72"/>
        <v>45839</v>
      </c>
      <c r="AM198" s="6">
        <v>0</v>
      </c>
      <c r="AN198" s="6">
        <v>0</v>
      </c>
      <c r="AO198" s="6">
        <v>0</v>
      </c>
      <c r="AP198" s="6">
        <f t="shared" si="65"/>
        <v>0</v>
      </c>
      <c r="AQ198">
        <f t="shared" si="56"/>
        <v>0</v>
      </c>
    </row>
    <row r="199" spans="1:43" x14ac:dyDescent="0.3">
      <c r="A199" s="5">
        <f t="shared" si="66"/>
        <v>43648</v>
      </c>
      <c r="B199" s="6">
        <v>331.2813468000889</v>
      </c>
      <c r="C199" s="6">
        <v>49.510580299999567</v>
      </c>
      <c r="D199" s="6">
        <v>21.3</v>
      </c>
      <c r="E199" s="6">
        <f t="shared" si="60"/>
        <v>402.09192710008847</v>
      </c>
      <c r="F199">
        <f t="shared" si="57"/>
        <v>1</v>
      </c>
      <c r="G199" s="5">
        <f t="shared" si="67"/>
        <v>44013</v>
      </c>
      <c r="H199" s="6">
        <v>266.68665549993517</v>
      </c>
      <c r="I199" s="6">
        <v>26.174481299996376</v>
      </c>
      <c r="J199" s="6">
        <v>23.227</v>
      </c>
      <c r="K199" s="6">
        <f t="shared" si="61"/>
        <v>316.08813679993153</v>
      </c>
      <c r="L199">
        <f t="shared" si="58"/>
        <v>1</v>
      </c>
      <c r="M199" s="5">
        <f t="shared" si="68"/>
        <v>44379</v>
      </c>
      <c r="N199" s="6">
        <v>223.24444179999827</v>
      </c>
      <c r="O199" s="6">
        <v>53.143013199999928</v>
      </c>
      <c r="P199" s="6">
        <v>22.710259699997259</v>
      </c>
      <c r="Q199" s="6">
        <f t="shared" si="59"/>
        <v>299.09771469999549</v>
      </c>
      <c r="R199">
        <f t="shared" si="52"/>
        <v>1</v>
      </c>
      <c r="S199" s="5">
        <f t="shared" si="69"/>
        <v>44744</v>
      </c>
      <c r="T199" s="6">
        <v>269.74960300004483</v>
      </c>
      <c r="U199" s="6">
        <v>54.292331100001931</v>
      </c>
      <c r="V199" s="6">
        <v>20.679236799999373</v>
      </c>
      <c r="W199" s="6">
        <f t="shared" si="73"/>
        <v>344.72117090004616</v>
      </c>
      <c r="X199">
        <f t="shared" si="53"/>
        <v>1</v>
      </c>
      <c r="Z199" s="5">
        <f t="shared" si="70"/>
        <v>44744</v>
      </c>
      <c r="AA199" s="6">
        <v>0</v>
      </c>
      <c r="AB199" s="6">
        <v>0</v>
      </c>
      <c r="AC199" s="6">
        <v>0</v>
      </c>
      <c r="AD199" s="6">
        <f t="shared" si="63"/>
        <v>0</v>
      </c>
      <c r="AE199">
        <f t="shared" si="54"/>
        <v>0</v>
      </c>
      <c r="AF199" s="5">
        <f t="shared" si="71"/>
        <v>45474</v>
      </c>
      <c r="AG199" s="6">
        <v>0</v>
      </c>
      <c r="AH199" s="6">
        <v>0</v>
      </c>
      <c r="AI199" s="6">
        <v>0</v>
      </c>
      <c r="AJ199" s="6">
        <f t="shared" si="64"/>
        <v>0</v>
      </c>
      <c r="AK199">
        <f t="shared" si="55"/>
        <v>0</v>
      </c>
      <c r="AL199" s="5">
        <f t="shared" si="72"/>
        <v>45840</v>
      </c>
      <c r="AM199" s="6">
        <v>0</v>
      </c>
      <c r="AN199" s="6">
        <v>0</v>
      </c>
      <c r="AO199" s="6">
        <v>0</v>
      </c>
      <c r="AP199" s="6">
        <f t="shared" si="65"/>
        <v>0</v>
      </c>
      <c r="AQ199">
        <f t="shared" si="56"/>
        <v>0</v>
      </c>
    </row>
    <row r="200" spans="1:43" x14ac:dyDescent="0.3">
      <c r="A200" s="5">
        <f t="shared" si="66"/>
        <v>43649</v>
      </c>
      <c r="B200" s="6">
        <v>332.5187582999468</v>
      </c>
      <c r="C200" s="6">
        <v>50.9104029000029</v>
      </c>
      <c r="D200" s="6">
        <v>19.661000000000001</v>
      </c>
      <c r="E200" s="6">
        <f t="shared" si="60"/>
        <v>403.0901611999497</v>
      </c>
      <c r="F200">
        <f t="shared" si="57"/>
        <v>1</v>
      </c>
      <c r="G200" s="5">
        <f t="shared" si="67"/>
        <v>44014</v>
      </c>
      <c r="H200" s="6">
        <v>290.27806019997598</v>
      </c>
      <c r="I200" s="6">
        <v>49.839832999996844</v>
      </c>
      <c r="J200" s="6">
        <v>22.917000000000002</v>
      </c>
      <c r="K200" s="6">
        <f t="shared" si="61"/>
        <v>363.03489319997288</v>
      </c>
      <c r="L200">
        <f t="shared" si="58"/>
        <v>1</v>
      </c>
      <c r="M200" s="5">
        <f t="shared" si="68"/>
        <v>44380</v>
      </c>
      <c r="N200" s="6">
        <v>204.34686419999599</v>
      </c>
      <c r="O200" s="6">
        <v>50.368486400000748</v>
      </c>
      <c r="P200" s="6">
        <v>22.413525499999757</v>
      </c>
      <c r="Q200" s="6">
        <f t="shared" si="59"/>
        <v>277.12887609999649</v>
      </c>
      <c r="R200">
        <f t="shared" si="52"/>
        <v>1</v>
      </c>
      <c r="S200" s="5">
        <f t="shared" si="69"/>
        <v>44745</v>
      </c>
      <c r="T200" s="6">
        <v>253.78196560001373</v>
      </c>
      <c r="U200" s="6">
        <v>48.68490670000017</v>
      </c>
      <c r="V200" s="6">
        <v>16.88113580000028</v>
      </c>
      <c r="W200" s="6">
        <f t="shared" si="73"/>
        <v>319.34800810001417</v>
      </c>
      <c r="X200">
        <f t="shared" si="53"/>
        <v>1</v>
      </c>
      <c r="Z200" s="5">
        <f t="shared" si="70"/>
        <v>44745</v>
      </c>
      <c r="AA200" s="6">
        <v>0</v>
      </c>
      <c r="AB200" s="6">
        <v>0</v>
      </c>
      <c r="AC200" s="6">
        <v>0</v>
      </c>
      <c r="AD200" s="6">
        <f t="shared" si="63"/>
        <v>0</v>
      </c>
      <c r="AE200">
        <f t="shared" si="54"/>
        <v>0</v>
      </c>
      <c r="AF200" s="5">
        <f t="shared" si="71"/>
        <v>45475</v>
      </c>
      <c r="AG200" s="6">
        <v>0</v>
      </c>
      <c r="AH200" s="6">
        <v>0</v>
      </c>
      <c r="AI200" s="6">
        <v>0</v>
      </c>
      <c r="AJ200" s="6">
        <f t="shared" si="64"/>
        <v>0</v>
      </c>
      <c r="AK200">
        <f t="shared" si="55"/>
        <v>0</v>
      </c>
      <c r="AL200" s="5">
        <f t="shared" si="72"/>
        <v>45841</v>
      </c>
      <c r="AM200" s="6">
        <v>0</v>
      </c>
      <c r="AN200" s="6">
        <v>0</v>
      </c>
      <c r="AO200" s="6">
        <v>0</v>
      </c>
      <c r="AP200" s="6">
        <f t="shared" si="65"/>
        <v>0</v>
      </c>
      <c r="AQ200">
        <f t="shared" si="56"/>
        <v>0</v>
      </c>
    </row>
    <row r="201" spans="1:43" x14ac:dyDescent="0.3">
      <c r="A201" s="5">
        <f t="shared" si="66"/>
        <v>43650</v>
      </c>
      <c r="B201" s="6">
        <v>334.13578789997104</v>
      </c>
      <c r="C201" s="6">
        <v>51.007122999999673</v>
      </c>
      <c r="D201" s="6">
        <v>22.77</v>
      </c>
      <c r="E201" s="6">
        <f t="shared" si="60"/>
        <v>407.91291089997071</v>
      </c>
      <c r="F201">
        <f t="shared" si="57"/>
        <v>1</v>
      </c>
      <c r="G201" s="5">
        <f t="shared" si="67"/>
        <v>44015</v>
      </c>
      <c r="H201" s="6">
        <v>265.21438680005076</v>
      </c>
      <c r="I201" s="6">
        <v>49.91399420000613</v>
      </c>
      <c r="J201" s="6">
        <v>20.245000000000001</v>
      </c>
      <c r="K201" s="6">
        <f t="shared" si="61"/>
        <v>335.3733810000569</v>
      </c>
      <c r="L201">
        <f t="shared" si="58"/>
        <v>1</v>
      </c>
      <c r="M201" s="5">
        <f t="shared" si="68"/>
        <v>44381</v>
      </c>
      <c r="N201" s="6">
        <v>201.44358710002899</v>
      </c>
      <c r="O201" s="6">
        <v>43.136605099998413</v>
      </c>
      <c r="P201" s="6">
        <v>18.73471130000404</v>
      </c>
      <c r="Q201" s="6">
        <f t="shared" si="59"/>
        <v>263.31490350003145</v>
      </c>
      <c r="R201">
        <f t="shared" ref="R201:R258" si="74">IF(Q201&gt;250.3,1,0)</f>
        <v>1</v>
      </c>
      <c r="S201" s="5">
        <f t="shared" si="69"/>
        <v>44746</v>
      </c>
      <c r="T201" s="6">
        <v>290.68856519997121</v>
      </c>
      <c r="U201" s="6">
        <v>61.750676399990915</v>
      </c>
      <c r="V201" s="6">
        <v>20.56554910000018</v>
      </c>
      <c r="W201" s="6">
        <f t="shared" si="73"/>
        <v>373.00479069996231</v>
      </c>
      <c r="X201">
        <f t="shared" ref="X201:X258" si="75">IF(W201&gt;250.3,1,0)</f>
        <v>1</v>
      </c>
      <c r="Z201" s="5">
        <f t="shared" si="70"/>
        <v>44746</v>
      </c>
      <c r="AA201" s="6">
        <v>0</v>
      </c>
      <c r="AB201" s="6">
        <v>0</v>
      </c>
      <c r="AC201" s="6">
        <v>0</v>
      </c>
      <c r="AD201" s="6">
        <f t="shared" si="63"/>
        <v>0</v>
      </c>
      <c r="AE201">
        <f t="shared" ref="AE201:AE258" si="76">IF(AD201&gt;250.3,1,0)</f>
        <v>0</v>
      </c>
      <c r="AF201" s="5">
        <f t="shared" si="71"/>
        <v>45476</v>
      </c>
      <c r="AG201" s="6">
        <v>0</v>
      </c>
      <c r="AH201" s="6">
        <v>0</v>
      </c>
      <c r="AI201" s="6">
        <v>0</v>
      </c>
      <c r="AJ201" s="6">
        <f t="shared" si="64"/>
        <v>0</v>
      </c>
      <c r="AK201">
        <f t="shared" ref="AK201:AK258" si="77">IF(AJ201&gt;250.3,1,0)</f>
        <v>0</v>
      </c>
      <c r="AL201" s="5">
        <f t="shared" si="72"/>
        <v>45842</v>
      </c>
      <c r="AM201" s="6">
        <v>0</v>
      </c>
      <c r="AN201" s="6">
        <v>0</v>
      </c>
      <c r="AO201" s="6">
        <v>0</v>
      </c>
      <c r="AP201" s="6">
        <f t="shared" si="65"/>
        <v>0</v>
      </c>
      <c r="AQ201">
        <f t="shared" ref="AQ201:AQ258" si="78">IF(AP201&gt;250.3,1,0)</f>
        <v>0</v>
      </c>
    </row>
    <row r="202" spans="1:43" x14ac:dyDescent="0.3">
      <c r="A202" s="5">
        <f t="shared" si="66"/>
        <v>43651</v>
      </c>
      <c r="B202" s="6">
        <v>323.8133657000065</v>
      </c>
      <c r="C202" s="6">
        <v>45.417514899998906</v>
      </c>
      <c r="D202" s="6">
        <v>21.314</v>
      </c>
      <c r="E202" s="6">
        <f t="shared" si="60"/>
        <v>390.54488060000546</v>
      </c>
      <c r="F202">
        <f t="shared" ref="F202:F259" si="79">IF(E202&gt;250.3,1,0)</f>
        <v>1</v>
      </c>
      <c r="G202" s="5">
        <f t="shared" si="67"/>
        <v>44016</v>
      </c>
      <c r="H202" s="6">
        <v>251.21251639997959</v>
      </c>
      <c r="I202" s="6">
        <v>49.03904389999807</v>
      </c>
      <c r="J202" s="6">
        <v>22.21</v>
      </c>
      <c r="K202" s="6">
        <f t="shared" si="61"/>
        <v>322.46156029997763</v>
      </c>
      <c r="L202">
        <f t="shared" ref="L202:L259" si="80">IF(K202&gt;250.3,1,0)</f>
        <v>1</v>
      </c>
      <c r="M202" s="5">
        <f t="shared" si="68"/>
        <v>44382</v>
      </c>
      <c r="N202" s="6">
        <v>236.10009399998188</v>
      </c>
      <c r="O202" s="6">
        <v>53.027832999996839</v>
      </c>
      <c r="P202" s="6">
        <v>22.359801099998876</v>
      </c>
      <c r="Q202" s="6">
        <f t="shared" si="59"/>
        <v>311.48772809997763</v>
      </c>
      <c r="R202">
        <f t="shared" si="74"/>
        <v>1</v>
      </c>
      <c r="S202" s="5">
        <f t="shared" si="69"/>
        <v>44747</v>
      </c>
      <c r="T202" s="6">
        <v>331.63047630000113</v>
      </c>
      <c r="U202" s="6">
        <v>62.596247100010515</v>
      </c>
      <c r="V202" s="6">
        <v>20.976394899999956</v>
      </c>
      <c r="W202" s="6">
        <f t="shared" si="73"/>
        <v>415.20311830001162</v>
      </c>
      <c r="X202">
        <f t="shared" si="75"/>
        <v>1</v>
      </c>
      <c r="Z202" s="5">
        <f t="shared" si="70"/>
        <v>44747</v>
      </c>
      <c r="AA202" s="6">
        <v>0</v>
      </c>
      <c r="AB202" s="6">
        <v>0</v>
      </c>
      <c r="AC202" s="6">
        <v>0</v>
      </c>
      <c r="AD202" s="6">
        <f t="shared" si="63"/>
        <v>0</v>
      </c>
      <c r="AE202">
        <f t="shared" si="76"/>
        <v>0</v>
      </c>
      <c r="AF202" s="5">
        <f t="shared" si="71"/>
        <v>45477</v>
      </c>
      <c r="AG202" s="6">
        <v>0</v>
      </c>
      <c r="AH202" s="6">
        <v>0</v>
      </c>
      <c r="AI202" s="6">
        <v>0</v>
      </c>
      <c r="AJ202" s="6">
        <f t="shared" si="64"/>
        <v>0</v>
      </c>
      <c r="AK202">
        <f t="shared" si="77"/>
        <v>0</v>
      </c>
      <c r="AL202" s="5">
        <f t="shared" si="72"/>
        <v>45843</v>
      </c>
      <c r="AM202" s="6">
        <v>0</v>
      </c>
      <c r="AN202" s="6">
        <v>0</v>
      </c>
      <c r="AO202" s="6">
        <v>0</v>
      </c>
      <c r="AP202" s="6">
        <f t="shared" si="65"/>
        <v>0</v>
      </c>
      <c r="AQ202">
        <f t="shared" si="78"/>
        <v>0</v>
      </c>
    </row>
    <row r="203" spans="1:43" x14ac:dyDescent="0.3">
      <c r="A203" s="5">
        <f t="shared" si="66"/>
        <v>43652</v>
      </c>
      <c r="B203" s="6">
        <v>302.77320570003985</v>
      </c>
      <c r="C203" s="6">
        <v>43.341560499999673</v>
      </c>
      <c r="D203" s="6">
        <v>21.036000000000001</v>
      </c>
      <c r="E203" s="6">
        <f t="shared" si="60"/>
        <v>367.15076620003953</v>
      </c>
      <c r="F203">
        <f t="shared" si="79"/>
        <v>1</v>
      </c>
      <c r="G203" s="5">
        <f t="shared" si="67"/>
        <v>44017</v>
      </c>
      <c r="H203" s="6">
        <v>237.8956845999956</v>
      </c>
      <c r="I203" s="6">
        <v>44.299045400001106</v>
      </c>
      <c r="J203" s="6">
        <v>17.763000000000002</v>
      </c>
      <c r="K203" s="6">
        <f t="shared" si="61"/>
        <v>299.95772999999667</v>
      </c>
      <c r="L203">
        <f t="shared" si="80"/>
        <v>1</v>
      </c>
      <c r="M203" s="5">
        <f t="shared" si="68"/>
        <v>44383</v>
      </c>
      <c r="N203" s="6">
        <v>253.373228399992</v>
      </c>
      <c r="O203" s="6">
        <v>53.432770900003611</v>
      </c>
      <c r="P203" s="6">
        <v>22.390618300003929</v>
      </c>
      <c r="Q203" s="6">
        <f t="shared" si="59"/>
        <v>329.19661759999957</v>
      </c>
      <c r="R203">
        <f t="shared" si="74"/>
        <v>1</v>
      </c>
      <c r="S203" s="5">
        <f t="shared" si="69"/>
        <v>44748</v>
      </c>
      <c r="T203" s="6">
        <v>306.5985204999447</v>
      </c>
      <c r="U203" s="6">
        <v>60.721682499989868</v>
      </c>
      <c r="V203" s="6">
        <v>20.68944840000011</v>
      </c>
      <c r="W203" s="6">
        <f t="shared" si="73"/>
        <v>388.00965139993468</v>
      </c>
      <c r="X203">
        <f t="shared" si="75"/>
        <v>1</v>
      </c>
      <c r="Z203" s="5">
        <f t="shared" si="70"/>
        <v>44748</v>
      </c>
      <c r="AA203" s="6">
        <v>0</v>
      </c>
      <c r="AB203" s="6">
        <v>0</v>
      </c>
      <c r="AC203" s="6">
        <v>0</v>
      </c>
      <c r="AD203" s="6">
        <f t="shared" si="63"/>
        <v>0</v>
      </c>
      <c r="AE203">
        <f t="shared" si="76"/>
        <v>0</v>
      </c>
      <c r="AF203" s="5">
        <f t="shared" si="71"/>
        <v>45478</v>
      </c>
      <c r="AG203" s="6">
        <v>0</v>
      </c>
      <c r="AH203" s="6">
        <v>0</v>
      </c>
      <c r="AI203" s="6">
        <v>0</v>
      </c>
      <c r="AJ203" s="6">
        <f t="shared" si="64"/>
        <v>0</v>
      </c>
      <c r="AK203">
        <f t="shared" si="77"/>
        <v>0</v>
      </c>
      <c r="AL203" s="5">
        <f t="shared" si="72"/>
        <v>45844</v>
      </c>
      <c r="AM203" s="6">
        <v>0</v>
      </c>
      <c r="AN203" s="6">
        <v>0</v>
      </c>
      <c r="AO203" s="6">
        <v>0</v>
      </c>
      <c r="AP203" s="6">
        <f t="shared" si="65"/>
        <v>0</v>
      </c>
      <c r="AQ203">
        <f t="shared" si="78"/>
        <v>0</v>
      </c>
    </row>
    <row r="204" spans="1:43" x14ac:dyDescent="0.3">
      <c r="A204" s="5">
        <f t="shared" si="66"/>
        <v>43653</v>
      </c>
      <c r="B204" s="6">
        <v>289.24542890000345</v>
      </c>
      <c r="C204" s="6">
        <v>41.094067299999296</v>
      </c>
      <c r="D204" s="6">
        <v>15.576000000000001</v>
      </c>
      <c r="E204" s="6">
        <f t="shared" si="60"/>
        <v>345.91549620000274</v>
      </c>
      <c r="F204">
        <f t="shared" si="79"/>
        <v>1</v>
      </c>
      <c r="G204" s="5">
        <f t="shared" si="67"/>
        <v>44018</v>
      </c>
      <c r="H204" s="6">
        <v>271.88631819999216</v>
      </c>
      <c r="I204" s="6">
        <v>50.73361400000006</v>
      </c>
      <c r="J204" s="6">
        <v>20.649900000000002</v>
      </c>
      <c r="K204" s="6">
        <f t="shared" si="61"/>
        <v>343.26983219999221</v>
      </c>
      <c r="L204">
        <f t="shared" si="80"/>
        <v>1</v>
      </c>
      <c r="M204" s="5">
        <f t="shared" si="68"/>
        <v>44384</v>
      </c>
      <c r="N204" s="6">
        <v>251.69621480000018</v>
      </c>
      <c r="O204" s="6">
        <v>52.878298500001428</v>
      </c>
      <c r="P204" s="6">
        <v>22.946778499998384</v>
      </c>
      <c r="Q204" s="6">
        <f t="shared" si="59"/>
        <v>327.52129180000003</v>
      </c>
      <c r="R204">
        <f t="shared" si="74"/>
        <v>1</v>
      </c>
      <c r="S204" s="5">
        <f t="shared" si="69"/>
        <v>44749</v>
      </c>
      <c r="T204" s="6">
        <v>285.44720300006867</v>
      </c>
      <c r="U204" s="6">
        <v>60.45403910000622</v>
      </c>
      <c r="V204" s="6">
        <v>19.94583509999956</v>
      </c>
      <c r="W204" s="6">
        <f t="shared" si="73"/>
        <v>365.84707720007447</v>
      </c>
      <c r="X204">
        <f t="shared" si="75"/>
        <v>1</v>
      </c>
      <c r="Z204" s="5">
        <f t="shared" si="70"/>
        <v>44749</v>
      </c>
      <c r="AA204" s="6">
        <v>0</v>
      </c>
      <c r="AB204" s="6">
        <v>0</v>
      </c>
      <c r="AC204" s="6">
        <v>0</v>
      </c>
      <c r="AD204" s="6">
        <f t="shared" si="63"/>
        <v>0</v>
      </c>
      <c r="AE204">
        <f t="shared" si="76"/>
        <v>0</v>
      </c>
      <c r="AF204" s="5">
        <f t="shared" si="71"/>
        <v>45479</v>
      </c>
      <c r="AG204" s="6">
        <v>0</v>
      </c>
      <c r="AH204" s="6">
        <v>0</v>
      </c>
      <c r="AI204" s="6">
        <v>0</v>
      </c>
      <c r="AJ204" s="6">
        <f t="shared" si="64"/>
        <v>0</v>
      </c>
      <c r="AK204">
        <f t="shared" si="77"/>
        <v>0</v>
      </c>
      <c r="AL204" s="5">
        <f t="shared" si="72"/>
        <v>45845</v>
      </c>
      <c r="AM204" s="6">
        <v>0</v>
      </c>
      <c r="AN204" s="6">
        <v>0</v>
      </c>
      <c r="AO204" s="6">
        <v>0</v>
      </c>
      <c r="AP204" s="6">
        <f t="shared" si="65"/>
        <v>0</v>
      </c>
      <c r="AQ204">
        <f t="shared" si="78"/>
        <v>0</v>
      </c>
    </row>
    <row r="205" spans="1:43" x14ac:dyDescent="0.3">
      <c r="A205" s="5">
        <f t="shared" si="66"/>
        <v>43654</v>
      </c>
      <c r="B205" s="6">
        <v>320.81066050004961</v>
      </c>
      <c r="C205" s="6">
        <v>49.382778599999845</v>
      </c>
      <c r="D205" s="6">
        <v>19.774000000000001</v>
      </c>
      <c r="E205" s="6">
        <f t="shared" si="60"/>
        <v>389.96743910004943</v>
      </c>
      <c r="F205">
        <f t="shared" si="79"/>
        <v>1</v>
      </c>
      <c r="G205" s="5">
        <f t="shared" si="67"/>
        <v>44019</v>
      </c>
      <c r="H205" s="6">
        <v>262.94507130002978</v>
      </c>
      <c r="I205" s="6">
        <v>51.017595399998129</v>
      </c>
      <c r="J205" s="6">
        <v>21.438800000000001</v>
      </c>
      <c r="K205" s="6">
        <f t="shared" si="61"/>
        <v>335.40146670002792</v>
      </c>
      <c r="L205">
        <f t="shared" si="80"/>
        <v>1</v>
      </c>
      <c r="M205" s="5">
        <f t="shared" si="68"/>
        <v>44385</v>
      </c>
      <c r="N205" s="6">
        <v>246.93949679994583</v>
      </c>
      <c r="O205" s="6">
        <v>54.014375499993562</v>
      </c>
      <c r="P205" s="6">
        <v>23.000992499995277</v>
      </c>
      <c r="Q205" s="6">
        <f t="shared" si="59"/>
        <v>323.95486479993468</v>
      </c>
      <c r="R205">
        <f t="shared" si="74"/>
        <v>1</v>
      </c>
      <c r="S205" s="5">
        <f t="shared" si="69"/>
        <v>44750</v>
      </c>
      <c r="T205" s="6">
        <v>285.41589129996299</v>
      </c>
      <c r="U205" s="6">
        <v>60.526129500001666</v>
      </c>
      <c r="V205" s="6">
        <v>19.74784619999933</v>
      </c>
      <c r="W205" s="6">
        <f t="shared" si="73"/>
        <v>365.68986699996401</v>
      </c>
      <c r="X205">
        <f t="shared" si="75"/>
        <v>1</v>
      </c>
      <c r="Z205" s="5">
        <f t="shared" si="70"/>
        <v>44750</v>
      </c>
      <c r="AA205" s="6">
        <v>0</v>
      </c>
      <c r="AB205" s="6">
        <v>0</v>
      </c>
      <c r="AC205" s="6">
        <v>0</v>
      </c>
      <c r="AD205" s="6">
        <f t="shared" si="63"/>
        <v>0</v>
      </c>
      <c r="AE205">
        <f t="shared" si="76"/>
        <v>0</v>
      </c>
      <c r="AF205" s="5">
        <f t="shared" si="71"/>
        <v>45480</v>
      </c>
      <c r="AG205" s="6">
        <v>0</v>
      </c>
      <c r="AH205" s="6">
        <v>0</v>
      </c>
      <c r="AI205" s="6">
        <v>0</v>
      </c>
      <c r="AJ205" s="6">
        <f t="shared" si="64"/>
        <v>0</v>
      </c>
      <c r="AK205">
        <f t="shared" si="77"/>
        <v>0</v>
      </c>
      <c r="AL205" s="5">
        <f t="shared" si="72"/>
        <v>45846</v>
      </c>
      <c r="AM205" s="6">
        <v>0</v>
      </c>
      <c r="AN205" s="6">
        <v>0</v>
      </c>
      <c r="AO205" s="6">
        <v>0</v>
      </c>
      <c r="AP205" s="6">
        <f t="shared" si="65"/>
        <v>0</v>
      </c>
      <c r="AQ205">
        <f t="shared" si="78"/>
        <v>0</v>
      </c>
    </row>
    <row r="206" spans="1:43" x14ac:dyDescent="0.3">
      <c r="A206" s="5">
        <f t="shared" si="66"/>
        <v>43655</v>
      </c>
      <c r="B206" s="6">
        <v>288.14757679998877</v>
      </c>
      <c r="C206" s="6">
        <v>49.679166000001132</v>
      </c>
      <c r="D206" s="6">
        <v>23.151</v>
      </c>
      <c r="E206" s="6">
        <f t="shared" si="60"/>
        <v>360.97774279998993</v>
      </c>
      <c r="F206">
        <f t="shared" si="79"/>
        <v>1</v>
      </c>
      <c r="G206" s="5">
        <f t="shared" si="67"/>
        <v>44020</v>
      </c>
      <c r="H206" s="6">
        <v>261.09514370000363</v>
      </c>
      <c r="I206" s="6">
        <v>50.356152199998498</v>
      </c>
      <c r="J206" s="6">
        <v>21.725900000000003</v>
      </c>
      <c r="K206" s="6">
        <f t="shared" si="61"/>
        <v>333.17719590000218</v>
      </c>
      <c r="L206">
        <f t="shared" si="80"/>
        <v>1</v>
      </c>
      <c r="M206" s="5">
        <f t="shared" si="68"/>
        <v>44386</v>
      </c>
      <c r="N206" s="6">
        <v>256.63681430006028</v>
      </c>
      <c r="O206" s="6">
        <v>54.711154600001869</v>
      </c>
      <c r="P206" s="6">
        <v>21.967459300007672</v>
      </c>
      <c r="Q206" s="6">
        <f t="shared" si="59"/>
        <v>333.31542820006979</v>
      </c>
      <c r="R206">
        <f t="shared" si="74"/>
        <v>1</v>
      </c>
      <c r="S206" s="5">
        <f t="shared" si="69"/>
        <v>44751</v>
      </c>
      <c r="T206" s="6">
        <v>262.91706319999696</v>
      </c>
      <c r="U206" s="6">
        <v>56.754417099997404</v>
      </c>
      <c r="V206" s="6">
        <v>19.690220000000206</v>
      </c>
      <c r="W206" s="6">
        <f t="shared" si="73"/>
        <v>339.36170029999454</v>
      </c>
      <c r="X206">
        <f t="shared" si="75"/>
        <v>1</v>
      </c>
      <c r="Z206" s="5">
        <f t="shared" si="70"/>
        <v>44751</v>
      </c>
      <c r="AA206" s="6">
        <v>0</v>
      </c>
      <c r="AB206" s="6">
        <v>0</v>
      </c>
      <c r="AC206" s="6">
        <v>0</v>
      </c>
      <c r="AD206" s="6">
        <f t="shared" si="63"/>
        <v>0</v>
      </c>
      <c r="AE206">
        <f t="shared" si="76"/>
        <v>0</v>
      </c>
      <c r="AF206" s="5">
        <f t="shared" si="71"/>
        <v>45481</v>
      </c>
      <c r="AG206" s="6">
        <v>0</v>
      </c>
      <c r="AH206" s="6">
        <v>0</v>
      </c>
      <c r="AI206" s="6">
        <v>0</v>
      </c>
      <c r="AJ206" s="6">
        <f t="shared" si="64"/>
        <v>0</v>
      </c>
      <c r="AK206">
        <f t="shared" si="77"/>
        <v>0</v>
      </c>
      <c r="AL206" s="5">
        <f t="shared" si="72"/>
        <v>45847</v>
      </c>
      <c r="AM206" s="6">
        <v>0</v>
      </c>
      <c r="AN206" s="6">
        <v>0</v>
      </c>
      <c r="AO206" s="6">
        <v>0</v>
      </c>
      <c r="AP206" s="6">
        <f t="shared" si="65"/>
        <v>0</v>
      </c>
      <c r="AQ206">
        <f t="shared" si="78"/>
        <v>0</v>
      </c>
    </row>
    <row r="207" spans="1:43" x14ac:dyDescent="0.3">
      <c r="A207" s="5">
        <f t="shared" si="66"/>
        <v>43656</v>
      </c>
      <c r="B207" s="6">
        <v>284.93385839998723</v>
      </c>
      <c r="C207" s="6">
        <v>50.09649199999869</v>
      </c>
      <c r="D207" s="6">
        <v>21.573</v>
      </c>
      <c r="E207" s="6">
        <f t="shared" si="60"/>
        <v>356.60335039998591</v>
      </c>
      <c r="F207">
        <f t="shared" si="79"/>
        <v>1</v>
      </c>
      <c r="G207" s="5">
        <f t="shared" si="67"/>
        <v>44021</v>
      </c>
      <c r="H207" s="6">
        <v>259.67736090004445</v>
      </c>
      <c r="I207" s="6">
        <v>49.798475100003181</v>
      </c>
      <c r="J207" s="6">
        <v>22.324999999999999</v>
      </c>
      <c r="K207" s="6">
        <f t="shared" si="61"/>
        <v>331.80083600004764</v>
      </c>
      <c r="L207">
        <f t="shared" si="80"/>
        <v>1</v>
      </c>
      <c r="M207" s="5">
        <f t="shared" si="68"/>
        <v>44387</v>
      </c>
      <c r="N207" s="6">
        <v>220.16619840002059</v>
      </c>
      <c r="O207" s="6">
        <v>50.567936400003731</v>
      </c>
      <c r="P207" s="6">
        <v>22.668715099997119</v>
      </c>
      <c r="Q207" s="6">
        <f t="shared" si="59"/>
        <v>293.40284990002147</v>
      </c>
      <c r="R207">
        <f t="shared" si="74"/>
        <v>1</v>
      </c>
      <c r="S207" s="5">
        <f t="shared" si="69"/>
        <v>44752</v>
      </c>
      <c r="T207" s="6">
        <v>255.51565040004255</v>
      </c>
      <c r="U207" s="6">
        <v>51.337435800001025</v>
      </c>
      <c r="V207" s="6">
        <v>17.280645800000055</v>
      </c>
      <c r="W207" s="6">
        <f t="shared" si="73"/>
        <v>324.13373200004361</v>
      </c>
      <c r="X207">
        <f t="shared" si="75"/>
        <v>1</v>
      </c>
      <c r="Z207" s="5">
        <f t="shared" si="70"/>
        <v>44752</v>
      </c>
      <c r="AA207" s="6">
        <v>0</v>
      </c>
      <c r="AB207" s="6">
        <v>0</v>
      </c>
      <c r="AC207" s="6">
        <v>0</v>
      </c>
      <c r="AD207" s="6">
        <f t="shared" si="63"/>
        <v>0</v>
      </c>
      <c r="AE207">
        <f t="shared" si="76"/>
        <v>0</v>
      </c>
      <c r="AF207" s="5">
        <f t="shared" si="71"/>
        <v>45482</v>
      </c>
      <c r="AG207" s="6">
        <v>0</v>
      </c>
      <c r="AH207" s="6">
        <v>0</v>
      </c>
      <c r="AI207" s="6">
        <v>0</v>
      </c>
      <c r="AJ207" s="6">
        <f t="shared" si="64"/>
        <v>0</v>
      </c>
      <c r="AK207">
        <f t="shared" si="77"/>
        <v>0</v>
      </c>
      <c r="AL207" s="5">
        <f t="shared" si="72"/>
        <v>45848</v>
      </c>
      <c r="AM207" s="6">
        <v>0</v>
      </c>
      <c r="AN207" s="6">
        <v>0</v>
      </c>
      <c r="AO207" s="6">
        <v>0</v>
      </c>
      <c r="AP207" s="6">
        <f t="shared" si="65"/>
        <v>0</v>
      </c>
      <c r="AQ207">
        <f t="shared" si="78"/>
        <v>0</v>
      </c>
    </row>
    <row r="208" spans="1:43" x14ac:dyDescent="0.3">
      <c r="A208" s="5">
        <f t="shared" si="66"/>
        <v>43657</v>
      </c>
      <c r="B208" s="6">
        <v>293.33672579991816</v>
      </c>
      <c r="C208" s="6">
        <v>51.591241000000387</v>
      </c>
      <c r="D208" s="6">
        <v>23.538</v>
      </c>
      <c r="E208" s="6">
        <f t="shared" si="60"/>
        <v>368.46596679991853</v>
      </c>
      <c r="F208">
        <f t="shared" si="79"/>
        <v>1</v>
      </c>
      <c r="G208" s="5">
        <f t="shared" si="67"/>
        <v>44022</v>
      </c>
      <c r="H208" s="6">
        <v>261.01541889989375</v>
      </c>
      <c r="I208" s="6">
        <v>50.082583599999545</v>
      </c>
      <c r="J208" s="6">
        <v>21.013999999999999</v>
      </c>
      <c r="K208" s="6">
        <f t="shared" si="61"/>
        <v>332.11200249989332</v>
      </c>
      <c r="L208">
        <f t="shared" si="80"/>
        <v>1</v>
      </c>
      <c r="M208" s="5">
        <f t="shared" si="68"/>
        <v>44388</v>
      </c>
      <c r="N208" s="6">
        <v>194.8124986999035</v>
      </c>
      <c r="O208" s="6">
        <v>45.231522199995815</v>
      </c>
      <c r="P208" s="6">
        <v>17.507982699998653</v>
      </c>
      <c r="Q208" s="6">
        <f t="shared" si="59"/>
        <v>257.552003599898</v>
      </c>
      <c r="R208">
        <f t="shared" si="74"/>
        <v>1</v>
      </c>
      <c r="S208" s="5">
        <f t="shared" si="69"/>
        <v>44753</v>
      </c>
      <c r="T208" s="6">
        <v>283.77735159993171</v>
      </c>
      <c r="U208" s="6">
        <v>61.380559900000691</v>
      </c>
      <c r="V208" s="6">
        <v>19.943503099999855</v>
      </c>
      <c r="W208" s="6">
        <f t="shared" si="73"/>
        <v>365.1014145999323</v>
      </c>
      <c r="X208">
        <f t="shared" si="75"/>
        <v>1</v>
      </c>
      <c r="Z208" s="5">
        <f t="shared" si="70"/>
        <v>44753</v>
      </c>
      <c r="AA208" s="6">
        <v>0</v>
      </c>
      <c r="AB208" s="6">
        <v>0</v>
      </c>
      <c r="AC208" s="6">
        <v>0</v>
      </c>
      <c r="AD208" s="6">
        <f t="shared" si="63"/>
        <v>0</v>
      </c>
      <c r="AE208">
        <f t="shared" si="76"/>
        <v>0</v>
      </c>
      <c r="AF208" s="5">
        <f t="shared" si="71"/>
        <v>45483</v>
      </c>
      <c r="AG208" s="6">
        <v>0</v>
      </c>
      <c r="AH208" s="6">
        <v>0</v>
      </c>
      <c r="AI208" s="6">
        <v>0</v>
      </c>
      <c r="AJ208" s="6">
        <f t="shared" si="64"/>
        <v>0</v>
      </c>
      <c r="AK208">
        <f t="shared" si="77"/>
        <v>0</v>
      </c>
      <c r="AL208" s="5">
        <f t="shared" si="72"/>
        <v>45849</v>
      </c>
      <c r="AM208" s="6">
        <v>0</v>
      </c>
      <c r="AN208" s="6">
        <v>0</v>
      </c>
      <c r="AO208" s="6">
        <v>0</v>
      </c>
      <c r="AP208" s="6">
        <f t="shared" si="65"/>
        <v>0</v>
      </c>
      <c r="AQ208">
        <f t="shared" si="78"/>
        <v>0</v>
      </c>
    </row>
    <row r="209" spans="1:43" x14ac:dyDescent="0.3">
      <c r="A209" s="5">
        <f t="shared" si="66"/>
        <v>43658</v>
      </c>
      <c r="B209" s="6">
        <v>282.78749960005285</v>
      </c>
      <c r="C209" s="6">
        <v>48.334152400001884</v>
      </c>
      <c r="D209" s="6">
        <v>24.523</v>
      </c>
      <c r="E209" s="6">
        <f t="shared" si="60"/>
        <v>355.64465200005475</v>
      </c>
      <c r="F209">
        <f t="shared" si="79"/>
        <v>1</v>
      </c>
      <c r="G209" s="5">
        <f t="shared" si="67"/>
        <v>44023</v>
      </c>
      <c r="H209" s="6">
        <v>246.7431074000597</v>
      </c>
      <c r="I209" s="6">
        <v>47.868217699997125</v>
      </c>
      <c r="J209" s="6">
        <v>18.158999999999999</v>
      </c>
      <c r="K209" s="6">
        <f t="shared" si="61"/>
        <v>312.77032510005682</v>
      </c>
      <c r="L209">
        <f t="shared" si="80"/>
        <v>1</v>
      </c>
      <c r="M209" s="5">
        <f t="shared" si="68"/>
        <v>44389</v>
      </c>
      <c r="N209" s="6">
        <v>218.10282210004328</v>
      </c>
      <c r="O209" s="6">
        <v>54.845201900005343</v>
      </c>
      <c r="P209" s="6">
        <v>24.278330200002763</v>
      </c>
      <c r="Q209" s="6">
        <f t="shared" ref="Q209:Q272" si="81">SUM(N209:P209)</f>
        <v>297.22635420005139</v>
      </c>
      <c r="R209">
        <f t="shared" si="74"/>
        <v>1</v>
      </c>
      <c r="S209" s="5">
        <f t="shared" si="69"/>
        <v>44754</v>
      </c>
      <c r="T209" s="6">
        <v>294.80344800007344</v>
      </c>
      <c r="U209" s="6">
        <v>61.581481600001453</v>
      </c>
      <c r="V209" s="6">
        <v>20.24163559999992</v>
      </c>
      <c r="W209" s="6">
        <f t="shared" si="73"/>
        <v>376.62656520007482</v>
      </c>
      <c r="X209">
        <f t="shared" si="75"/>
        <v>1</v>
      </c>
      <c r="Z209" s="5">
        <f t="shared" si="70"/>
        <v>44754</v>
      </c>
      <c r="AA209" s="6">
        <v>0</v>
      </c>
      <c r="AB209" s="6">
        <v>0</v>
      </c>
      <c r="AC209" s="6">
        <v>0</v>
      </c>
      <c r="AD209" s="6">
        <f t="shared" si="63"/>
        <v>0</v>
      </c>
      <c r="AE209">
        <f t="shared" si="76"/>
        <v>0</v>
      </c>
      <c r="AF209" s="5">
        <f t="shared" si="71"/>
        <v>45484</v>
      </c>
      <c r="AG209" s="6">
        <v>0</v>
      </c>
      <c r="AH209" s="6">
        <v>0</v>
      </c>
      <c r="AI209" s="6">
        <v>0</v>
      </c>
      <c r="AJ209" s="6">
        <f t="shared" si="64"/>
        <v>0</v>
      </c>
      <c r="AK209">
        <f t="shared" si="77"/>
        <v>0</v>
      </c>
      <c r="AL209" s="5">
        <f t="shared" si="72"/>
        <v>45850</v>
      </c>
      <c r="AM209" s="6">
        <v>0</v>
      </c>
      <c r="AN209" s="6">
        <v>0</v>
      </c>
      <c r="AO209" s="6">
        <v>0</v>
      </c>
      <c r="AP209" s="6">
        <f t="shared" si="65"/>
        <v>0</v>
      </c>
      <c r="AQ209">
        <f t="shared" si="78"/>
        <v>0</v>
      </c>
    </row>
    <row r="210" spans="1:43" x14ac:dyDescent="0.3">
      <c r="A210" s="5">
        <f t="shared" si="66"/>
        <v>43659</v>
      </c>
      <c r="B210" s="6">
        <v>259.93485669994357</v>
      </c>
      <c r="C210" s="6">
        <v>47.555773099999875</v>
      </c>
      <c r="D210" s="6">
        <v>25.126000000000001</v>
      </c>
      <c r="E210" s="6">
        <f t="shared" ref="E210:E273" si="82">SUM(B210:D210)</f>
        <v>332.61662979994344</v>
      </c>
      <c r="F210">
        <f t="shared" si="79"/>
        <v>1</v>
      </c>
      <c r="G210" s="5">
        <f t="shared" si="67"/>
        <v>44024</v>
      </c>
      <c r="H210" s="6">
        <v>230.33490910005568</v>
      </c>
      <c r="I210" s="6">
        <v>42.989831600002944</v>
      </c>
      <c r="J210" s="6">
        <v>15.849</v>
      </c>
      <c r="K210" s="6">
        <f t="shared" ref="K210:K273" si="83">SUM(H210:J210)</f>
        <v>289.1737407000586</v>
      </c>
      <c r="L210">
        <f t="shared" si="80"/>
        <v>1</v>
      </c>
      <c r="M210" s="5">
        <f t="shared" si="68"/>
        <v>44390</v>
      </c>
      <c r="N210" s="6">
        <v>241.73923899996279</v>
      </c>
      <c r="O210" s="6">
        <v>52.610433499999345</v>
      </c>
      <c r="P210" s="6">
        <v>22.997715699997265</v>
      </c>
      <c r="Q210" s="6">
        <f t="shared" si="81"/>
        <v>317.34738819995943</v>
      </c>
      <c r="R210">
        <f t="shared" si="74"/>
        <v>1</v>
      </c>
      <c r="S210" s="5">
        <f t="shared" si="69"/>
        <v>44755</v>
      </c>
      <c r="T210" s="6">
        <v>265.92683639991282</v>
      </c>
      <c r="U210" s="6">
        <v>61.678419499993325</v>
      </c>
      <c r="V210" s="6">
        <v>19.953559100001584</v>
      </c>
      <c r="W210" s="6">
        <f t="shared" si="73"/>
        <v>347.55881499990772</v>
      </c>
      <c r="X210">
        <f t="shared" si="75"/>
        <v>1</v>
      </c>
      <c r="Z210" s="5">
        <f t="shared" si="70"/>
        <v>44755</v>
      </c>
      <c r="AA210" s="6">
        <v>0</v>
      </c>
      <c r="AB210" s="6">
        <v>0</v>
      </c>
      <c r="AC210" s="6">
        <v>0</v>
      </c>
      <c r="AD210" s="6">
        <f t="shared" ref="AD210:AD273" si="84">SUM(AA210:AC210)</f>
        <v>0</v>
      </c>
      <c r="AE210">
        <f t="shared" si="76"/>
        <v>0</v>
      </c>
      <c r="AF210" s="5">
        <f t="shared" si="71"/>
        <v>45485</v>
      </c>
      <c r="AG210" s="6">
        <v>0</v>
      </c>
      <c r="AH210" s="6">
        <v>0</v>
      </c>
      <c r="AI210" s="6">
        <v>0</v>
      </c>
      <c r="AJ210" s="6">
        <f t="shared" ref="AJ210:AJ273" si="85">SUM(AG210:AI210)</f>
        <v>0</v>
      </c>
      <c r="AK210">
        <f t="shared" si="77"/>
        <v>0</v>
      </c>
      <c r="AL210" s="5">
        <f t="shared" si="72"/>
        <v>45851</v>
      </c>
      <c r="AM210" s="6">
        <v>0</v>
      </c>
      <c r="AN210" s="6">
        <v>0</v>
      </c>
      <c r="AO210" s="6">
        <v>0</v>
      </c>
      <c r="AP210" s="6">
        <f t="shared" ref="AP210:AP273" si="86">SUM(AM210:AO210)</f>
        <v>0</v>
      </c>
      <c r="AQ210">
        <f t="shared" si="78"/>
        <v>0</v>
      </c>
    </row>
    <row r="211" spans="1:43" x14ac:dyDescent="0.3">
      <c r="A211" s="5">
        <f t="shared" ref="A211:A274" si="87">A210+1</f>
        <v>43660</v>
      </c>
      <c r="B211" s="6">
        <v>235.46629700005053</v>
      </c>
      <c r="C211" s="6">
        <v>40.925852099999787</v>
      </c>
      <c r="D211" s="6">
        <v>15.92</v>
      </c>
      <c r="E211" s="6">
        <f t="shared" si="82"/>
        <v>292.31214910005036</v>
      </c>
      <c r="F211">
        <f t="shared" si="79"/>
        <v>1</v>
      </c>
      <c r="G211" s="5">
        <f t="shared" ref="G211:G274" si="88">G210+1</f>
        <v>44025</v>
      </c>
      <c r="H211" s="6">
        <v>276.49755659997464</v>
      </c>
      <c r="I211" s="6">
        <v>47.878399899996815</v>
      </c>
      <c r="J211" s="6">
        <v>18.952999999999999</v>
      </c>
      <c r="K211" s="6">
        <f t="shared" si="83"/>
        <v>343.32895649997141</v>
      </c>
      <c r="L211">
        <f t="shared" si="80"/>
        <v>1</v>
      </c>
      <c r="M211" s="5">
        <f t="shared" ref="M211:M274" si="89">M210+1</f>
        <v>44391</v>
      </c>
      <c r="N211" s="6">
        <v>254.80691600000858</v>
      </c>
      <c r="O211" s="6">
        <v>54.85493169999868</v>
      </c>
      <c r="P211" s="6">
        <v>24.747650799997615</v>
      </c>
      <c r="Q211" s="6">
        <f t="shared" si="81"/>
        <v>334.40949850000493</v>
      </c>
      <c r="R211">
        <f t="shared" si="74"/>
        <v>1</v>
      </c>
      <c r="S211" s="5">
        <f t="shared" ref="S211:S274" si="90">S210+1</f>
        <v>44756</v>
      </c>
      <c r="T211" s="6">
        <v>284.49567350006106</v>
      </c>
      <c r="U211" s="6">
        <v>61.491900700002908</v>
      </c>
      <c r="V211" s="6">
        <v>21.384065800000915</v>
      </c>
      <c r="W211" s="6">
        <f t="shared" si="73"/>
        <v>367.37164000006493</v>
      </c>
      <c r="X211">
        <f t="shared" si="75"/>
        <v>1</v>
      </c>
      <c r="Z211" s="5">
        <f t="shared" ref="Z211:Z274" si="91">Z210+1</f>
        <v>44756</v>
      </c>
      <c r="AA211" s="6">
        <v>0</v>
      </c>
      <c r="AB211" s="6">
        <v>0</v>
      </c>
      <c r="AC211" s="6">
        <v>0</v>
      </c>
      <c r="AD211" s="6">
        <f t="shared" si="84"/>
        <v>0</v>
      </c>
      <c r="AE211">
        <f t="shared" si="76"/>
        <v>0</v>
      </c>
      <c r="AF211" s="5">
        <f t="shared" ref="AF211:AF274" si="92">AF210+1</f>
        <v>45486</v>
      </c>
      <c r="AG211" s="6">
        <v>0</v>
      </c>
      <c r="AH211" s="6">
        <v>0</v>
      </c>
      <c r="AI211" s="6">
        <v>0</v>
      </c>
      <c r="AJ211" s="6">
        <f t="shared" si="85"/>
        <v>0</v>
      </c>
      <c r="AK211">
        <f t="shared" si="77"/>
        <v>0</v>
      </c>
      <c r="AL211" s="5">
        <f t="shared" ref="AL211:AL274" si="93">AL210+1</f>
        <v>45852</v>
      </c>
      <c r="AM211" s="6">
        <v>0</v>
      </c>
      <c r="AN211" s="6">
        <v>0</v>
      </c>
      <c r="AO211" s="6">
        <v>0</v>
      </c>
      <c r="AP211" s="6">
        <f t="shared" si="86"/>
        <v>0</v>
      </c>
      <c r="AQ211">
        <f t="shared" si="78"/>
        <v>0</v>
      </c>
    </row>
    <row r="212" spans="1:43" x14ac:dyDescent="0.3">
      <c r="A212" s="5">
        <f t="shared" si="87"/>
        <v>43661</v>
      </c>
      <c r="B212" s="6">
        <v>277.25847070002555</v>
      </c>
      <c r="C212" s="6">
        <v>45.413161399997769</v>
      </c>
      <c r="D212" s="6">
        <v>21.518999999999998</v>
      </c>
      <c r="E212" s="6">
        <f t="shared" si="82"/>
        <v>344.19063210002332</v>
      </c>
      <c r="F212">
        <f t="shared" si="79"/>
        <v>1</v>
      </c>
      <c r="G212" s="5">
        <f t="shared" si="88"/>
        <v>44026</v>
      </c>
      <c r="H212" s="6">
        <v>278.71354659998417</v>
      </c>
      <c r="I212" s="6">
        <v>48.86420199999958</v>
      </c>
      <c r="J212" s="6">
        <v>19.882999999999999</v>
      </c>
      <c r="K212" s="6">
        <f t="shared" si="83"/>
        <v>347.46074859998373</v>
      </c>
      <c r="L212">
        <f t="shared" si="80"/>
        <v>1</v>
      </c>
      <c r="M212" s="5">
        <f t="shared" si="89"/>
        <v>44392</v>
      </c>
      <c r="N212" s="6">
        <v>272.47418400001527</v>
      </c>
      <c r="O212" s="6">
        <v>55.400377199999987</v>
      </c>
      <c r="P212" s="6">
        <v>25.268546300001443</v>
      </c>
      <c r="Q212" s="6">
        <f t="shared" si="81"/>
        <v>353.1431075000167</v>
      </c>
      <c r="R212">
        <f t="shared" si="74"/>
        <v>1</v>
      </c>
      <c r="S212" s="5">
        <f t="shared" si="90"/>
        <v>44757</v>
      </c>
      <c r="T212" s="6">
        <v>289.60081470000745</v>
      </c>
      <c r="U212" s="6">
        <v>62.523770500004289</v>
      </c>
      <c r="V212" s="6">
        <v>23.958397099999246</v>
      </c>
      <c r="W212" s="6">
        <f t="shared" si="73"/>
        <v>376.08298230001094</v>
      </c>
      <c r="X212">
        <f t="shared" si="75"/>
        <v>1</v>
      </c>
      <c r="Z212" s="5">
        <f t="shared" si="91"/>
        <v>44757</v>
      </c>
      <c r="AA212" s="6">
        <v>0</v>
      </c>
      <c r="AB212" s="6">
        <v>0</v>
      </c>
      <c r="AC212" s="6">
        <v>0</v>
      </c>
      <c r="AD212" s="6">
        <f t="shared" si="84"/>
        <v>0</v>
      </c>
      <c r="AE212">
        <f t="shared" si="76"/>
        <v>0</v>
      </c>
      <c r="AF212" s="5">
        <f t="shared" si="92"/>
        <v>45487</v>
      </c>
      <c r="AG212" s="6">
        <v>0</v>
      </c>
      <c r="AH212" s="6">
        <v>0</v>
      </c>
      <c r="AI212" s="6">
        <v>0</v>
      </c>
      <c r="AJ212" s="6">
        <f t="shared" si="85"/>
        <v>0</v>
      </c>
      <c r="AK212">
        <f t="shared" si="77"/>
        <v>0</v>
      </c>
      <c r="AL212" s="5">
        <f t="shared" si="93"/>
        <v>45853</v>
      </c>
      <c r="AM212" s="6">
        <v>0</v>
      </c>
      <c r="AN212" s="6">
        <v>0</v>
      </c>
      <c r="AO212" s="6">
        <v>0</v>
      </c>
      <c r="AP212" s="6">
        <f t="shared" si="86"/>
        <v>0</v>
      </c>
      <c r="AQ212">
        <f t="shared" si="78"/>
        <v>0</v>
      </c>
    </row>
    <row r="213" spans="1:43" x14ac:dyDescent="0.3">
      <c r="A213" s="5">
        <f t="shared" si="87"/>
        <v>43662</v>
      </c>
      <c r="B213" s="6">
        <v>232.99427160000801</v>
      </c>
      <c r="C213" s="6">
        <v>44.024594000000505</v>
      </c>
      <c r="D213" s="6">
        <v>19.536999999999999</v>
      </c>
      <c r="E213" s="6">
        <f t="shared" si="82"/>
        <v>296.55586560000847</v>
      </c>
      <c r="F213">
        <f t="shared" si="79"/>
        <v>1</v>
      </c>
      <c r="G213" s="5">
        <f t="shared" si="88"/>
        <v>44027</v>
      </c>
      <c r="H213" s="6">
        <v>278.28150220000742</v>
      </c>
      <c r="I213" s="6">
        <v>50.212812300004067</v>
      </c>
      <c r="J213" s="6">
        <v>22.414999999999999</v>
      </c>
      <c r="K213" s="6">
        <f t="shared" si="83"/>
        <v>350.90931450001153</v>
      </c>
      <c r="L213">
        <f t="shared" si="80"/>
        <v>1</v>
      </c>
      <c r="M213" s="5">
        <f t="shared" si="89"/>
        <v>44393</v>
      </c>
      <c r="N213" s="6">
        <v>227.52576630008221</v>
      </c>
      <c r="O213" s="6">
        <v>47.306125699996947</v>
      </c>
      <c r="P213" s="6">
        <v>18.698169300002743</v>
      </c>
      <c r="Q213" s="6">
        <f t="shared" si="81"/>
        <v>293.53006130008191</v>
      </c>
      <c r="R213">
        <f t="shared" si="74"/>
        <v>1</v>
      </c>
      <c r="S213" s="5">
        <f t="shared" si="90"/>
        <v>44758</v>
      </c>
      <c r="T213" s="6">
        <v>256.18044679999349</v>
      </c>
      <c r="U213" s="6">
        <v>54.316473299995067</v>
      </c>
      <c r="V213" s="6">
        <v>19.118629900001455</v>
      </c>
      <c r="W213" s="6">
        <f t="shared" si="73"/>
        <v>329.61554999998998</v>
      </c>
      <c r="X213">
        <f t="shared" si="75"/>
        <v>1</v>
      </c>
      <c r="Z213" s="5">
        <f t="shared" si="91"/>
        <v>44758</v>
      </c>
      <c r="AA213" s="6">
        <v>0</v>
      </c>
      <c r="AB213" s="6">
        <v>0</v>
      </c>
      <c r="AC213" s="6">
        <v>0</v>
      </c>
      <c r="AD213" s="6">
        <f t="shared" si="84"/>
        <v>0</v>
      </c>
      <c r="AE213">
        <f t="shared" si="76"/>
        <v>0</v>
      </c>
      <c r="AF213" s="5">
        <f t="shared" si="92"/>
        <v>45488</v>
      </c>
      <c r="AG213" s="6">
        <v>0</v>
      </c>
      <c r="AH213" s="6">
        <v>0</v>
      </c>
      <c r="AI213" s="6">
        <v>0</v>
      </c>
      <c r="AJ213" s="6">
        <f t="shared" si="85"/>
        <v>0</v>
      </c>
      <c r="AK213">
        <f t="shared" si="77"/>
        <v>0</v>
      </c>
      <c r="AL213" s="5">
        <f t="shared" si="93"/>
        <v>45854</v>
      </c>
      <c r="AM213" s="6">
        <v>0</v>
      </c>
      <c r="AN213" s="6">
        <v>0</v>
      </c>
      <c r="AO213" s="6">
        <v>0</v>
      </c>
      <c r="AP213" s="6">
        <f t="shared" si="86"/>
        <v>0</v>
      </c>
      <c r="AQ213">
        <f t="shared" si="78"/>
        <v>0</v>
      </c>
    </row>
    <row r="214" spans="1:43" x14ac:dyDescent="0.3">
      <c r="A214" s="5">
        <f t="shared" si="87"/>
        <v>43663</v>
      </c>
      <c r="B214" s="6">
        <v>280.49045729994776</v>
      </c>
      <c r="C214" s="6">
        <v>49.431061100002381</v>
      </c>
      <c r="D214" s="6">
        <v>21.396000000000001</v>
      </c>
      <c r="E214" s="6">
        <f t="shared" si="82"/>
        <v>351.31751839995019</v>
      </c>
      <c r="F214">
        <f t="shared" si="79"/>
        <v>1</v>
      </c>
      <c r="G214" s="5">
        <f t="shared" si="88"/>
        <v>44028</v>
      </c>
      <c r="H214" s="6">
        <v>242.86345319998264</v>
      </c>
      <c r="I214" s="6">
        <v>45.365948799997568</v>
      </c>
      <c r="J214" s="6">
        <v>16.641999999999999</v>
      </c>
      <c r="K214" s="6">
        <f t="shared" si="83"/>
        <v>304.87140199998021</v>
      </c>
      <c r="L214">
        <f t="shared" si="80"/>
        <v>1</v>
      </c>
      <c r="M214" s="5">
        <f t="shared" si="89"/>
        <v>44394</v>
      </c>
      <c r="N214" s="6">
        <v>236.52006559991835</v>
      </c>
      <c r="O214" s="6">
        <v>46.677806000001731</v>
      </c>
      <c r="P214" s="6">
        <v>24.913824399997946</v>
      </c>
      <c r="Q214" s="6">
        <f t="shared" si="81"/>
        <v>308.11169599991803</v>
      </c>
      <c r="R214">
        <f t="shared" si="74"/>
        <v>1</v>
      </c>
      <c r="S214" s="5">
        <f t="shared" si="90"/>
        <v>44759</v>
      </c>
      <c r="T214" s="6">
        <v>236.21319209992885</v>
      </c>
      <c r="U214" s="6">
        <v>49.949673399999739</v>
      </c>
      <c r="V214" s="6">
        <v>17.016046399996849</v>
      </c>
      <c r="W214" s="6">
        <f t="shared" si="73"/>
        <v>303.17891189992542</v>
      </c>
      <c r="X214">
        <f t="shared" si="75"/>
        <v>1</v>
      </c>
      <c r="Z214" s="5">
        <f t="shared" si="91"/>
        <v>44759</v>
      </c>
      <c r="AA214" s="6">
        <v>0</v>
      </c>
      <c r="AB214" s="6">
        <v>0</v>
      </c>
      <c r="AC214" s="6">
        <v>0</v>
      </c>
      <c r="AD214" s="6">
        <f t="shared" si="84"/>
        <v>0</v>
      </c>
      <c r="AE214">
        <f t="shared" si="76"/>
        <v>0</v>
      </c>
      <c r="AF214" s="5">
        <f t="shared" si="92"/>
        <v>45489</v>
      </c>
      <c r="AG214" s="6">
        <v>0</v>
      </c>
      <c r="AH214" s="6">
        <v>0</v>
      </c>
      <c r="AI214" s="6">
        <v>0</v>
      </c>
      <c r="AJ214" s="6">
        <f t="shared" si="85"/>
        <v>0</v>
      </c>
      <c r="AK214">
        <f t="shared" si="77"/>
        <v>0</v>
      </c>
      <c r="AL214" s="5">
        <f t="shared" si="93"/>
        <v>45855</v>
      </c>
      <c r="AM214" s="6">
        <v>0</v>
      </c>
      <c r="AN214" s="6">
        <v>0</v>
      </c>
      <c r="AO214" s="6">
        <v>0</v>
      </c>
      <c r="AP214" s="6">
        <f t="shared" si="86"/>
        <v>0</v>
      </c>
      <c r="AQ214">
        <f t="shared" si="78"/>
        <v>0</v>
      </c>
    </row>
    <row r="215" spans="1:43" x14ac:dyDescent="0.3">
      <c r="A215" s="5">
        <f t="shared" si="87"/>
        <v>43664</v>
      </c>
      <c r="B215" s="6">
        <v>283.93966890001298</v>
      </c>
      <c r="C215" s="6">
        <v>49.811188699997963</v>
      </c>
      <c r="D215" s="6">
        <v>21.524999999999999</v>
      </c>
      <c r="E215" s="6">
        <f t="shared" si="82"/>
        <v>355.27585760001091</v>
      </c>
      <c r="F215">
        <f t="shared" si="79"/>
        <v>1</v>
      </c>
      <c r="G215" s="5">
        <f t="shared" si="88"/>
        <v>44029</v>
      </c>
      <c r="H215" s="6">
        <v>267.33487870001795</v>
      </c>
      <c r="I215" s="6">
        <v>50.388877000004051</v>
      </c>
      <c r="J215" s="6">
        <v>19.076000000000001</v>
      </c>
      <c r="K215" s="6">
        <f t="shared" si="83"/>
        <v>336.79975570002205</v>
      </c>
      <c r="L215">
        <f t="shared" si="80"/>
        <v>1</v>
      </c>
      <c r="M215" s="5">
        <f t="shared" si="89"/>
        <v>44395</v>
      </c>
      <c r="N215" s="6">
        <v>208.4599373999834</v>
      </c>
      <c r="O215" s="6">
        <v>43.454256399996581</v>
      </c>
      <c r="P215" s="6">
        <v>20.404229799998458</v>
      </c>
      <c r="Q215" s="6">
        <f t="shared" si="81"/>
        <v>272.31842359997842</v>
      </c>
      <c r="R215">
        <f t="shared" si="74"/>
        <v>1</v>
      </c>
      <c r="S215" s="5">
        <f t="shared" si="90"/>
        <v>44760</v>
      </c>
      <c r="T215" s="6">
        <v>264.37670860004425</v>
      </c>
      <c r="U215" s="6">
        <v>58.540710099995138</v>
      </c>
      <c r="V215" s="6">
        <v>24.418335600000805</v>
      </c>
      <c r="W215" s="6">
        <f t="shared" si="73"/>
        <v>347.33575430004021</v>
      </c>
      <c r="X215">
        <f t="shared" si="75"/>
        <v>1</v>
      </c>
      <c r="Z215" s="5">
        <f t="shared" si="91"/>
        <v>44760</v>
      </c>
      <c r="AA215" s="6">
        <v>0</v>
      </c>
      <c r="AB215" s="6">
        <v>0</v>
      </c>
      <c r="AC215" s="6">
        <v>0</v>
      </c>
      <c r="AD215" s="6">
        <f t="shared" si="84"/>
        <v>0</v>
      </c>
      <c r="AE215">
        <f t="shared" si="76"/>
        <v>0</v>
      </c>
      <c r="AF215" s="5">
        <f t="shared" si="92"/>
        <v>45490</v>
      </c>
      <c r="AG215" s="6">
        <v>0</v>
      </c>
      <c r="AH215" s="6">
        <v>0</v>
      </c>
      <c r="AI215" s="6">
        <v>0</v>
      </c>
      <c r="AJ215" s="6">
        <f t="shared" si="85"/>
        <v>0</v>
      </c>
      <c r="AK215">
        <f t="shared" si="77"/>
        <v>0</v>
      </c>
      <c r="AL215" s="5">
        <f t="shared" si="93"/>
        <v>45856</v>
      </c>
      <c r="AM215" s="6">
        <v>0</v>
      </c>
      <c r="AN215" s="6">
        <v>0</v>
      </c>
      <c r="AO215" s="6">
        <v>0</v>
      </c>
      <c r="AP215" s="6">
        <f t="shared" si="86"/>
        <v>0</v>
      </c>
      <c r="AQ215">
        <f t="shared" si="78"/>
        <v>0</v>
      </c>
    </row>
    <row r="216" spans="1:43" x14ac:dyDescent="0.3">
      <c r="A216" s="5">
        <f t="shared" si="87"/>
        <v>43665</v>
      </c>
      <c r="B216" s="6">
        <v>272.25899409997464</v>
      </c>
      <c r="C216" s="6">
        <v>48.984694499999286</v>
      </c>
      <c r="D216" s="6">
        <v>21.805</v>
      </c>
      <c r="E216" s="6">
        <f t="shared" si="82"/>
        <v>343.04868859997396</v>
      </c>
      <c r="F216">
        <f t="shared" si="79"/>
        <v>1</v>
      </c>
      <c r="G216" s="5">
        <f t="shared" si="88"/>
        <v>44030</v>
      </c>
      <c r="H216" s="6">
        <v>249.11528219997882</v>
      </c>
      <c r="I216" s="6">
        <v>50.645286399997772</v>
      </c>
      <c r="J216" s="6">
        <v>19.057599999999997</v>
      </c>
      <c r="K216" s="6">
        <f t="shared" si="83"/>
        <v>318.81816859997656</v>
      </c>
      <c r="L216">
        <f t="shared" si="80"/>
        <v>1</v>
      </c>
      <c r="M216" s="5">
        <f t="shared" si="89"/>
        <v>44396</v>
      </c>
      <c r="N216" s="6">
        <v>227.84806220006942</v>
      </c>
      <c r="O216" s="6">
        <v>54.388265800006685</v>
      </c>
      <c r="P216" s="6">
        <v>25.78561980000115</v>
      </c>
      <c r="Q216" s="6">
        <f t="shared" si="81"/>
        <v>308.02194780007727</v>
      </c>
      <c r="R216">
        <f t="shared" si="74"/>
        <v>1</v>
      </c>
      <c r="S216" s="5">
        <f t="shared" si="90"/>
        <v>44761</v>
      </c>
      <c r="T216" s="6">
        <v>265.65878740000727</v>
      </c>
      <c r="U216" s="6">
        <v>59.334724800005553</v>
      </c>
      <c r="V216" s="6">
        <v>23.888894899999954</v>
      </c>
      <c r="W216" s="6">
        <f t="shared" si="73"/>
        <v>348.88240710001281</v>
      </c>
      <c r="X216">
        <f t="shared" si="75"/>
        <v>1</v>
      </c>
      <c r="Z216" s="5">
        <f t="shared" si="91"/>
        <v>44761</v>
      </c>
      <c r="AA216" s="6">
        <v>0</v>
      </c>
      <c r="AB216" s="6">
        <v>0</v>
      </c>
      <c r="AC216" s="6">
        <v>0</v>
      </c>
      <c r="AD216" s="6">
        <f t="shared" si="84"/>
        <v>0</v>
      </c>
      <c r="AE216">
        <f t="shared" si="76"/>
        <v>0</v>
      </c>
      <c r="AF216" s="5">
        <f t="shared" si="92"/>
        <v>45491</v>
      </c>
      <c r="AG216" s="6">
        <v>0</v>
      </c>
      <c r="AH216" s="6">
        <v>0</v>
      </c>
      <c r="AI216" s="6">
        <v>0</v>
      </c>
      <c r="AJ216" s="6">
        <f t="shared" si="85"/>
        <v>0</v>
      </c>
      <c r="AK216">
        <f t="shared" si="77"/>
        <v>0</v>
      </c>
      <c r="AL216" s="5">
        <f t="shared" si="93"/>
        <v>45857</v>
      </c>
      <c r="AM216" s="6">
        <v>0</v>
      </c>
      <c r="AN216" s="6">
        <v>0</v>
      </c>
      <c r="AO216" s="6">
        <v>0</v>
      </c>
      <c r="AP216" s="6">
        <f t="shared" si="86"/>
        <v>0</v>
      </c>
      <c r="AQ216">
        <f t="shared" si="78"/>
        <v>0</v>
      </c>
    </row>
    <row r="217" spans="1:43" x14ac:dyDescent="0.3">
      <c r="A217" s="5">
        <f t="shared" si="87"/>
        <v>43666</v>
      </c>
      <c r="B217" s="6">
        <v>252.01401569998265</v>
      </c>
      <c r="C217" s="6">
        <v>48.195588100001217</v>
      </c>
      <c r="D217" s="6">
        <v>19.8</v>
      </c>
      <c r="E217" s="6">
        <f t="shared" si="82"/>
        <v>320.00960379998389</v>
      </c>
      <c r="F217">
        <f t="shared" si="79"/>
        <v>1</v>
      </c>
      <c r="G217" s="5">
        <f t="shared" si="88"/>
        <v>44031</v>
      </c>
      <c r="H217" s="6">
        <v>240.00232430005073</v>
      </c>
      <c r="I217" s="6">
        <v>43.752712499998509</v>
      </c>
      <c r="J217" s="6">
        <v>16.692</v>
      </c>
      <c r="K217" s="6">
        <f t="shared" si="83"/>
        <v>300.44703680004926</v>
      </c>
      <c r="L217">
        <f t="shared" si="80"/>
        <v>1</v>
      </c>
      <c r="M217" s="5">
        <f t="shared" si="89"/>
        <v>44397</v>
      </c>
      <c r="N217" s="6">
        <v>233.95742879998684</v>
      </c>
      <c r="O217" s="6">
        <v>52.934186399996278</v>
      </c>
      <c r="P217" s="6">
        <v>25.508509700000985</v>
      </c>
      <c r="Q217" s="6">
        <f t="shared" si="81"/>
        <v>312.40012489998412</v>
      </c>
      <c r="R217">
        <f t="shared" si="74"/>
        <v>1</v>
      </c>
      <c r="S217" s="5">
        <f t="shared" si="90"/>
        <v>44762</v>
      </c>
      <c r="T217" s="6">
        <v>137.28334280002116</v>
      </c>
      <c r="U217" s="6">
        <v>57.267494599997995</v>
      </c>
      <c r="V217" s="6">
        <v>22.080339300002205</v>
      </c>
      <c r="W217" s="6">
        <f t="shared" si="73"/>
        <v>216.63117670002137</v>
      </c>
      <c r="X217">
        <f t="shared" si="75"/>
        <v>0</v>
      </c>
      <c r="Z217" s="5">
        <f t="shared" si="91"/>
        <v>44762</v>
      </c>
      <c r="AA217" s="6">
        <v>0</v>
      </c>
      <c r="AB217" s="6">
        <v>0</v>
      </c>
      <c r="AC217" s="6">
        <v>0</v>
      </c>
      <c r="AD217" s="6">
        <f t="shared" si="84"/>
        <v>0</v>
      </c>
      <c r="AE217">
        <f t="shared" si="76"/>
        <v>0</v>
      </c>
      <c r="AF217" s="5">
        <f t="shared" si="92"/>
        <v>45492</v>
      </c>
      <c r="AG217" s="6">
        <v>0</v>
      </c>
      <c r="AH217" s="6">
        <v>0</v>
      </c>
      <c r="AI217" s="6">
        <v>0</v>
      </c>
      <c r="AJ217" s="6">
        <f t="shared" si="85"/>
        <v>0</v>
      </c>
      <c r="AK217">
        <f t="shared" si="77"/>
        <v>0</v>
      </c>
      <c r="AL217" s="5">
        <f t="shared" si="93"/>
        <v>45858</v>
      </c>
      <c r="AM217" s="6">
        <v>0</v>
      </c>
      <c r="AN217" s="6">
        <v>0</v>
      </c>
      <c r="AO217" s="6">
        <v>0</v>
      </c>
      <c r="AP217" s="6">
        <f t="shared" si="86"/>
        <v>0</v>
      </c>
      <c r="AQ217">
        <f t="shared" si="78"/>
        <v>0</v>
      </c>
    </row>
    <row r="218" spans="1:43" x14ac:dyDescent="0.3">
      <c r="A218" s="5">
        <f t="shared" si="87"/>
        <v>43667</v>
      </c>
      <c r="B218" s="6">
        <v>224.84562310004233</v>
      </c>
      <c r="C218" s="6">
        <v>40.4387313000001</v>
      </c>
      <c r="D218" s="6">
        <v>16.440999999999999</v>
      </c>
      <c r="E218" s="6">
        <f t="shared" si="82"/>
        <v>281.72535440004242</v>
      </c>
      <c r="F218">
        <f t="shared" si="79"/>
        <v>1</v>
      </c>
      <c r="G218" s="5">
        <f t="shared" si="88"/>
        <v>44032</v>
      </c>
      <c r="H218" s="6">
        <v>266.66102749991416</v>
      </c>
      <c r="I218" s="6">
        <v>52.371901799999179</v>
      </c>
      <c r="J218" s="6">
        <v>20.588999999999999</v>
      </c>
      <c r="K218" s="6">
        <f t="shared" si="83"/>
        <v>339.62192929991335</v>
      </c>
      <c r="L218">
        <f t="shared" si="80"/>
        <v>1</v>
      </c>
      <c r="M218" s="5">
        <f t="shared" si="89"/>
        <v>44398</v>
      </c>
      <c r="N218" s="6">
        <v>251.88278250002861</v>
      </c>
      <c r="O218" s="6">
        <v>56.17828230000287</v>
      </c>
      <c r="P218" s="6">
        <v>25.830116100001383</v>
      </c>
      <c r="Q218" s="6">
        <f t="shared" si="81"/>
        <v>333.89118090003285</v>
      </c>
      <c r="R218">
        <f t="shared" si="74"/>
        <v>1</v>
      </c>
      <c r="S218" s="5">
        <f t="shared" si="90"/>
        <v>44763</v>
      </c>
      <c r="T218" s="6">
        <v>265.121744699955</v>
      </c>
      <c r="U218" s="6">
        <v>56.744902700006961</v>
      </c>
      <c r="V218" s="6">
        <v>19.851665899998043</v>
      </c>
      <c r="W218" s="6">
        <f t="shared" si="73"/>
        <v>341.71831329996002</v>
      </c>
      <c r="X218">
        <f t="shared" si="75"/>
        <v>1</v>
      </c>
      <c r="Z218" s="5">
        <f t="shared" si="91"/>
        <v>44763</v>
      </c>
      <c r="AA218" s="6">
        <v>0</v>
      </c>
      <c r="AB218" s="6">
        <v>0</v>
      </c>
      <c r="AC218" s="6">
        <v>0</v>
      </c>
      <c r="AD218" s="6">
        <f t="shared" si="84"/>
        <v>0</v>
      </c>
      <c r="AE218">
        <f t="shared" si="76"/>
        <v>0</v>
      </c>
      <c r="AF218" s="5">
        <f t="shared" si="92"/>
        <v>45493</v>
      </c>
      <c r="AG218" s="6">
        <v>0</v>
      </c>
      <c r="AH218" s="6">
        <v>0</v>
      </c>
      <c r="AI218" s="6">
        <v>0</v>
      </c>
      <c r="AJ218" s="6">
        <f t="shared" si="85"/>
        <v>0</v>
      </c>
      <c r="AK218">
        <f t="shared" si="77"/>
        <v>0</v>
      </c>
      <c r="AL218" s="5">
        <f t="shared" si="93"/>
        <v>45859</v>
      </c>
      <c r="AM218" s="6">
        <v>0</v>
      </c>
      <c r="AN218" s="6">
        <v>0</v>
      </c>
      <c r="AO218" s="6">
        <v>0</v>
      </c>
      <c r="AP218" s="6">
        <f t="shared" si="86"/>
        <v>0</v>
      </c>
      <c r="AQ218">
        <f t="shared" si="78"/>
        <v>0</v>
      </c>
    </row>
    <row r="219" spans="1:43" x14ac:dyDescent="0.3">
      <c r="A219" s="5">
        <f t="shared" si="87"/>
        <v>43668</v>
      </c>
      <c r="B219" s="6">
        <v>275.0328028000593</v>
      </c>
      <c r="C219" s="6">
        <v>47.107003400001673</v>
      </c>
      <c r="D219" s="6">
        <v>22.081</v>
      </c>
      <c r="E219" s="6">
        <f t="shared" si="82"/>
        <v>344.22080620006102</v>
      </c>
      <c r="F219">
        <f t="shared" si="79"/>
        <v>1</v>
      </c>
      <c r="G219" s="5">
        <f t="shared" si="88"/>
        <v>44033</v>
      </c>
      <c r="H219" s="6">
        <v>275.49866920006275</v>
      </c>
      <c r="I219" s="6">
        <v>54.228847999997434</v>
      </c>
      <c r="J219" s="6">
        <v>19.344999999999999</v>
      </c>
      <c r="K219" s="6">
        <f t="shared" si="83"/>
        <v>349.07251720006013</v>
      </c>
      <c r="L219">
        <f t="shared" si="80"/>
        <v>1</v>
      </c>
      <c r="M219" s="5">
        <f t="shared" si="89"/>
        <v>44399</v>
      </c>
      <c r="N219" s="6">
        <v>249.24664649999141</v>
      </c>
      <c r="O219" s="6">
        <v>52.491743099994956</v>
      </c>
      <c r="P219" s="6">
        <v>23.797581399996766</v>
      </c>
      <c r="Q219" s="6">
        <f t="shared" si="81"/>
        <v>325.53597099998314</v>
      </c>
      <c r="R219">
        <f t="shared" si="74"/>
        <v>1</v>
      </c>
      <c r="S219" s="5">
        <f t="shared" si="90"/>
        <v>44764</v>
      </c>
      <c r="T219" s="6">
        <v>265.50588110005856</v>
      </c>
      <c r="U219" s="6">
        <v>55.576147699996831</v>
      </c>
      <c r="V219" s="6">
        <v>20.71234970000107</v>
      </c>
      <c r="W219" s="6">
        <f t="shared" si="73"/>
        <v>341.7943785000565</v>
      </c>
      <c r="X219">
        <f t="shared" si="75"/>
        <v>1</v>
      </c>
      <c r="Z219" s="5">
        <f t="shared" si="91"/>
        <v>44764</v>
      </c>
      <c r="AA219" s="6">
        <v>0</v>
      </c>
      <c r="AB219" s="6">
        <v>0</v>
      </c>
      <c r="AC219" s="6">
        <v>0</v>
      </c>
      <c r="AD219" s="6">
        <f t="shared" si="84"/>
        <v>0</v>
      </c>
      <c r="AE219">
        <f t="shared" si="76"/>
        <v>0</v>
      </c>
      <c r="AF219" s="5">
        <f t="shared" si="92"/>
        <v>45494</v>
      </c>
      <c r="AG219" s="6">
        <v>0</v>
      </c>
      <c r="AH219" s="6">
        <v>0</v>
      </c>
      <c r="AI219" s="6">
        <v>0</v>
      </c>
      <c r="AJ219" s="6">
        <f t="shared" si="85"/>
        <v>0</v>
      </c>
      <c r="AK219">
        <f t="shared" si="77"/>
        <v>0</v>
      </c>
      <c r="AL219" s="5">
        <f t="shared" si="93"/>
        <v>45860</v>
      </c>
      <c r="AM219" s="6">
        <v>0</v>
      </c>
      <c r="AN219" s="6">
        <v>0</v>
      </c>
      <c r="AO219" s="6">
        <v>0</v>
      </c>
      <c r="AP219" s="6">
        <f t="shared" si="86"/>
        <v>0</v>
      </c>
      <c r="AQ219">
        <f t="shared" si="78"/>
        <v>0</v>
      </c>
    </row>
    <row r="220" spans="1:43" x14ac:dyDescent="0.3">
      <c r="A220" s="5">
        <f t="shared" si="87"/>
        <v>43669</v>
      </c>
      <c r="B220" s="6">
        <v>277.51944040000438</v>
      </c>
      <c r="C220" s="6">
        <v>50.388396499998869</v>
      </c>
      <c r="D220" s="6">
        <v>22.178999999999998</v>
      </c>
      <c r="E220" s="6">
        <f t="shared" si="82"/>
        <v>350.08683690000322</v>
      </c>
      <c r="F220">
        <f t="shared" si="79"/>
        <v>1</v>
      </c>
      <c r="G220" s="5">
        <f t="shared" si="88"/>
        <v>44034</v>
      </c>
      <c r="H220" s="6">
        <v>274.37424739992616</v>
      </c>
      <c r="I220" s="6">
        <v>30.325622400000693</v>
      </c>
      <c r="J220" s="6">
        <v>21.771999999999998</v>
      </c>
      <c r="K220" s="6">
        <f t="shared" si="83"/>
        <v>326.47186979992682</v>
      </c>
      <c r="L220">
        <f t="shared" si="80"/>
        <v>1</v>
      </c>
      <c r="M220" s="5">
        <f t="shared" si="89"/>
        <v>44400</v>
      </c>
      <c r="N220" s="6">
        <v>220.6265217000246</v>
      </c>
      <c r="O220" s="6">
        <v>53.235871300004426</v>
      </c>
      <c r="P220" s="6">
        <v>25.252997200000333</v>
      </c>
      <c r="Q220" s="6">
        <f t="shared" si="81"/>
        <v>299.11539020002937</v>
      </c>
      <c r="R220">
        <f t="shared" si="74"/>
        <v>1</v>
      </c>
      <c r="S220" s="5">
        <f t="shared" si="90"/>
        <v>44765</v>
      </c>
      <c r="T220" s="6">
        <v>254.47937529993058</v>
      </c>
      <c r="U220" s="6">
        <v>53.647795100003478</v>
      </c>
      <c r="V220" s="6">
        <v>20.524008199998644</v>
      </c>
      <c r="W220" s="6">
        <f t="shared" si="73"/>
        <v>328.65117859993273</v>
      </c>
      <c r="X220">
        <f t="shared" si="75"/>
        <v>1</v>
      </c>
      <c r="Z220" s="5">
        <f t="shared" si="91"/>
        <v>44765</v>
      </c>
      <c r="AA220" s="6">
        <v>0</v>
      </c>
      <c r="AB220" s="6">
        <v>0</v>
      </c>
      <c r="AC220" s="6">
        <v>0</v>
      </c>
      <c r="AD220" s="6">
        <f t="shared" si="84"/>
        <v>0</v>
      </c>
      <c r="AE220">
        <f t="shared" si="76"/>
        <v>0</v>
      </c>
      <c r="AF220" s="5">
        <f t="shared" si="92"/>
        <v>45495</v>
      </c>
      <c r="AG220" s="6">
        <v>0</v>
      </c>
      <c r="AH220" s="6">
        <v>0</v>
      </c>
      <c r="AI220" s="6">
        <v>0</v>
      </c>
      <c r="AJ220" s="6">
        <f t="shared" si="85"/>
        <v>0</v>
      </c>
      <c r="AK220">
        <f t="shared" si="77"/>
        <v>0</v>
      </c>
      <c r="AL220" s="5">
        <f t="shared" si="93"/>
        <v>45861</v>
      </c>
      <c r="AM220" s="6">
        <v>0</v>
      </c>
      <c r="AN220" s="6">
        <v>0</v>
      </c>
      <c r="AO220" s="6">
        <v>0</v>
      </c>
      <c r="AP220" s="6">
        <f t="shared" si="86"/>
        <v>0</v>
      </c>
      <c r="AQ220">
        <f t="shared" si="78"/>
        <v>0</v>
      </c>
    </row>
    <row r="221" spans="1:43" x14ac:dyDescent="0.3">
      <c r="A221" s="5">
        <f t="shared" si="87"/>
        <v>43670</v>
      </c>
      <c r="B221" s="6">
        <v>276.9543343999386</v>
      </c>
      <c r="C221" s="6">
        <v>47.372526299998164</v>
      </c>
      <c r="D221" s="6">
        <v>22.463999999999999</v>
      </c>
      <c r="E221" s="6">
        <f t="shared" si="82"/>
        <v>346.79086069993679</v>
      </c>
      <c r="F221">
        <f t="shared" si="79"/>
        <v>1</v>
      </c>
      <c r="G221" s="5">
        <f t="shared" si="88"/>
        <v>44035</v>
      </c>
      <c r="H221" s="6">
        <v>259.48904220008848</v>
      </c>
      <c r="I221" s="6">
        <v>51.341217500001193</v>
      </c>
      <c r="J221" s="6">
        <v>21.879000000000001</v>
      </c>
      <c r="K221" s="6">
        <f t="shared" si="83"/>
        <v>332.70925970008966</v>
      </c>
      <c r="L221">
        <f t="shared" si="80"/>
        <v>1</v>
      </c>
      <c r="M221" s="5">
        <f t="shared" si="89"/>
        <v>44401</v>
      </c>
      <c r="N221" s="6">
        <v>219.17918769991397</v>
      </c>
      <c r="O221" s="6">
        <v>47.448541599996389</v>
      </c>
      <c r="P221" s="6">
        <v>25.605250600000844</v>
      </c>
      <c r="Q221" s="6">
        <f t="shared" si="81"/>
        <v>292.23297989991119</v>
      </c>
      <c r="R221">
        <f t="shared" si="74"/>
        <v>1</v>
      </c>
      <c r="S221" s="5">
        <f t="shared" si="90"/>
        <v>44766</v>
      </c>
      <c r="T221" s="6">
        <v>229.44051330006121</v>
      </c>
      <c r="U221" s="6">
        <v>48.818705199986695</v>
      </c>
      <c r="V221" s="6">
        <v>16.891484100000234</v>
      </c>
      <c r="W221" s="6">
        <f t="shared" si="73"/>
        <v>295.15070260004813</v>
      </c>
      <c r="X221">
        <f t="shared" si="75"/>
        <v>1</v>
      </c>
      <c r="Z221" s="5">
        <f t="shared" si="91"/>
        <v>44766</v>
      </c>
      <c r="AA221" s="6">
        <v>0</v>
      </c>
      <c r="AB221" s="6">
        <v>0</v>
      </c>
      <c r="AC221" s="6">
        <v>0</v>
      </c>
      <c r="AD221" s="6">
        <f t="shared" si="84"/>
        <v>0</v>
      </c>
      <c r="AE221">
        <f t="shared" si="76"/>
        <v>0</v>
      </c>
      <c r="AF221" s="5">
        <f t="shared" si="92"/>
        <v>45496</v>
      </c>
      <c r="AG221" s="6">
        <v>0</v>
      </c>
      <c r="AH221" s="6">
        <v>0</v>
      </c>
      <c r="AI221" s="6">
        <v>0</v>
      </c>
      <c r="AJ221" s="6">
        <f t="shared" si="85"/>
        <v>0</v>
      </c>
      <c r="AK221">
        <f t="shared" si="77"/>
        <v>0</v>
      </c>
      <c r="AL221" s="5">
        <f t="shared" si="93"/>
        <v>45862</v>
      </c>
      <c r="AM221" s="6">
        <v>0</v>
      </c>
      <c r="AN221" s="6">
        <v>0</v>
      </c>
      <c r="AO221" s="6">
        <v>0</v>
      </c>
      <c r="AP221" s="6">
        <f t="shared" si="86"/>
        <v>0</v>
      </c>
      <c r="AQ221">
        <f t="shared" si="78"/>
        <v>0</v>
      </c>
    </row>
    <row r="222" spans="1:43" x14ac:dyDescent="0.3">
      <c r="A222" s="5">
        <f t="shared" si="87"/>
        <v>43671</v>
      </c>
      <c r="B222" s="6">
        <v>271.86973360002042</v>
      </c>
      <c r="C222" s="6">
        <v>50.399638100001958</v>
      </c>
      <c r="D222" s="6">
        <v>23.056000000000001</v>
      </c>
      <c r="E222" s="6">
        <f t="shared" si="82"/>
        <v>345.32537170002234</v>
      </c>
      <c r="F222">
        <f t="shared" si="79"/>
        <v>1</v>
      </c>
      <c r="G222" s="5">
        <f t="shared" si="88"/>
        <v>44036</v>
      </c>
      <c r="H222" s="6">
        <v>257.12639109992983</v>
      </c>
      <c r="I222" s="6">
        <v>49.555256300002334</v>
      </c>
      <c r="J222" s="6">
        <v>20.870999999999999</v>
      </c>
      <c r="K222" s="6">
        <f t="shared" si="83"/>
        <v>327.55264739993214</v>
      </c>
      <c r="L222">
        <f t="shared" si="80"/>
        <v>1</v>
      </c>
      <c r="M222" s="5">
        <f t="shared" si="89"/>
        <v>44402</v>
      </c>
      <c r="N222" s="6">
        <v>202.04112860000134</v>
      </c>
      <c r="O222" s="6">
        <v>42.58092310000211</v>
      </c>
      <c r="P222" s="6">
        <v>20.81974110000208</v>
      </c>
      <c r="Q222" s="6">
        <f t="shared" si="81"/>
        <v>265.44179280000554</v>
      </c>
      <c r="R222">
        <f t="shared" si="74"/>
        <v>1</v>
      </c>
      <c r="S222" s="5">
        <f t="shared" si="90"/>
        <v>44767</v>
      </c>
      <c r="T222" s="6">
        <v>271.89387699997422</v>
      </c>
      <c r="U222" s="6">
        <v>58.022833400011059</v>
      </c>
      <c r="V222" s="6">
        <v>21.293786800001982</v>
      </c>
      <c r="W222" s="6">
        <f t="shared" si="73"/>
        <v>351.21049719998723</v>
      </c>
      <c r="X222">
        <f t="shared" si="75"/>
        <v>1</v>
      </c>
      <c r="Z222" s="5">
        <f t="shared" si="91"/>
        <v>44767</v>
      </c>
      <c r="AA222" s="6">
        <v>0</v>
      </c>
      <c r="AB222" s="6">
        <v>0</v>
      </c>
      <c r="AC222" s="6">
        <v>0</v>
      </c>
      <c r="AD222" s="6">
        <f t="shared" si="84"/>
        <v>0</v>
      </c>
      <c r="AE222">
        <f t="shared" si="76"/>
        <v>0</v>
      </c>
      <c r="AF222" s="5">
        <f t="shared" si="92"/>
        <v>45497</v>
      </c>
      <c r="AG222" s="6">
        <v>0</v>
      </c>
      <c r="AH222" s="6">
        <v>0</v>
      </c>
      <c r="AI222" s="6">
        <v>0</v>
      </c>
      <c r="AJ222" s="6">
        <f t="shared" si="85"/>
        <v>0</v>
      </c>
      <c r="AK222">
        <f t="shared" si="77"/>
        <v>0</v>
      </c>
      <c r="AL222" s="5">
        <f t="shared" si="93"/>
        <v>45863</v>
      </c>
      <c r="AM222" s="6">
        <v>0</v>
      </c>
      <c r="AN222" s="6">
        <v>0</v>
      </c>
      <c r="AO222" s="6">
        <v>0</v>
      </c>
      <c r="AP222" s="6">
        <f t="shared" si="86"/>
        <v>0</v>
      </c>
      <c r="AQ222">
        <f t="shared" si="78"/>
        <v>0</v>
      </c>
    </row>
    <row r="223" spans="1:43" x14ac:dyDescent="0.3">
      <c r="A223" s="5">
        <f t="shared" si="87"/>
        <v>43672</v>
      </c>
      <c r="B223" s="6">
        <v>273.1372934000492</v>
      </c>
      <c r="C223" s="6">
        <v>50.315645300000909</v>
      </c>
      <c r="D223" s="6">
        <v>24.268000000000001</v>
      </c>
      <c r="E223" s="6">
        <f t="shared" si="82"/>
        <v>347.72093870005017</v>
      </c>
      <c r="F223">
        <f t="shared" si="79"/>
        <v>1</v>
      </c>
      <c r="G223" s="5">
        <f t="shared" si="88"/>
        <v>44037</v>
      </c>
      <c r="H223" s="6">
        <v>249.011310000062</v>
      </c>
      <c r="I223" s="6">
        <v>50.950561599999666</v>
      </c>
      <c r="J223" s="6">
        <v>20.814</v>
      </c>
      <c r="K223" s="6">
        <f t="shared" si="83"/>
        <v>320.77587160006169</v>
      </c>
      <c r="L223">
        <f t="shared" si="80"/>
        <v>1</v>
      </c>
      <c r="M223" s="5">
        <f t="shared" si="89"/>
        <v>44403</v>
      </c>
      <c r="N223" s="6">
        <v>233.19163650000095</v>
      </c>
      <c r="O223" s="6">
        <v>50.972883900001648</v>
      </c>
      <c r="P223" s="6">
        <v>26.291027400002584</v>
      </c>
      <c r="Q223" s="6">
        <f t="shared" si="81"/>
        <v>310.45554780000521</v>
      </c>
      <c r="R223">
        <f t="shared" si="74"/>
        <v>1</v>
      </c>
      <c r="S223" s="5">
        <f t="shared" si="90"/>
        <v>44768</v>
      </c>
      <c r="T223" s="6">
        <v>289.46480579996108</v>
      </c>
      <c r="U223" s="6">
        <v>62.039465299993751</v>
      </c>
      <c r="V223" s="6">
        <v>22.647699799997266</v>
      </c>
      <c r="W223" s="6">
        <f t="shared" si="73"/>
        <v>374.15197089995212</v>
      </c>
      <c r="X223">
        <f t="shared" si="75"/>
        <v>1</v>
      </c>
      <c r="Z223" s="5">
        <f t="shared" si="91"/>
        <v>44768</v>
      </c>
      <c r="AA223" s="6">
        <v>0</v>
      </c>
      <c r="AB223" s="6">
        <v>0</v>
      </c>
      <c r="AC223" s="6">
        <v>0</v>
      </c>
      <c r="AD223" s="6">
        <f t="shared" si="84"/>
        <v>0</v>
      </c>
      <c r="AE223">
        <f t="shared" si="76"/>
        <v>0</v>
      </c>
      <c r="AF223" s="5">
        <f t="shared" si="92"/>
        <v>45498</v>
      </c>
      <c r="AG223" s="6">
        <v>0</v>
      </c>
      <c r="AH223" s="6">
        <v>0</v>
      </c>
      <c r="AI223" s="6">
        <v>0</v>
      </c>
      <c r="AJ223" s="6">
        <f t="shared" si="85"/>
        <v>0</v>
      </c>
      <c r="AK223">
        <f t="shared" si="77"/>
        <v>0</v>
      </c>
      <c r="AL223" s="5">
        <f t="shared" si="93"/>
        <v>45864</v>
      </c>
      <c r="AM223" s="6">
        <v>0</v>
      </c>
      <c r="AN223" s="6">
        <v>0</v>
      </c>
      <c r="AO223" s="6">
        <v>0</v>
      </c>
      <c r="AP223" s="6">
        <f t="shared" si="86"/>
        <v>0</v>
      </c>
      <c r="AQ223">
        <f t="shared" si="78"/>
        <v>0</v>
      </c>
    </row>
    <row r="224" spans="1:43" x14ac:dyDescent="0.3">
      <c r="A224" s="5">
        <f t="shared" si="87"/>
        <v>43673</v>
      </c>
      <c r="B224" s="6">
        <v>244.692141299963</v>
      </c>
      <c r="C224" s="6">
        <v>48.92767219999805</v>
      </c>
      <c r="D224" s="6">
        <v>23.396000000000001</v>
      </c>
      <c r="E224" s="6">
        <f t="shared" si="82"/>
        <v>317.01581349996104</v>
      </c>
      <c r="F224">
        <f t="shared" si="79"/>
        <v>1</v>
      </c>
      <c r="G224" s="5">
        <f t="shared" si="88"/>
        <v>44038</v>
      </c>
      <c r="H224" s="6">
        <v>235.5241074999571</v>
      </c>
      <c r="I224" s="6">
        <v>43.492195799998939</v>
      </c>
      <c r="J224" s="6">
        <v>18.327999999999999</v>
      </c>
      <c r="K224" s="6">
        <f t="shared" si="83"/>
        <v>297.34430329995598</v>
      </c>
      <c r="L224">
        <f t="shared" si="80"/>
        <v>1</v>
      </c>
      <c r="M224" s="5">
        <f t="shared" si="89"/>
        <v>44404</v>
      </c>
      <c r="N224" s="6">
        <v>243.22586730003357</v>
      </c>
      <c r="O224" s="6">
        <v>50.935759399995206</v>
      </c>
      <c r="P224" s="6">
        <v>25.457021499993747</v>
      </c>
      <c r="Q224" s="6">
        <f t="shared" si="81"/>
        <v>319.61864820002251</v>
      </c>
      <c r="R224">
        <f t="shared" si="74"/>
        <v>1</v>
      </c>
      <c r="S224" s="5">
        <f t="shared" si="90"/>
        <v>44769</v>
      </c>
      <c r="T224" s="6">
        <v>281.85064190006256</v>
      </c>
      <c r="U224" s="6">
        <v>59.955486800000074</v>
      </c>
      <c r="V224" s="6">
        <v>23.386893899999791</v>
      </c>
      <c r="W224" s="6">
        <f t="shared" si="73"/>
        <v>365.19302260006242</v>
      </c>
      <c r="X224">
        <f t="shared" si="75"/>
        <v>1</v>
      </c>
      <c r="Z224" s="5">
        <f t="shared" si="91"/>
        <v>44769</v>
      </c>
      <c r="AA224" s="6">
        <v>0</v>
      </c>
      <c r="AB224" s="6">
        <v>0</v>
      </c>
      <c r="AC224" s="6">
        <v>0</v>
      </c>
      <c r="AD224" s="6">
        <f t="shared" si="84"/>
        <v>0</v>
      </c>
      <c r="AE224">
        <f t="shared" si="76"/>
        <v>0</v>
      </c>
      <c r="AF224" s="5">
        <f t="shared" si="92"/>
        <v>45499</v>
      </c>
      <c r="AG224" s="6">
        <v>0</v>
      </c>
      <c r="AH224" s="6">
        <v>0</v>
      </c>
      <c r="AI224" s="6">
        <v>0</v>
      </c>
      <c r="AJ224" s="6">
        <f t="shared" si="85"/>
        <v>0</v>
      </c>
      <c r="AK224">
        <f t="shared" si="77"/>
        <v>0</v>
      </c>
      <c r="AL224" s="5">
        <f t="shared" si="93"/>
        <v>45865</v>
      </c>
      <c r="AM224" s="6">
        <v>0</v>
      </c>
      <c r="AN224" s="6">
        <v>0</v>
      </c>
      <c r="AO224" s="6">
        <v>0</v>
      </c>
      <c r="AP224" s="6">
        <f t="shared" si="86"/>
        <v>0</v>
      </c>
      <c r="AQ224">
        <f t="shared" si="78"/>
        <v>0</v>
      </c>
    </row>
    <row r="225" spans="1:43" x14ac:dyDescent="0.3">
      <c r="A225" s="5">
        <f t="shared" si="87"/>
        <v>43674</v>
      </c>
      <c r="B225" s="6">
        <v>227.40643939995766</v>
      </c>
      <c r="C225" s="6">
        <v>41.207353599999102</v>
      </c>
      <c r="D225" s="6">
        <v>16.305</v>
      </c>
      <c r="E225" s="6">
        <f t="shared" si="82"/>
        <v>284.91879299995679</v>
      </c>
      <c r="F225">
        <f t="shared" si="79"/>
        <v>1</v>
      </c>
      <c r="G225" s="5">
        <f t="shared" si="88"/>
        <v>44039</v>
      </c>
      <c r="H225" s="6">
        <v>258.22816089999674</v>
      </c>
      <c r="I225" s="6">
        <v>51.07100140000135</v>
      </c>
      <c r="J225" s="6">
        <v>21.788</v>
      </c>
      <c r="K225" s="6">
        <f t="shared" si="83"/>
        <v>331.08716229999811</v>
      </c>
      <c r="L225">
        <f t="shared" si="80"/>
        <v>1</v>
      </c>
      <c r="M225" s="5">
        <f t="shared" si="89"/>
        <v>44405</v>
      </c>
      <c r="N225" s="6">
        <v>234.72097519993781</v>
      </c>
      <c r="O225" s="6">
        <v>50.560891699999573</v>
      </c>
      <c r="P225" s="6">
        <v>25.371201000001047</v>
      </c>
      <c r="Q225" s="6">
        <f t="shared" si="81"/>
        <v>310.65306789993843</v>
      </c>
      <c r="R225">
        <f t="shared" si="74"/>
        <v>1</v>
      </c>
      <c r="S225" s="5">
        <f t="shared" si="90"/>
        <v>44770</v>
      </c>
      <c r="T225" s="6">
        <v>280.38685119998456</v>
      </c>
      <c r="U225" s="6">
        <v>59.362829600006343</v>
      </c>
      <c r="V225" s="6">
        <v>23.02629170000041</v>
      </c>
      <c r="W225" s="6">
        <f t="shared" si="73"/>
        <v>362.77597249999133</v>
      </c>
      <c r="X225">
        <f t="shared" si="75"/>
        <v>1</v>
      </c>
      <c r="Z225" s="5">
        <f t="shared" si="91"/>
        <v>44770</v>
      </c>
      <c r="AA225" s="6">
        <v>0</v>
      </c>
      <c r="AB225" s="6">
        <v>0</v>
      </c>
      <c r="AC225" s="6">
        <v>0</v>
      </c>
      <c r="AD225" s="6">
        <f t="shared" si="84"/>
        <v>0</v>
      </c>
      <c r="AE225">
        <f t="shared" si="76"/>
        <v>0</v>
      </c>
      <c r="AF225" s="5">
        <f t="shared" si="92"/>
        <v>45500</v>
      </c>
      <c r="AG225" s="6">
        <v>0</v>
      </c>
      <c r="AH225" s="6">
        <v>0</v>
      </c>
      <c r="AI225" s="6">
        <v>0</v>
      </c>
      <c r="AJ225" s="6">
        <f t="shared" si="85"/>
        <v>0</v>
      </c>
      <c r="AK225">
        <f t="shared" si="77"/>
        <v>0</v>
      </c>
      <c r="AL225" s="5">
        <f t="shared" si="93"/>
        <v>45866</v>
      </c>
      <c r="AM225" s="6">
        <v>0</v>
      </c>
      <c r="AN225" s="6">
        <v>0</v>
      </c>
      <c r="AO225" s="6">
        <v>0</v>
      </c>
      <c r="AP225" s="6">
        <f t="shared" si="86"/>
        <v>0</v>
      </c>
      <c r="AQ225">
        <f t="shared" si="78"/>
        <v>0</v>
      </c>
    </row>
    <row r="226" spans="1:43" x14ac:dyDescent="0.3">
      <c r="A226" s="5">
        <f t="shared" si="87"/>
        <v>43675</v>
      </c>
      <c r="B226" s="6">
        <v>272.99204610002039</v>
      </c>
      <c r="C226" s="6">
        <v>49.836185499999672</v>
      </c>
      <c r="D226" s="6">
        <v>23.137</v>
      </c>
      <c r="E226" s="6">
        <f t="shared" si="82"/>
        <v>345.96523160002005</v>
      </c>
      <c r="F226">
        <f t="shared" si="79"/>
        <v>1</v>
      </c>
      <c r="G226" s="5">
        <f t="shared" si="88"/>
        <v>44040</v>
      </c>
      <c r="H226" s="6">
        <v>254.90683819997309</v>
      </c>
      <c r="I226" s="6">
        <v>50.505052699998018</v>
      </c>
      <c r="J226" s="6">
        <v>22.097999999999999</v>
      </c>
      <c r="K226" s="6">
        <f t="shared" si="83"/>
        <v>327.50989089997114</v>
      </c>
      <c r="L226">
        <f t="shared" si="80"/>
        <v>1</v>
      </c>
      <c r="M226" s="5">
        <f t="shared" si="89"/>
        <v>44406</v>
      </c>
      <c r="N226" s="6">
        <v>230.86655380010606</v>
      </c>
      <c r="O226" s="6">
        <v>50.854607900001106</v>
      </c>
      <c r="P226" s="6">
        <v>25.832279999999329</v>
      </c>
      <c r="Q226" s="6">
        <f t="shared" si="81"/>
        <v>307.55344170010653</v>
      </c>
      <c r="R226">
        <f t="shared" si="74"/>
        <v>1</v>
      </c>
      <c r="S226" s="5">
        <f t="shared" si="90"/>
        <v>44771</v>
      </c>
      <c r="T226" s="6">
        <v>270.56061759996413</v>
      </c>
      <c r="U226" s="6">
        <v>58.740489199995991</v>
      </c>
      <c r="V226" s="6">
        <v>21.91465770000173</v>
      </c>
      <c r="W226" s="6">
        <f t="shared" si="73"/>
        <v>351.21576449996184</v>
      </c>
      <c r="X226">
        <f t="shared" si="75"/>
        <v>1</v>
      </c>
      <c r="Z226" s="5">
        <f t="shared" si="91"/>
        <v>44771</v>
      </c>
      <c r="AA226" s="6">
        <v>0</v>
      </c>
      <c r="AB226" s="6">
        <v>0</v>
      </c>
      <c r="AC226" s="6">
        <v>0</v>
      </c>
      <c r="AD226" s="6">
        <f t="shared" si="84"/>
        <v>0</v>
      </c>
      <c r="AE226">
        <f t="shared" si="76"/>
        <v>0</v>
      </c>
      <c r="AF226" s="5">
        <f t="shared" si="92"/>
        <v>45501</v>
      </c>
      <c r="AG226" s="6">
        <v>0</v>
      </c>
      <c r="AH226" s="6">
        <v>0</v>
      </c>
      <c r="AI226" s="6">
        <v>0</v>
      </c>
      <c r="AJ226" s="6">
        <f t="shared" si="85"/>
        <v>0</v>
      </c>
      <c r="AK226">
        <f t="shared" si="77"/>
        <v>0</v>
      </c>
      <c r="AL226" s="5">
        <f t="shared" si="93"/>
        <v>45867</v>
      </c>
      <c r="AM226" s="6">
        <v>0</v>
      </c>
      <c r="AN226" s="6">
        <v>0</v>
      </c>
      <c r="AO226" s="6">
        <v>0</v>
      </c>
      <c r="AP226" s="6">
        <f t="shared" si="86"/>
        <v>0</v>
      </c>
      <c r="AQ226">
        <f t="shared" si="78"/>
        <v>0</v>
      </c>
    </row>
    <row r="227" spans="1:43" x14ac:dyDescent="0.3">
      <c r="A227" s="5">
        <f t="shared" si="87"/>
        <v>43676</v>
      </c>
      <c r="B227" s="6">
        <v>280.28397800004484</v>
      </c>
      <c r="C227" s="6">
        <v>51.588710100002587</v>
      </c>
      <c r="D227" s="6">
        <v>23.317</v>
      </c>
      <c r="E227" s="6">
        <f t="shared" si="82"/>
        <v>355.18968810004742</v>
      </c>
      <c r="F227">
        <f t="shared" si="79"/>
        <v>1</v>
      </c>
      <c r="G227" s="5">
        <f t="shared" si="88"/>
        <v>44041</v>
      </c>
      <c r="H227" s="6">
        <v>258.58990960001944</v>
      </c>
      <c r="I227" s="6">
        <v>48.875088300004599</v>
      </c>
      <c r="J227" s="6">
        <v>19.895</v>
      </c>
      <c r="K227" s="6">
        <f t="shared" si="83"/>
        <v>327.35999790002404</v>
      </c>
      <c r="L227">
        <f t="shared" si="80"/>
        <v>1</v>
      </c>
      <c r="M227" s="5">
        <f t="shared" si="89"/>
        <v>44407</v>
      </c>
      <c r="N227" s="6">
        <v>220.67621379995347</v>
      </c>
      <c r="O227" s="6">
        <v>51.363446500003334</v>
      </c>
      <c r="P227" s="6">
        <v>23.320661599999294</v>
      </c>
      <c r="Q227" s="6">
        <f t="shared" si="81"/>
        <v>295.36032189995615</v>
      </c>
      <c r="R227">
        <f t="shared" si="74"/>
        <v>1</v>
      </c>
      <c r="S227" s="5">
        <f t="shared" si="90"/>
        <v>44772</v>
      </c>
      <c r="T227" s="6">
        <v>251.12086090004445</v>
      </c>
      <c r="U227" s="6">
        <v>53.616557600006459</v>
      </c>
      <c r="V227" s="6">
        <v>21.906028199997497</v>
      </c>
      <c r="W227" s="6">
        <f t="shared" si="73"/>
        <v>326.6434467000484</v>
      </c>
      <c r="X227">
        <f t="shared" si="75"/>
        <v>1</v>
      </c>
      <c r="Z227" s="5">
        <f t="shared" si="91"/>
        <v>44772</v>
      </c>
      <c r="AA227" s="6">
        <v>0</v>
      </c>
      <c r="AB227" s="6">
        <v>0</v>
      </c>
      <c r="AC227" s="6">
        <v>0</v>
      </c>
      <c r="AD227" s="6">
        <f t="shared" si="84"/>
        <v>0</v>
      </c>
      <c r="AE227">
        <f t="shared" si="76"/>
        <v>0</v>
      </c>
      <c r="AF227" s="5">
        <f t="shared" si="92"/>
        <v>45502</v>
      </c>
      <c r="AG227" s="6">
        <v>0</v>
      </c>
      <c r="AH227" s="6">
        <v>0</v>
      </c>
      <c r="AI227" s="6">
        <v>0</v>
      </c>
      <c r="AJ227" s="6">
        <f t="shared" si="85"/>
        <v>0</v>
      </c>
      <c r="AK227">
        <f t="shared" si="77"/>
        <v>0</v>
      </c>
      <c r="AL227" s="5">
        <f t="shared" si="93"/>
        <v>45868</v>
      </c>
      <c r="AM227" s="6">
        <v>0</v>
      </c>
      <c r="AN227" s="6">
        <v>0</v>
      </c>
      <c r="AO227" s="6">
        <v>0</v>
      </c>
      <c r="AP227" s="6">
        <f t="shared" si="86"/>
        <v>0</v>
      </c>
      <c r="AQ227">
        <f t="shared" si="78"/>
        <v>0</v>
      </c>
    </row>
    <row r="228" spans="1:43" x14ac:dyDescent="0.3">
      <c r="A228" s="21">
        <f t="shared" si="87"/>
        <v>43677</v>
      </c>
      <c r="B228" s="6">
        <v>278.11325389993192</v>
      </c>
      <c r="C228" s="6">
        <v>48.644295299999413</v>
      </c>
      <c r="D228" s="6">
        <v>23.611000000000001</v>
      </c>
      <c r="E228" s="6">
        <f t="shared" si="82"/>
        <v>350.36854919993129</v>
      </c>
      <c r="F228">
        <f t="shared" si="79"/>
        <v>1</v>
      </c>
      <c r="G228" s="5">
        <f t="shared" si="88"/>
        <v>44042</v>
      </c>
      <c r="H228" s="6">
        <v>257.63901460003854</v>
      </c>
      <c r="I228" s="6">
        <v>50.327293199993669</v>
      </c>
      <c r="J228" s="6">
        <v>20.402000000000001</v>
      </c>
      <c r="K228" s="6">
        <f t="shared" si="83"/>
        <v>328.3683078000322</v>
      </c>
      <c r="L228">
        <f t="shared" si="80"/>
        <v>1</v>
      </c>
      <c r="M228" s="21">
        <f t="shared" si="89"/>
        <v>44408</v>
      </c>
      <c r="N228" s="6">
        <v>208.01669959998131</v>
      </c>
      <c r="O228" s="6">
        <v>48.487365499995647</v>
      </c>
      <c r="P228" s="6">
        <v>21.657036400004522</v>
      </c>
      <c r="Q228" s="6">
        <f t="shared" si="81"/>
        <v>278.1611014999815</v>
      </c>
      <c r="R228">
        <f t="shared" si="74"/>
        <v>1</v>
      </c>
      <c r="S228" s="21">
        <f t="shared" si="90"/>
        <v>44773</v>
      </c>
      <c r="T228" s="6">
        <v>233.35441159999371</v>
      </c>
      <c r="U228" s="6">
        <v>46.933794900000095</v>
      </c>
      <c r="V228" s="6">
        <v>17.460467000000179</v>
      </c>
      <c r="W228" s="6">
        <f t="shared" si="73"/>
        <v>297.74867349999397</v>
      </c>
      <c r="X228">
        <f t="shared" si="75"/>
        <v>1</v>
      </c>
      <c r="Z228" s="21">
        <f t="shared" si="91"/>
        <v>44773</v>
      </c>
      <c r="AA228" s="6">
        <v>0</v>
      </c>
      <c r="AB228" s="6">
        <v>0</v>
      </c>
      <c r="AC228" s="6">
        <v>0</v>
      </c>
      <c r="AD228" s="6">
        <f t="shared" si="84"/>
        <v>0</v>
      </c>
      <c r="AE228">
        <f t="shared" si="76"/>
        <v>0</v>
      </c>
      <c r="AF228" s="21">
        <f t="shared" si="92"/>
        <v>45503</v>
      </c>
      <c r="AG228" s="6">
        <v>0</v>
      </c>
      <c r="AH228" s="6">
        <v>0</v>
      </c>
      <c r="AI228" s="6">
        <v>0</v>
      </c>
      <c r="AJ228" s="6">
        <f t="shared" si="85"/>
        <v>0</v>
      </c>
      <c r="AK228">
        <f t="shared" si="77"/>
        <v>0</v>
      </c>
      <c r="AL228" s="21">
        <f t="shared" si="93"/>
        <v>45869</v>
      </c>
      <c r="AM228" s="6">
        <v>0</v>
      </c>
      <c r="AN228" s="6">
        <v>0</v>
      </c>
      <c r="AO228" s="6">
        <v>0</v>
      </c>
      <c r="AP228" s="6">
        <f t="shared" si="86"/>
        <v>0</v>
      </c>
      <c r="AQ228">
        <f t="shared" si="78"/>
        <v>0</v>
      </c>
    </row>
    <row r="229" spans="1:43" x14ac:dyDescent="0.3">
      <c r="A229" s="5">
        <f t="shared" si="87"/>
        <v>43678</v>
      </c>
      <c r="B229" s="6">
        <v>277.40457039999961</v>
      </c>
      <c r="C229" s="6">
        <v>48.635095800001174</v>
      </c>
      <c r="D229" s="6">
        <v>24.344000000000001</v>
      </c>
      <c r="E229" s="6">
        <f t="shared" si="82"/>
        <v>350.38366620000079</v>
      </c>
      <c r="F229">
        <f t="shared" si="79"/>
        <v>1</v>
      </c>
      <c r="G229" s="21">
        <f t="shared" si="88"/>
        <v>44043</v>
      </c>
      <c r="H229" s="6">
        <v>262.0902120000124</v>
      </c>
      <c r="I229" s="6">
        <v>51.340236300006509</v>
      </c>
      <c r="J229" s="6">
        <v>21.327000000000002</v>
      </c>
      <c r="K229" s="6">
        <f t="shared" si="83"/>
        <v>334.75744830001889</v>
      </c>
      <c r="L229">
        <f t="shared" si="80"/>
        <v>1</v>
      </c>
      <c r="M229" s="5">
        <f t="shared" si="89"/>
        <v>44409</v>
      </c>
      <c r="N229" s="25">
        <v>189.31643290007113</v>
      </c>
      <c r="O229" s="25">
        <v>41.312267900004983</v>
      </c>
      <c r="P229" s="25">
        <v>16.603000000000002</v>
      </c>
      <c r="Q229" s="6">
        <f t="shared" si="81"/>
        <v>247.23170080007611</v>
      </c>
      <c r="R229">
        <f t="shared" si="74"/>
        <v>0</v>
      </c>
      <c r="S229" s="5">
        <f t="shared" si="90"/>
        <v>44774</v>
      </c>
      <c r="T229" s="25">
        <v>266.76070430004597</v>
      </c>
      <c r="U229" s="25">
        <v>52.34163169999421</v>
      </c>
      <c r="V229" s="25">
        <v>22.697753299999981</v>
      </c>
      <c r="W229" s="6">
        <f t="shared" si="73"/>
        <v>341.80008930004016</v>
      </c>
      <c r="X229">
        <f t="shared" si="75"/>
        <v>1</v>
      </c>
      <c r="Z229" s="5">
        <f t="shared" si="91"/>
        <v>44774</v>
      </c>
      <c r="AA229" s="25">
        <v>0</v>
      </c>
      <c r="AB229" s="25">
        <v>0</v>
      </c>
      <c r="AC229" s="25">
        <v>0</v>
      </c>
      <c r="AD229" s="6">
        <f t="shared" si="84"/>
        <v>0</v>
      </c>
      <c r="AE229">
        <f t="shared" si="76"/>
        <v>0</v>
      </c>
      <c r="AF229" s="5">
        <f t="shared" si="92"/>
        <v>45504</v>
      </c>
      <c r="AG229" s="25">
        <v>0</v>
      </c>
      <c r="AH229" s="25">
        <v>0</v>
      </c>
      <c r="AI229" s="25">
        <v>0</v>
      </c>
      <c r="AJ229" s="6">
        <f t="shared" si="85"/>
        <v>0</v>
      </c>
      <c r="AK229">
        <f t="shared" si="77"/>
        <v>0</v>
      </c>
      <c r="AL229" s="5">
        <f t="shared" si="93"/>
        <v>45870</v>
      </c>
      <c r="AM229" s="25">
        <v>0</v>
      </c>
      <c r="AN229" s="25">
        <v>0</v>
      </c>
      <c r="AO229" s="25">
        <v>0</v>
      </c>
      <c r="AP229" s="6">
        <f t="shared" si="86"/>
        <v>0</v>
      </c>
      <c r="AQ229">
        <f t="shared" si="78"/>
        <v>0</v>
      </c>
    </row>
    <row r="230" spans="1:43" x14ac:dyDescent="0.3">
      <c r="A230" s="5">
        <f t="shared" si="87"/>
        <v>43679</v>
      </c>
      <c r="B230" s="6">
        <v>273.63322450006007</v>
      </c>
      <c r="C230" s="6">
        <v>50.058943399999293</v>
      </c>
      <c r="D230" s="6">
        <v>24.067</v>
      </c>
      <c r="E230" s="6">
        <f t="shared" si="82"/>
        <v>347.75916790005937</v>
      </c>
      <c r="F230">
        <f t="shared" si="79"/>
        <v>1</v>
      </c>
      <c r="G230" s="5">
        <f t="shared" si="88"/>
        <v>44044</v>
      </c>
      <c r="H230" s="25">
        <v>248.69335679996013</v>
      </c>
      <c r="I230" s="25">
        <v>50.182548799999061</v>
      </c>
      <c r="J230" s="25">
        <v>20.956</v>
      </c>
      <c r="K230" s="6">
        <f t="shared" si="83"/>
        <v>319.83190559995921</v>
      </c>
      <c r="L230">
        <f t="shared" si="80"/>
        <v>1</v>
      </c>
      <c r="M230" s="5">
        <f t="shared" si="89"/>
        <v>44410</v>
      </c>
      <c r="N230" s="25">
        <v>211.28182509994508</v>
      </c>
      <c r="O230" s="25">
        <v>51.327969099998477</v>
      </c>
      <c r="P230" s="25">
        <v>22.504000000000001</v>
      </c>
      <c r="Q230" s="6">
        <f t="shared" si="81"/>
        <v>285.11379419994358</v>
      </c>
      <c r="R230">
        <f t="shared" si="74"/>
        <v>1</v>
      </c>
      <c r="S230" s="5">
        <f t="shared" si="90"/>
        <v>44775</v>
      </c>
      <c r="T230" s="25">
        <v>285.99572859990599</v>
      </c>
      <c r="U230" s="25">
        <v>55.344287300005554</v>
      </c>
      <c r="V230" s="25">
        <v>24.798383600001223</v>
      </c>
      <c r="W230" s="6">
        <f t="shared" ref="W230:W273" si="94">SUM(T230:V230)</f>
        <v>366.13839949991274</v>
      </c>
      <c r="X230">
        <f t="shared" si="75"/>
        <v>1</v>
      </c>
      <c r="Z230" s="5">
        <f t="shared" si="91"/>
        <v>44775</v>
      </c>
      <c r="AA230" s="25">
        <v>0</v>
      </c>
      <c r="AB230" s="25">
        <v>0</v>
      </c>
      <c r="AC230" s="25">
        <v>0</v>
      </c>
      <c r="AD230" s="6">
        <f t="shared" si="84"/>
        <v>0</v>
      </c>
      <c r="AE230">
        <f t="shared" si="76"/>
        <v>0</v>
      </c>
      <c r="AF230" s="5">
        <f t="shared" si="92"/>
        <v>45505</v>
      </c>
      <c r="AG230" s="25">
        <v>0</v>
      </c>
      <c r="AH230" s="25">
        <v>0</v>
      </c>
      <c r="AI230" s="25">
        <v>0</v>
      </c>
      <c r="AJ230" s="6">
        <f t="shared" si="85"/>
        <v>0</v>
      </c>
      <c r="AK230">
        <f t="shared" si="77"/>
        <v>0</v>
      </c>
      <c r="AL230" s="5">
        <f t="shared" si="93"/>
        <v>45871</v>
      </c>
      <c r="AM230" s="25">
        <v>0</v>
      </c>
      <c r="AN230" s="25">
        <v>0</v>
      </c>
      <c r="AO230" s="25">
        <v>0</v>
      </c>
      <c r="AP230" s="6">
        <f t="shared" si="86"/>
        <v>0</v>
      </c>
      <c r="AQ230">
        <f t="shared" si="78"/>
        <v>0</v>
      </c>
    </row>
    <row r="231" spans="1:43" x14ac:dyDescent="0.3">
      <c r="A231" s="5">
        <f t="shared" si="87"/>
        <v>43680</v>
      </c>
      <c r="B231" s="6">
        <v>252.18960269999505</v>
      </c>
      <c r="C231" s="6">
        <v>49.074925000000746</v>
      </c>
      <c r="D231" s="6">
        <v>21.488</v>
      </c>
      <c r="E231" s="6">
        <f t="shared" si="82"/>
        <v>322.75252769999582</v>
      </c>
      <c r="F231">
        <f t="shared" si="79"/>
        <v>1</v>
      </c>
      <c r="G231" s="5">
        <f t="shared" si="88"/>
        <v>44045</v>
      </c>
      <c r="H231" s="25">
        <v>225.37114380002021</v>
      </c>
      <c r="I231" s="25">
        <v>40.525451399996875</v>
      </c>
      <c r="J231" s="25">
        <v>19.027999999999999</v>
      </c>
      <c r="K231" s="6">
        <f t="shared" si="83"/>
        <v>284.92459520001711</v>
      </c>
      <c r="L231">
        <f t="shared" si="80"/>
        <v>1</v>
      </c>
      <c r="M231" s="5">
        <f t="shared" si="89"/>
        <v>44411</v>
      </c>
      <c r="N231" s="25">
        <v>215.63355729997159</v>
      </c>
      <c r="O231" s="25">
        <v>54.000826700001952</v>
      </c>
      <c r="P231" s="25">
        <v>22.931000000000001</v>
      </c>
      <c r="Q231" s="6">
        <f t="shared" si="81"/>
        <v>292.56538399997351</v>
      </c>
      <c r="R231">
        <f t="shared" si="74"/>
        <v>1</v>
      </c>
      <c r="S231" s="5">
        <f t="shared" si="90"/>
        <v>44776</v>
      </c>
      <c r="T231" s="25">
        <v>283.86793310010432</v>
      </c>
      <c r="U231" s="25">
        <v>56.819525399997829</v>
      </c>
      <c r="V231" s="25">
        <v>25.773050999998812</v>
      </c>
      <c r="W231" s="6">
        <f t="shared" si="94"/>
        <v>366.46050950010095</v>
      </c>
      <c r="X231">
        <f t="shared" si="75"/>
        <v>1</v>
      </c>
      <c r="Z231" s="5">
        <f t="shared" si="91"/>
        <v>44776</v>
      </c>
      <c r="AA231" s="25">
        <v>0</v>
      </c>
      <c r="AB231" s="25">
        <v>0</v>
      </c>
      <c r="AC231" s="25">
        <v>0</v>
      </c>
      <c r="AD231" s="6">
        <f t="shared" si="84"/>
        <v>0</v>
      </c>
      <c r="AE231">
        <f t="shared" si="76"/>
        <v>0</v>
      </c>
      <c r="AF231" s="5">
        <f t="shared" si="92"/>
        <v>45506</v>
      </c>
      <c r="AG231" s="25">
        <v>0</v>
      </c>
      <c r="AH231" s="25">
        <v>0</v>
      </c>
      <c r="AI231" s="25">
        <v>0</v>
      </c>
      <c r="AJ231" s="6">
        <f t="shared" si="85"/>
        <v>0</v>
      </c>
      <c r="AK231">
        <f t="shared" si="77"/>
        <v>0</v>
      </c>
      <c r="AL231" s="5">
        <f t="shared" si="93"/>
        <v>45872</v>
      </c>
      <c r="AM231" s="25">
        <v>0</v>
      </c>
      <c r="AN231" s="25">
        <v>0</v>
      </c>
      <c r="AO231" s="25">
        <v>0</v>
      </c>
      <c r="AP231" s="6">
        <f t="shared" si="86"/>
        <v>0</v>
      </c>
      <c r="AQ231">
        <f t="shared" si="78"/>
        <v>0</v>
      </c>
    </row>
    <row r="232" spans="1:43" x14ac:dyDescent="0.3">
      <c r="A232" s="5">
        <f t="shared" si="87"/>
        <v>43681</v>
      </c>
      <c r="B232" s="6">
        <v>231.15056809997557</v>
      </c>
      <c r="C232" s="6">
        <v>40.526737099997696</v>
      </c>
      <c r="D232" s="6">
        <v>16.954999999999998</v>
      </c>
      <c r="E232" s="6">
        <f t="shared" si="82"/>
        <v>288.63230519997325</v>
      </c>
      <c r="F232">
        <f t="shared" si="79"/>
        <v>1</v>
      </c>
      <c r="G232" s="5">
        <f t="shared" si="88"/>
        <v>44046</v>
      </c>
      <c r="H232" s="25">
        <v>246.62892929995061</v>
      </c>
      <c r="I232" s="25">
        <v>49.250588399998847</v>
      </c>
      <c r="J232" s="25">
        <v>19.52853</v>
      </c>
      <c r="K232" s="6">
        <f t="shared" si="83"/>
        <v>315.40804769994946</v>
      </c>
      <c r="L232">
        <f t="shared" si="80"/>
        <v>1</v>
      </c>
      <c r="M232" s="5">
        <f t="shared" si="89"/>
        <v>44412</v>
      </c>
      <c r="N232" s="25">
        <v>237.16950999999045</v>
      </c>
      <c r="O232" s="25">
        <v>50.011332800000908</v>
      </c>
      <c r="P232" s="25">
        <v>22.748000000000001</v>
      </c>
      <c r="Q232" s="6">
        <f t="shared" si="81"/>
        <v>309.92884279999134</v>
      </c>
      <c r="R232">
        <f t="shared" si="74"/>
        <v>1</v>
      </c>
      <c r="S232" s="5">
        <f t="shared" si="90"/>
        <v>44777</v>
      </c>
      <c r="T232" s="25">
        <v>302.79668259990217</v>
      </c>
      <c r="U232" s="25">
        <v>56.24646580000222</v>
      </c>
      <c r="V232" s="25">
        <v>25.86016710000229</v>
      </c>
      <c r="W232" s="6">
        <f t="shared" si="94"/>
        <v>384.90331549990668</v>
      </c>
      <c r="X232">
        <f t="shared" si="75"/>
        <v>1</v>
      </c>
      <c r="Z232" s="5">
        <f t="shared" si="91"/>
        <v>44777</v>
      </c>
      <c r="AA232" s="25">
        <v>0</v>
      </c>
      <c r="AB232" s="25">
        <v>0</v>
      </c>
      <c r="AC232" s="25">
        <v>0</v>
      </c>
      <c r="AD232" s="6">
        <f t="shared" si="84"/>
        <v>0</v>
      </c>
      <c r="AE232">
        <f t="shared" si="76"/>
        <v>0</v>
      </c>
      <c r="AF232" s="5">
        <f t="shared" si="92"/>
        <v>45507</v>
      </c>
      <c r="AG232" s="25">
        <v>0</v>
      </c>
      <c r="AH232" s="25">
        <v>0</v>
      </c>
      <c r="AI232" s="25">
        <v>0</v>
      </c>
      <c r="AJ232" s="6">
        <f t="shared" si="85"/>
        <v>0</v>
      </c>
      <c r="AK232">
        <f t="shared" si="77"/>
        <v>0</v>
      </c>
      <c r="AL232" s="5">
        <f t="shared" si="93"/>
        <v>45873</v>
      </c>
      <c r="AM232" s="25">
        <v>0</v>
      </c>
      <c r="AN232" s="25">
        <v>0</v>
      </c>
      <c r="AO232" s="25">
        <v>0</v>
      </c>
      <c r="AP232" s="6">
        <f t="shared" si="86"/>
        <v>0</v>
      </c>
      <c r="AQ232">
        <f t="shared" si="78"/>
        <v>0</v>
      </c>
    </row>
    <row r="233" spans="1:43" x14ac:dyDescent="0.3">
      <c r="A233" s="5">
        <f t="shared" si="87"/>
        <v>43682</v>
      </c>
      <c r="B233" s="6">
        <v>267.5910623999834</v>
      </c>
      <c r="C233" s="6">
        <v>48.615276100002227</v>
      </c>
      <c r="D233" s="6">
        <v>20.571000000000002</v>
      </c>
      <c r="E233" s="6">
        <f t="shared" si="82"/>
        <v>336.77733849998566</v>
      </c>
      <c r="F233">
        <f t="shared" si="79"/>
        <v>1</v>
      </c>
      <c r="G233" s="5">
        <f t="shared" si="88"/>
        <v>44047</v>
      </c>
      <c r="H233" s="25">
        <v>250.16788920009137</v>
      </c>
      <c r="I233" s="25">
        <v>50.550774700000879</v>
      </c>
      <c r="J233" s="25">
        <v>20.953499999999998</v>
      </c>
      <c r="K233" s="6">
        <f t="shared" si="83"/>
        <v>321.67216390009224</v>
      </c>
      <c r="L233">
        <f t="shared" si="80"/>
        <v>1</v>
      </c>
      <c r="M233" s="5">
        <f t="shared" si="89"/>
        <v>44413</v>
      </c>
      <c r="N233" s="25">
        <v>236.86606739997865</v>
      </c>
      <c r="O233" s="25">
        <v>51.348993499994279</v>
      </c>
      <c r="P233" s="25">
        <v>23.974</v>
      </c>
      <c r="Q233" s="6">
        <f t="shared" si="81"/>
        <v>312.1890608999729</v>
      </c>
      <c r="R233">
        <f t="shared" si="74"/>
        <v>1</v>
      </c>
      <c r="S233" s="5">
        <f t="shared" si="90"/>
        <v>44778</v>
      </c>
      <c r="T233" s="25">
        <v>287.73570280003548</v>
      </c>
      <c r="U233" s="25">
        <v>56.413083699986338</v>
      </c>
      <c r="V233" s="25">
        <v>26.254211799997371</v>
      </c>
      <c r="W233" s="6">
        <f t="shared" si="94"/>
        <v>370.40299830001919</v>
      </c>
      <c r="X233">
        <f t="shared" si="75"/>
        <v>1</v>
      </c>
      <c r="Z233" s="5">
        <f t="shared" si="91"/>
        <v>44778</v>
      </c>
      <c r="AA233" s="25">
        <v>0</v>
      </c>
      <c r="AB233" s="25">
        <v>0</v>
      </c>
      <c r="AC233" s="25">
        <v>0</v>
      </c>
      <c r="AD233" s="6">
        <f t="shared" si="84"/>
        <v>0</v>
      </c>
      <c r="AE233">
        <f t="shared" si="76"/>
        <v>0</v>
      </c>
      <c r="AF233" s="5">
        <f t="shared" si="92"/>
        <v>45508</v>
      </c>
      <c r="AG233" s="25">
        <v>0</v>
      </c>
      <c r="AH233" s="25">
        <v>0</v>
      </c>
      <c r="AI233" s="25">
        <v>0</v>
      </c>
      <c r="AJ233" s="6">
        <f t="shared" si="85"/>
        <v>0</v>
      </c>
      <c r="AK233">
        <f t="shared" si="77"/>
        <v>0</v>
      </c>
      <c r="AL233" s="5">
        <f t="shared" si="93"/>
        <v>45874</v>
      </c>
      <c r="AM233" s="25">
        <v>0</v>
      </c>
      <c r="AN233" s="25">
        <v>0</v>
      </c>
      <c r="AO233" s="25">
        <v>0</v>
      </c>
      <c r="AP233" s="6">
        <f t="shared" si="86"/>
        <v>0</v>
      </c>
      <c r="AQ233">
        <f t="shared" si="78"/>
        <v>0</v>
      </c>
    </row>
    <row r="234" spans="1:43" x14ac:dyDescent="0.3">
      <c r="A234" s="5">
        <f t="shared" si="87"/>
        <v>43683</v>
      </c>
      <c r="B234" s="6">
        <v>271.38456509995461</v>
      </c>
      <c r="C234" s="6">
        <v>49.93836149999872</v>
      </c>
      <c r="D234" s="6">
        <v>23.036000000000001</v>
      </c>
      <c r="E234" s="6">
        <f t="shared" si="82"/>
        <v>344.35892659995335</v>
      </c>
      <c r="F234">
        <f t="shared" si="79"/>
        <v>1</v>
      </c>
      <c r="G234" s="5">
        <f t="shared" si="88"/>
        <v>44048</v>
      </c>
      <c r="H234" s="25">
        <v>256.49211649990082</v>
      </c>
      <c r="I234" s="25">
        <v>50.805286100000146</v>
      </c>
      <c r="J234" s="25">
        <v>20.9621</v>
      </c>
      <c r="K234" s="6">
        <f t="shared" si="83"/>
        <v>328.259502599901</v>
      </c>
      <c r="L234">
        <f t="shared" si="80"/>
        <v>1</v>
      </c>
      <c r="M234" s="5">
        <f t="shared" si="89"/>
        <v>44414</v>
      </c>
      <c r="N234" s="25">
        <v>218.35780540001392</v>
      </c>
      <c r="O234" s="25">
        <v>53.837104600004849</v>
      </c>
      <c r="P234" s="25">
        <v>22.609000000000002</v>
      </c>
      <c r="Q234" s="6">
        <f t="shared" si="81"/>
        <v>294.80391000001873</v>
      </c>
      <c r="R234">
        <f t="shared" si="74"/>
        <v>1</v>
      </c>
      <c r="S234" s="5">
        <f t="shared" si="90"/>
        <v>44779</v>
      </c>
      <c r="T234" s="25">
        <v>281.76166690003873</v>
      </c>
      <c r="U234" s="25">
        <v>56.577116300001741</v>
      </c>
      <c r="V234" s="25">
        <v>23.179459700001402</v>
      </c>
      <c r="W234" s="6">
        <f t="shared" si="94"/>
        <v>361.51824290004191</v>
      </c>
      <c r="X234">
        <f t="shared" si="75"/>
        <v>1</v>
      </c>
      <c r="Z234" s="5">
        <f t="shared" si="91"/>
        <v>44779</v>
      </c>
      <c r="AA234" s="25">
        <v>0</v>
      </c>
      <c r="AB234" s="25">
        <v>0</v>
      </c>
      <c r="AC234" s="25">
        <v>0</v>
      </c>
      <c r="AD234" s="6">
        <f t="shared" si="84"/>
        <v>0</v>
      </c>
      <c r="AE234">
        <f t="shared" si="76"/>
        <v>0</v>
      </c>
      <c r="AF234" s="5">
        <f t="shared" si="92"/>
        <v>45509</v>
      </c>
      <c r="AG234" s="25">
        <v>0</v>
      </c>
      <c r="AH234" s="25">
        <v>0</v>
      </c>
      <c r="AI234" s="25">
        <v>0</v>
      </c>
      <c r="AJ234" s="6">
        <f t="shared" si="85"/>
        <v>0</v>
      </c>
      <c r="AK234">
        <f t="shared" si="77"/>
        <v>0</v>
      </c>
      <c r="AL234" s="5">
        <f t="shared" si="93"/>
        <v>45875</v>
      </c>
      <c r="AM234" s="25">
        <v>0</v>
      </c>
      <c r="AN234" s="25">
        <v>0</v>
      </c>
      <c r="AO234" s="25">
        <v>0</v>
      </c>
      <c r="AP234" s="6">
        <f t="shared" si="86"/>
        <v>0</v>
      </c>
      <c r="AQ234">
        <f t="shared" si="78"/>
        <v>0</v>
      </c>
    </row>
    <row r="235" spans="1:43" x14ac:dyDescent="0.3">
      <c r="A235" s="5">
        <f t="shared" si="87"/>
        <v>43684</v>
      </c>
      <c r="B235" s="6">
        <v>273.44906860005858</v>
      </c>
      <c r="C235" s="6">
        <v>48.416987300001082</v>
      </c>
      <c r="D235" s="6">
        <v>22.879000000000001</v>
      </c>
      <c r="E235" s="6">
        <f t="shared" si="82"/>
        <v>344.7450559000597</v>
      </c>
      <c r="F235">
        <f t="shared" si="79"/>
        <v>1</v>
      </c>
      <c r="G235" s="5">
        <f t="shared" si="88"/>
        <v>44049</v>
      </c>
      <c r="H235" s="25">
        <v>253.80740430009365</v>
      </c>
      <c r="I235" s="25">
        <v>51.299463399998842</v>
      </c>
      <c r="J235" s="25">
        <v>22.009</v>
      </c>
      <c r="K235" s="6">
        <f t="shared" si="83"/>
        <v>327.11586770009251</v>
      </c>
      <c r="L235">
        <f t="shared" si="80"/>
        <v>1</v>
      </c>
      <c r="M235" s="5">
        <f t="shared" si="89"/>
        <v>44415</v>
      </c>
      <c r="N235" s="25">
        <v>203.85044940006733</v>
      </c>
      <c r="O235" s="25">
        <v>48.975700199998919</v>
      </c>
      <c r="P235" s="25">
        <v>22.427</v>
      </c>
      <c r="Q235" s="6">
        <f t="shared" si="81"/>
        <v>275.25314960006625</v>
      </c>
      <c r="R235">
        <f t="shared" si="74"/>
        <v>1</v>
      </c>
      <c r="S235" s="5">
        <f t="shared" si="90"/>
        <v>44780</v>
      </c>
      <c r="T235" s="25">
        <v>247.39767049992085</v>
      </c>
      <c r="U235" s="25">
        <v>50.426155600011349</v>
      </c>
      <c r="V235" s="25">
        <v>18.538481100000208</v>
      </c>
      <c r="W235" s="6">
        <f t="shared" si="94"/>
        <v>316.36230719993239</v>
      </c>
      <c r="X235">
        <f t="shared" si="75"/>
        <v>1</v>
      </c>
      <c r="Z235" s="5">
        <f t="shared" si="91"/>
        <v>44780</v>
      </c>
      <c r="AA235" s="25">
        <v>0</v>
      </c>
      <c r="AB235" s="25">
        <v>0</v>
      </c>
      <c r="AC235" s="25">
        <v>0</v>
      </c>
      <c r="AD235" s="6">
        <f t="shared" si="84"/>
        <v>0</v>
      </c>
      <c r="AE235">
        <f t="shared" si="76"/>
        <v>0</v>
      </c>
      <c r="AF235" s="5">
        <f t="shared" si="92"/>
        <v>45510</v>
      </c>
      <c r="AG235" s="25">
        <v>0</v>
      </c>
      <c r="AH235" s="25">
        <v>0</v>
      </c>
      <c r="AI235" s="25">
        <v>0</v>
      </c>
      <c r="AJ235" s="6">
        <f t="shared" si="85"/>
        <v>0</v>
      </c>
      <c r="AK235">
        <f t="shared" si="77"/>
        <v>0</v>
      </c>
      <c r="AL235" s="5">
        <f t="shared" si="93"/>
        <v>45876</v>
      </c>
      <c r="AM235" s="25">
        <v>0</v>
      </c>
      <c r="AN235" s="25">
        <v>0</v>
      </c>
      <c r="AO235" s="25">
        <v>0</v>
      </c>
      <c r="AP235" s="6">
        <f t="shared" si="86"/>
        <v>0</v>
      </c>
      <c r="AQ235">
        <f t="shared" si="78"/>
        <v>0</v>
      </c>
    </row>
    <row r="236" spans="1:43" x14ac:dyDescent="0.3">
      <c r="A236" s="5">
        <f t="shared" si="87"/>
        <v>43685</v>
      </c>
      <c r="B236" s="6">
        <v>267.19711529994009</v>
      </c>
      <c r="C236" s="6">
        <v>46.509188400000333</v>
      </c>
      <c r="D236" s="6">
        <v>22.786999999999999</v>
      </c>
      <c r="E236" s="6">
        <f t="shared" si="82"/>
        <v>336.49330369994038</v>
      </c>
      <c r="F236">
        <f t="shared" si="79"/>
        <v>1</v>
      </c>
      <c r="G236" s="5">
        <f t="shared" si="88"/>
        <v>44050</v>
      </c>
      <c r="H236" s="25">
        <v>251.21310759997368</v>
      </c>
      <c r="I236" s="25">
        <v>50.21727170000225</v>
      </c>
      <c r="J236" s="25">
        <v>21.009</v>
      </c>
      <c r="K236" s="6">
        <f t="shared" si="83"/>
        <v>322.43937929997594</v>
      </c>
      <c r="L236">
        <f t="shared" si="80"/>
        <v>1</v>
      </c>
      <c r="M236" s="5">
        <f t="shared" si="89"/>
        <v>44416</v>
      </c>
      <c r="N236" s="25">
        <v>182.7749634000063</v>
      </c>
      <c r="O236" s="25">
        <v>41.534237199999389</v>
      </c>
      <c r="P236" s="25">
        <v>15.019</v>
      </c>
      <c r="Q236" s="6">
        <f t="shared" si="81"/>
        <v>239.32820060000569</v>
      </c>
      <c r="R236">
        <f t="shared" si="74"/>
        <v>0</v>
      </c>
      <c r="S236" s="5">
        <f t="shared" si="90"/>
        <v>44781</v>
      </c>
      <c r="T236" s="25">
        <v>300.69636110007764</v>
      </c>
      <c r="U236" s="25">
        <v>57.488971099987623</v>
      </c>
      <c r="V236" s="25">
        <v>24.239348100001457</v>
      </c>
      <c r="W236" s="6">
        <f t="shared" si="94"/>
        <v>382.42468030006671</v>
      </c>
      <c r="X236">
        <f t="shared" si="75"/>
        <v>1</v>
      </c>
      <c r="Z236" s="5">
        <f t="shared" si="91"/>
        <v>44781</v>
      </c>
      <c r="AA236" s="25">
        <v>0</v>
      </c>
      <c r="AB236" s="25">
        <v>0</v>
      </c>
      <c r="AC236" s="25">
        <v>0</v>
      </c>
      <c r="AD236" s="6">
        <f t="shared" si="84"/>
        <v>0</v>
      </c>
      <c r="AE236">
        <f t="shared" si="76"/>
        <v>0</v>
      </c>
      <c r="AF236" s="5">
        <f t="shared" si="92"/>
        <v>45511</v>
      </c>
      <c r="AG236" s="25">
        <v>0</v>
      </c>
      <c r="AH236" s="25">
        <v>0</v>
      </c>
      <c r="AI236" s="25">
        <v>0</v>
      </c>
      <c r="AJ236" s="6">
        <f t="shared" si="85"/>
        <v>0</v>
      </c>
      <c r="AK236">
        <f t="shared" si="77"/>
        <v>0</v>
      </c>
      <c r="AL236" s="5">
        <f t="shared" si="93"/>
        <v>45877</v>
      </c>
      <c r="AM236" s="25">
        <v>0</v>
      </c>
      <c r="AN236" s="25">
        <v>0</v>
      </c>
      <c r="AO236" s="25">
        <v>0</v>
      </c>
      <c r="AP236" s="6">
        <f t="shared" si="86"/>
        <v>0</v>
      </c>
      <c r="AQ236">
        <f t="shared" si="78"/>
        <v>0</v>
      </c>
    </row>
    <row r="237" spans="1:43" x14ac:dyDescent="0.3">
      <c r="A237" s="5">
        <f t="shared" si="87"/>
        <v>43686</v>
      </c>
      <c r="B237" s="6">
        <v>258.15103530001642</v>
      </c>
      <c r="C237" s="6">
        <v>44.62999989999831</v>
      </c>
      <c r="D237" s="6">
        <v>23.591999999999999</v>
      </c>
      <c r="E237" s="6">
        <f t="shared" si="82"/>
        <v>326.37303520001473</v>
      </c>
      <c r="F237">
        <f t="shared" si="79"/>
        <v>1</v>
      </c>
      <c r="G237" s="5">
        <f t="shared" si="88"/>
        <v>44051</v>
      </c>
      <c r="H237" s="25">
        <v>238.79035669994354</v>
      </c>
      <c r="I237" s="25">
        <v>48.793345799997446</v>
      </c>
      <c r="J237" s="25">
        <v>20.515999999999998</v>
      </c>
      <c r="K237" s="6">
        <f t="shared" si="83"/>
        <v>308.09970249994103</v>
      </c>
      <c r="L237">
        <f t="shared" si="80"/>
        <v>1</v>
      </c>
      <c r="M237" s="5">
        <f t="shared" si="89"/>
        <v>44417</v>
      </c>
      <c r="N237" s="25">
        <v>197.34738660001756</v>
      </c>
      <c r="O237" s="25">
        <v>50.275043899998067</v>
      </c>
      <c r="P237" s="25">
        <v>21.719000000000001</v>
      </c>
      <c r="Q237" s="6">
        <f t="shared" si="81"/>
        <v>269.34143050001563</v>
      </c>
      <c r="R237">
        <f t="shared" si="74"/>
        <v>1</v>
      </c>
      <c r="S237" s="5">
        <f t="shared" si="90"/>
        <v>44782</v>
      </c>
      <c r="T237" s="25">
        <v>293.72896710002425</v>
      </c>
      <c r="U237" s="25">
        <v>58.439141100004314</v>
      </c>
      <c r="V237" s="25">
        <v>26.091971599998651</v>
      </c>
      <c r="W237" s="6">
        <f t="shared" si="94"/>
        <v>378.2600798000272</v>
      </c>
      <c r="X237">
        <f t="shared" si="75"/>
        <v>1</v>
      </c>
      <c r="Z237" s="5">
        <f t="shared" si="91"/>
        <v>44782</v>
      </c>
      <c r="AA237" s="25">
        <v>0</v>
      </c>
      <c r="AB237" s="25">
        <v>0</v>
      </c>
      <c r="AC237" s="25">
        <v>0</v>
      </c>
      <c r="AD237" s="6">
        <f t="shared" si="84"/>
        <v>0</v>
      </c>
      <c r="AE237">
        <f t="shared" si="76"/>
        <v>0</v>
      </c>
      <c r="AF237" s="5">
        <f t="shared" si="92"/>
        <v>45512</v>
      </c>
      <c r="AG237" s="25">
        <v>0</v>
      </c>
      <c r="AH237" s="25">
        <v>0</v>
      </c>
      <c r="AI237" s="25">
        <v>0</v>
      </c>
      <c r="AJ237" s="6">
        <f t="shared" si="85"/>
        <v>0</v>
      </c>
      <c r="AK237">
        <f t="shared" si="77"/>
        <v>0</v>
      </c>
      <c r="AL237" s="5">
        <f t="shared" si="93"/>
        <v>45878</v>
      </c>
      <c r="AM237" s="25">
        <v>0</v>
      </c>
      <c r="AN237" s="25">
        <v>0</v>
      </c>
      <c r="AO237" s="25">
        <v>0</v>
      </c>
      <c r="AP237" s="6">
        <f t="shared" si="86"/>
        <v>0</v>
      </c>
      <c r="AQ237">
        <f t="shared" si="78"/>
        <v>0</v>
      </c>
    </row>
    <row r="238" spans="1:43" x14ac:dyDescent="0.3">
      <c r="A238" s="5">
        <f t="shared" si="87"/>
        <v>43687</v>
      </c>
      <c r="B238" s="6">
        <v>244.74051520001888</v>
      </c>
      <c r="C238" s="6">
        <v>46.803461699999872</v>
      </c>
      <c r="D238" s="6">
        <v>23.484000000000002</v>
      </c>
      <c r="E238" s="6">
        <f t="shared" si="82"/>
        <v>315.0279769000187</v>
      </c>
      <c r="F238">
        <f t="shared" si="79"/>
        <v>1</v>
      </c>
      <c r="G238" s="5">
        <f t="shared" si="88"/>
        <v>44052</v>
      </c>
      <c r="H238" s="25">
        <v>226.98806110000609</v>
      </c>
      <c r="I238" s="25">
        <v>40.900208700001237</v>
      </c>
      <c r="J238" s="25">
        <v>17.68</v>
      </c>
      <c r="K238" s="6">
        <f t="shared" si="83"/>
        <v>285.56826980000733</v>
      </c>
      <c r="L238">
        <f t="shared" si="80"/>
        <v>1</v>
      </c>
      <c r="M238" s="5">
        <f t="shared" si="89"/>
        <v>44418</v>
      </c>
      <c r="N238" s="25">
        <v>209.47233949995041</v>
      </c>
      <c r="O238" s="25">
        <v>51.215427600003778</v>
      </c>
      <c r="P238" s="25">
        <v>22.396999999999998</v>
      </c>
      <c r="Q238" s="6">
        <f t="shared" si="81"/>
        <v>283.08476709995415</v>
      </c>
      <c r="R238">
        <f t="shared" si="74"/>
        <v>1</v>
      </c>
      <c r="S238" s="5">
        <f t="shared" si="90"/>
        <v>44783</v>
      </c>
      <c r="T238" s="25">
        <v>289.13600529992578</v>
      </c>
      <c r="U238" s="25">
        <v>58.341886900007722</v>
      </c>
      <c r="V238" s="25">
        <v>26.346304499998457</v>
      </c>
      <c r="W238" s="6">
        <f t="shared" si="94"/>
        <v>373.82419669993197</v>
      </c>
      <c r="X238">
        <f t="shared" si="75"/>
        <v>1</v>
      </c>
      <c r="Z238" s="5">
        <f t="shared" si="91"/>
        <v>44783</v>
      </c>
      <c r="AA238" s="25">
        <v>0</v>
      </c>
      <c r="AB238" s="25">
        <v>0</v>
      </c>
      <c r="AC238" s="25">
        <v>0</v>
      </c>
      <c r="AD238" s="6">
        <f t="shared" si="84"/>
        <v>0</v>
      </c>
      <c r="AE238">
        <f t="shared" si="76"/>
        <v>0</v>
      </c>
      <c r="AF238" s="5">
        <f t="shared" si="92"/>
        <v>45513</v>
      </c>
      <c r="AG238" s="25">
        <v>0</v>
      </c>
      <c r="AH238" s="25">
        <v>0</v>
      </c>
      <c r="AI238" s="25">
        <v>0</v>
      </c>
      <c r="AJ238" s="6">
        <f t="shared" si="85"/>
        <v>0</v>
      </c>
      <c r="AK238">
        <f t="shared" si="77"/>
        <v>0</v>
      </c>
      <c r="AL238" s="5">
        <f t="shared" si="93"/>
        <v>45879</v>
      </c>
      <c r="AM238" s="25">
        <v>0</v>
      </c>
      <c r="AN238" s="25">
        <v>0</v>
      </c>
      <c r="AO238" s="25">
        <v>0</v>
      </c>
      <c r="AP238" s="6">
        <f t="shared" si="86"/>
        <v>0</v>
      </c>
      <c r="AQ238">
        <f t="shared" si="78"/>
        <v>0</v>
      </c>
    </row>
    <row r="239" spans="1:43" x14ac:dyDescent="0.3">
      <c r="A239" s="5">
        <f t="shared" si="87"/>
        <v>43688</v>
      </c>
      <c r="B239" s="6">
        <v>231.7142921000719</v>
      </c>
      <c r="C239" s="6">
        <v>41.098959300000217</v>
      </c>
      <c r="D239" s="6">
        <v>16.824999999999999</v>
      </c>
      <c r="E239" s="6">
        <f t="shared" si="82"/>
        <v>289.63825140007208</v>
      </c>
      <c r="F239">
        <f t="shared" si="79"/>
        <v>1</v>
      </c>
      <c r="G239" s="5">
        <f t="shared" si="88"/>
        <v>44053</v>
      </c>
      <c r="H239" s="25">
        <v>252.04608249998094</v>
      </c>
      <c r="I239" s="25">
        <v>52.073577399998904</v>
      </c>
      <c r="J239" s="25">
        <v>21.654</v>
      </c>
      <c r="K239" s="6">
        <f t="shared" si="83"/>
        <v>325.77365989997986</v>
      </c>
      <c r="L239">
        <f t="shared" si="80"/>
        <v>1</v>
      </c>
      <c r="M239" s="5">
        <f t="shared" si="89"/>
        <v>44419</v>
      </c>
      <c r="N239" s="25">
        <v>224.1854742000103</v>
      </c>
      <c r="O239" s="25">
        <v>51.341226999998092</v>
      </c>
      <c r="P239" s="25">
        <v>23.625</v>
      </c>
      <c r="Q239" s="6">
        <f t="shared" si="81"/>
        <v>299.1517012000084</v>
      </c>
      <c r="R239">
        <f t="shared" si="74"/>
        <v>1</v>
      </c>
      <c r="S239" s="5">
        <f t="shared" si="90"/>
        <v>44784</v>
      </c>
      <c r="T239" s="25">
        <v>282.55763020002843</v>
      </c>
      <c r="U239" s="25">
        <v>56.362911199986932</v>
      </c>
      <c r="V239" s="25">
        <v>26.363733900000806</v>
      </c>
      <c r="W239" s="6">
        <f t="shared" si="94"/>
        <v>365.28427530001613</v>
      </c>
      <c r="X239">
        <f t="shared" si="75"/>
        <v>1</v>
      </c>
      <c r="Z239" s="5">
        <f t="shared" si="91"/>
        <v>44784</v>
      </c>
      <c r="AA239" s="25">
        <v>0</v>
      </c>
      <c r="AB239" s="25">
        <v>0</v>
      </c>
      <c r="AC239" s="25">
        <v>0</v>
      </c>
      <c r="AD239" s="6">
        <f t="shared" si="84"/>
        <v>0</v>
      </c>
      <c r="AE239">
        <f t="shared" si="76"/>
        <v>0</v>
      </c>
      <c r="AF239" s="5">
        <f t="shared" si="92"/>
        <v>45514</v>
      </c>
      <c r="AG239" s="25">
        <v>0</v>
      </c>
      <c r="AH239" s="25">
        <v>0</v>
      </c>
      <c r="AI239" s="25">
        <v>0</v>
      </c>
      <c r="AJ239" s="6">
        <f t="shared" si="85"/>
        <v>0</v>
      </c>
      <c r="AK239">
        <f t="shared" si="77"/>
        <v>0</v>
      </c>
      <c r="AL239" s="5">
        <f t="shared" si="93"/>
        <v>45880</v>
      </c>
      <c r="AM239" s="25">
        <v>0</v>
      </c>
      <c r="AN239" s="25">
        <v>0</v>
      </c>
      <c r="AO239" s="25">
        <v>0</v>
      </c>
      <c r="AP239" s="6">
        <f t="shared" si="86"/>
        <v>0</v>
      </c>
      <c r="AQ239">
        <f t="shared" si="78"/>
        <v>0</v>
      </c>
    </row>
    <row r="240" spans="1:43" x14ac:dyDescent="0.3">
      <c r="A240" s="5">
        <f t="shared" si="87"/>
        <v>43689</v>
      </c>
      <c r="B240" s="6">
        <v>272.72854989993573</v>
      </c>
      <c r="C240" s="6">
        <v>50.296072000000628</v>
      </c>
      <c r="D240" s="6">
        <v>21.792000000000002</v>
      </c>
      <c r="E240" s="6">
        <f t="shared" si="82"/>
        <v>344.81662189993631</v>
      </c>
      <c r="F240">
        <f t="shared" si="79"/>
        <v>1</v>
      </c>
      <c r="G240" s="5">
        <f t="shared" si="88"/>
        <v>44054</v>
      </c>
      <c r="H240" s="25">
        <v>251.16686230003833</v>
      </c>
      <c r="I240" s="25">
        <v>51.295830800004303</v>
      </c>
      <c r="J240" s="25">
        <v>21.69</v>
      </c>
      <c r="K240" s="6">
        <f t="shared" si="83"/>
        <v>324.15269310004265</v>
      </c>
      <c r="L240">
        <f t="shared" si="80"/>
        <v>1</v>
      </c>
      <c r="M240" s="5">
        <f t="shared" si="89"/>
        <v>44420</v>
      </c>
      <c r="N240" s="25">
        <v>204.36526440000534</v>
      </c>
      <c r="O240" s="25">
        <v>50.742764100000265</v>
      </c>
      <c r="P240" s="25">
        <v>22.78</v>
      </c>
      <c r="Q240" s="6">
        <f t="shared" si="81"/>
        <v>277.88802850000559</v>
      </c>
      <c r="R240">
        <f t="shared" si="74"/>
        <v>1</v>
      </c>
      <c r="S240" s="5">
        <f t="shared" si="90"/>
        <v>44785</v>
      </c>
      <c r="T240" s="25">
        <v>282.00639590001106</v>
      </c>
      <c r="U240" s="25">
        <v>57.161701800003648</v>
      </c>
      <c r="V240" s="25">
        <v>23.776462100002217</v>
      </c>
      <c r="W240" s="6">
        <f t="shared" si="94"/>
        <v>362.94455980001692</v>
      </c>
      <c r="X240">
        <f t="shared" si="75"/>
        <v>1</v>
      </c>
      <c r="Z240" s="5">
        <f t="shared" si="91"/>
        <v>44785</v>
      </c>
      <c r="AA240" s="25">
        <v>0</v>
      </c>
      <c r="AB240" s="25">
        <v>0</v>
      </c>
      <c r="AC240" s="25">
        <v>0</v>
      </c>
      <c r="AD240" s="6">
        <f t="shared" si="84"/>
        <v>0</v>
      </c>
      <c r="AE240">
        <f t="shared" si="76"/>
        <v>0</v>
      </c>
      <c r="AF240" s="5">
        <f t="shared" si="92"/>
        <v>45515</v>
      </c>
      <c r="AG240" s="25">
        <v>0</v>
      </c>
      <c r="AH240" s="25">
        <v>0</v>
      </c>
      <c r="AI240" s="25">
        <v>0</v>
      </c>
      <c r="AJ240" s="6">
        <f t="shared" si="85"/>
        <v>0</v>
      </c>
      <c r="AK240">
        <f t="shared" si="77"/>
        <v>0</v>
      </c>
      <c r="AL240" s="5">
        <f t="shared" si="93"/>
        <v>45881</v>
      </c>
      <c r="AM240" s="25">
        <v>0</v>
      </c>
      <c r="AN240" s="25">
        <v>0</v>
      </c>
      <c r="AO240" s="25">
        <v>0</v>
      </c>
      <c r="AP240" s="6">
        <f t="shared" si="86"/>
        <v>0</v>
      </c>
      <c r="AQ240">
        <f t="shared" si="78"/>
        <v>0</v>
      </c>
    </row>
    <row r="241" spans="1:43" x14ac:dyDescent="0.3">
      <c r="A241" s="5">
        <f t="shared" si="87"/>
        <v>43690</v>
      </c>
      <c r="B241" s="6">
        <v>271.26960710000992</v>
      </c>
      <c r="C241" s="6">
        <v>50.976485899999737</v>
      </c>
      <c r="D241" s="6">
        <v>25.109000000000002</v>
      </c>
      <c r="E241" s="6">
        <f t="shared" si="82"/>
        <v>347.35509300000962</v>
      </c>
      <c r="F241">
        <f t="shared" si="79"/>
        <v>1</v>
      </c>
      <c r="G241" s="5">
        <f t="shared" si="88"/>
        <v>44055</v>
      </c>
      <c r="H241" s="25">
        <v>244.52802090001106</v>
      </c>
      <c r="I241" s="25">
        <v>49.213374600000677</v>
      </c>
      <c r="J241" s="25">
        <v>21.209</v>
      </c>
      <c r="K241" s="6">
        <f t="shared" si="83"/>
        <v>314.95039550001172</v>
      </c>
      <c r="L241">
        <f t="shared" si="80"/>
        <v>1</v>
      </c>
      <c r="M241" s="5">
        <f t="shared" si="89"/>
        <v>44421</v>
      </c>
      <c r="N241" s="25">
        <v>215.13176440000535</v>
      </c>
      <c r="O241" s="25">
        <v>47.178620700001716</v>
      </c>
      <c r="P241" s="25">
        <v>22.166</v>
      </c>
      <c r="Q241" s="6">
        <f t="shared" si="81"/>
        <v>284.47638510000706</v>
      </c>
      <c r="R241">
        <f t="shared" si="74"/>
        <v>1</v>
      </c>
      <c r="S241" s="5">
        <f t="shared" si="90"/>
        <v>44786</v>
      </c>
      <c r="T241" s="25">
        <v>266.69098720002177</v>
      </c>
      <c r="U241" s="25">
        <v>55.243138199999926</v>
      </c>
      <c r="V241" s="25">
        <v>21.94776289999718</v>
      </c>
      <c r="W241" s="6">
        <f t="shared" si="94"/>
        <v>343.88188830001889</v>
      </c>
      <c r="X241">
        <f t="shared" si="75"/>
        <v>1</v>
      </c>
      <c r="Z241" s="5">
        <f t="shared" si="91"/>
        <v>44786</v>
      </c>
      <c r="AA241" s="25">
        <v>0</v>
      </c>
      <c r="AB241" s="25">
        <v>0</v>
      </c>
      <c r="AC241" s="25">
        <v>0</v>
      </c>
      <c r="AD241" s="6">
        <f t="shared" si="84"/>
        <v>0</v>
      </c>
      <c r="AE241">
        <f t="shared" si="76"/>
        <v>0</v>
      </c>
      <c r="AF241" s="5">
        <f t="shared" si="92"/>
        <v>45516</v>
      </c>
      <c r="AG241" s="25">
        <v>0</v>
      </c>
      <c r="AH241" s="25">
        <v>0</v>
      </c>
      <c r="AI241" s="25">
        <v>0</v>
      </c>
      <c r="AJ241" s="6">
        <f t="shared" si="85"/>
        <v>0</v>
      </c>
      <c r="AK241">
        <f t="shared" si="77"/>
        <v>0</v>
      </c>
      <c r="AL241" s="5">
        <f t="shared" si="93"/>
        <v>45882</v>
      </c>
      <c r="AM241" s="25">
        <v>0</v>
      </c>
      <c r="AN241" s="25">
        <v>0</v>
      </c>
      <c r="AO241" s="25">
        <v>0</v>
      </c>
      <c r="AP241" s="6">
        <f t="shared" si="86"/>
        <v>0</v>
      </c>
      <c r="AQ241">
        <f t="shared" si="78"/>
        <v>0</v>
      </c>
    </row>
    <row r="242" spans="1:43" x14ac:dyDescent="0.3">
      <c r="A242" s="5">
        <f t="shared" si="87"/>
        <v>43691</v>
      </c>
      <c r="B242" s="6">
        <v>262.32871109998229</v>
      </c>
      <c r="C242" s="6">
        <v>48.979939199998974</v>
      </c>
      <c r="D242" s="6">
        <v>24.917999999999999</v>
      </c>
      <c r="E242" s="6">
        <f t="shared" si="82"/>
        <v>336.22665029998126</v>
      </c>
      <c r="F242">
        <f t="shared" si="79"/>
        <v>1</v>
      </c>
      <c r="G242" s="5">
        <f t="shared" si="88"/>
        <v>44056</v>
      </c>
      <c r="H242" s="25">
        <v>276.0551626999378</v>
      </c>
      <c r="I242" s="25">
        <v>49.951890000000596</v>
      </c>
      <c r="J242" s="25">
        <v>20.818900000000003</v>
      </c>
      <c r="K242" s="6">
        <f t="shared" si="83"/>
        <v>346.8259526999384</v>
      </c>
      <c r="L242">
        <f t="shared" si="80"/>
        <v>1</v>
      </c>
      <c r="M242" s="5">
        <f t="shared" si="89"/>
        <v>44422</v>
      </c>
      <c r="N242" s="25">
        <v>242.09634179997445</v>
      </c>
      <c r="O242" s="25">
        <v>50.516924999997016</v>
      </c>
      <c r="P242" s="25">
        <v>21.437999999999999</v>
      </c>
      <c r="Q242" s="6">
        <f t="shared" si="81"/>
        <v>314.05126679997147</v>
      </c>
      <c r="R242">
        <f t="shared" si="74"/>
        <v>1</v>
      </c>
      <c r="S242" s="5">
        <f t="shared" si="90"/>
        <v>44787</v>
      </c>
      <c r="T242" s="25">
        <v>232.35844669997692</v>
      </c>
      <c r="U242" s="25">
        <v>52.022940700009464</v>
      </c>
      <c r="V242" s="25">
        <v>18.620637699999381</v>
      </c>
      <c r="W242" s="6">
        <f t="shared" si="94"/>
        <v>303.00202509998581</v>
      </c>
      <c r="X242">
        <f t="shared" si="75"/>
        <v>1</v>
      </c>
      <c r="Z242" s="5">
        <f t="shared" si="91"/>
        <v>44787</v>
      </c>
      <c r="AA242" s="25">
        <v>0</v>
      </c>
      <c r="AB242" s="25">
        <v>0</v>
      </c>
      <c r="AC242" s="25">
        <v>0</v>
      </c>
      <c r="AD242" s="6">
        <f t="shared" si="84"/>
        <v>0</v>
      </c>
      <c r="AE242">
        <f t="shared" si="76"/>
        <v>0</v>
      </c>
      <c r="AF242" s="5">
        <f t="shared" si="92"/>
        <v>45517</v>
      </c>
      <c r="AG242" s="25">
        <v>0</v>
      </c>
      <c r="AH242" s="25">
        <v>0</v>
      </c>
      <c r="AI242" s="25">
        <v>0</v>
      </c>
      <c r="AJ242" s="6">
        <f t="shared" si="85"/>
        <v>0</v>
      </c>
      <c r="AK242">
        <f t="shared" si="77"/>
        <v>0</v>
      </c>
      <c r="AL242" s="5">
        <f t="shared" si="93"/>
        <v>45883</v>
      </c>
      <c r="AM242" s="25">
        <v>0</v>
      </c>
      <c r="AN242" s="25">
        <v>0</v>
      </c>
      <c r="AO242" s="25">
        <v>0</v>
      </c>
      <c r="AP242" s="6">
        <f t="shared" si="86"/>
        <v>0</v>
      </c>
      <c r="AQ242">
        <f t="shared" si="78"/>
        <v>0</v>
      </c>
    </row>
    <row r="243" spans="1:43" x14ac:dyDescent="0.3">
      <c r="A243" s="5">
        <f t="shared" si="87"/>
        <v>43692</v>
      </c>
      <c r="B243" s="6">
        <v>228.00957969999314</v>
      </c>
      <c r="C243" s="6">
        <v>43.201543200001119</v>
      </c>
      <c r="D243" s="6">
        <v>17.946000000000002</v>
      </c>
      <c r="E243" s="6">
        <f t="shared" si="82"/>
        <v>289.15712289999431</v>
      </c>
      <c r="F243">
        <f t="shared" si="79"/>
        <v>1</v>
      </c>
      <c r="G243" s="5">
        <f t="shared" si="88"/>
        <v>44057</v>
      </c>
      <c r="H243" s="25">
        <v>251.92247150003911</v>
      </c>
      <c r="I243" s="25">
        <v>50.41478069999814</v>
      </c>
      <c r="J243" s="25">
        <v>21.474599999999999</v>
      </c>
      <c r="K243" s="6">
        <f t="shared" si="83"/>
        <v>323.81185220003726</v>
      </c>
      <c r="L243">
        <f t="shared" si="80"/>
        <v>1</v>
      </c>
      <c r="M243" s="5">
        <f t="shared" si="89"/>
        <v>44423</v>
      </c>
      <c r="N243" s="25">
        <v>223.33477110004426</v>
      </c>
      <c r="O243" s="25">
        <v>44.761468000002203</v>
      </c>
      <c r="P243" s="25">
        <v>16.510999999999999</v>
      </c>
      <c r="Q243" s="6">
        <f t="shared" si="81"/>
        <v>284.60723910004651</v>
      </c>
      <c r="R243">
        <f t="shared" si="74"/>
        <v>1</v>
      </c>
      <c r="S243" s="5">
        <f t="shared" si="90"/>
        <v>44788</v>
      </c>
      <c r="T243" s="25">
        <v>246.6551590999365</v>
      </c>
      <c r="U243" s="25">
        <v>51.163266399994491</v>
      </c>
      <c r="V243" s="25">
        <v>17.250623000003397</v>
      </c>
      <c r="W243" s="6">
        <f t="shared" si="94"/>
        <v>315.06904849993435</v>
      </c>
      <c r="X243">
        <f t="shared" si="75"/>
        <v>1</v>
      </c>
      <c r="Z243" s="5">
        <f t="shared" si="91"/>
        <v>44788</v>
      </c>
      <c r="AA243" s="25">
        <v>0</v>
      </c>
      <c r="AB243" s="25">
        <v>0</v>
      </c>
      <c r="AC243" s="25">
        <v>0</v>
      </c>
      <c r="AD243" s="6">
        <f t="shared" si="84"/>
        <v>0</v>
      </c>
      <c r="AE243">
        <f t="shared" si="76"/>
        <v>0</v>
      </c>
      <c r="AF243" s="5">
        <f t="shared" si="92"/>
        <v>45518</v>
      </c>
      <c r="AG243" s="25">
        <v>0</v>
      </c>
      <c r="AH243" s="25">
        <v>0</v>
      </c>
      <c r="AI243" s="25">
        <v>0</v>
      </c>
      <c r="AJ243" s="6">
        <f t="shared" si="85"/>
        <v>0</v>
      </c>
      <c r="AK243">
        <f t="shared" si="77"/>
        <v>0</v>
      </c>
      <c r="AL243" s="5">
        <f t="shared" si="93"/>
        <v>45884</v>
      </c>
      <c r="AM243" s="25">
        <v>0</v>
      </c>
      <c r="AN243" s="25">
        <v>0</v>
      </c>
      <c r="AO243" s="25">
        <v>0</v>
      </c>
      <c r="AP243" s="6">
        <f t="shared" si="86"/>
        <v>0</v>
      </c>
      <c r="AQ243">
        <f t="shared" si="78"/>
        <v>0</v>
      </c>
    </row>
    <row r="244" spans="1:43" x14ac:dyDescent="0.3">
      <c r="A244" s="5">
        <f t="shared" si="87"/>
        <v>43693</v>
      </c>
      <c r="B244" s="6">
        <v>260.91621890008452</v>
      </c>
      <c r="C244" s="6">
        <v>47.411840300001202</v>
      </c>
      <c r="D244" s="6">
        <v>26.401</v>
      </c>
      <c r="E244" s="6">
        <f t="shared" si="82"/>
        <v>334.72905920008571</v>
      </c>
      <c r="F244">
        <f t="shared" si="79"/>
        <v>1</v>
      </c>
      <c r="G244" s="5">
        <f t="shared" si="88"/>
        <v>44058</v>
      </c>
      <c r="H244" s="25">
        <v>236.91097969996929</v>
      </c>
      <c r="I244" s="25">
        <v>41.061291000001134</v>
      </c>
      <c r="J244" s="25">
        <v>19.918599999999998</v>
      </c>
      <c r="K244" s="6">
        <f t="shared" si="83"/>
        <v>297.89087069997038</v>
      </c>
      <c r="L244">
        <f t="shared" si="80"/>
        <v>1</v>
      </c>
      <c r="M244" s="5">
        <f t="shared" si="89"/>
        <v>44424</v>
      </c>
      <c r="N244" s="25">
        <v>249.48823229992391</v>
      </c>
      <c r="O244" s="25">
        <v>54.840208700001241</v>
      </c>
      <c r="P244" s="25">
        <v>23.143999999999998</v>
      </c>
      <c r="Q244" s="6">
        <f t="shared" si="81"/>
        <v>327.47244099992514</v>
      </c>
      <c r="R244">
        <f t="shared" si="74"/>
        <v>1</v>
      </c>
      <c r="S244" s="5">
        <f t="shared" si="90"/>
        <v>44789</v>
      </c>
      <c r="T244" s="25">
        <v>269.42488139998915</v>
      </c>
      <c r="U244" s="25">
        <v>54.7774863999933</v>
      </c>
      <c r="V244" s="25">
        <v>22.643317899998742</v>
      </c>
      <c r="W244" s="6">
        <f t="shared" si="94"/>
        <v>346.84568569998117</v>
      </c>
      <c r="X244">
        <f t="shared" si="75"/>
        <v>1</v>
      </c>
      <c r="Z244" s="5">
        <f t="shared" si="91"/>
        <v>44789</v>
      </c>
      <c r="AA244" s="25">
        <v>0</v>
      </c>
      <c r="AB244" s="25">
        <v>0</v>
      </c>
      <c r="AC244" s="25">
        <v>0</v>
      </c>
      <c r="AD244" s="6">
        <f t="shared" si="84"/>
        <v>0</v>
      </c>
      <c r="AE244">
        <f t="shared" si="76"/>
        <v>0</v>
      </c>
      <c r="AF244" s="5">
        <f t="shared" si="92"/>
        <v>45519</v>
      </c>
      <c r="AG244" s="25">
        <v>0</v>
      </c>
      <c r="AH244" s="25">
        <v>0</v>
      </c>
      <c r="AI244" s="25">
        <v>0</v>
      </c>
      <c r="AJ244" s="6">
        <f t="shared" si="85"/>
        <v>0</v>
      </c>
      <c r="AK244">
        <f t="shared" si="77"/>
        <v>0</v>
      </c>
      <c r="AL244" s="5">
        <f t="shared" si="93"/>
        <v>45885</v>
      </c>
      <c r="AM244" s="25">
        <v>0</v>
      </c>
      <c r="AN244" s="25">
        <v>0</v>
      </c>
      <c r="AO244" s="25">
        <v>0</v>
      </c>
      <c r="AP244" s="6">
        <f t="shared" si="86"/>
        <v>0</v>
      </c>
      <c r="AQ244">
        <f t="shared" si="78"/>
        <v>0</v>
      </c>
    </row>
    <row r="245" spans="1:43" x14ac:dyDescent="0.3">
      <c r="A245" s="5">
        <f t="shared" si="87"/>
        <v>43694</v>
      </c>
      <c r="B245" s="6">
        <v>246.12769319999217</v>
      </c>
      <c r="C245" s="6">
        <v>46.630619599997999</v>
      </c>
      <c r="D245" s="6">
        <v>23.03</v>
      </c>
      <c r="E245" s="6">
        <f t="shared" si="82"/>
        <v>315.78831279999019</v>
      </c>
      <c r="F245">
        <f t="shared" si="79"/>
        <v>1</v>
      </c>
      <c r="G245" s="5">
        <f t="shared" si="88"/>
        <v>44059</v>
      </c>
      <c r="H245" s="25">
        <v>228.70637540006638</v>
      </c>
      <c r="I245" s="25">
        <v>39.883044699996709</v>
      </c>
      <c r="J245" s="25">
        <v>13.4796</v>
      </c>
      <c r="K245" s="6">
        <f t="shared" si="83"/>
        <v>282.06902010006309</v>
      </c>
      <c r="L245">
        <f t="shared" si="80"/>
        <v>1</v>
      </c>
      <c r="M245" s="5">
        <f t="shared" si="89"/>
        <v>44425</v>
      </c>
      <c r="N245" s="25">
        <v>259.10416220009324</v>
      </c>
      <c r="O245" s="25">
        <v>56.156923000000418</v>
      </c>
      <c r="P245" s="25">
        <v>23.891999999999999</v>
      </c>
      <c r="Q245" s="6">
        <f t="shared" si="81"/>
        <v>339.15308520009364</v>
      </c>
      <c r="R245">
        <f t="shared" si="74"/>
        <v>1</v>
      </c>
      <c r="S245" s="5">
        <f t="shared" si="90"/>
        <v>44790</v>
      </c>
      <c r="T245" s="25">
        <v>277.67573870003224</v>
      </c>
      <c r="U245" s="25">
        <v>59.433861500009897</v>
      </c>
      <c r="V245" s="25">
        <v>24.44266570000071</v>
      </c>
      <c r="W245" s="6">
        <f t="shared" si="94"/>
        <v>361.55226590004281</v>
      </c>
      <c r="X245">
        <f t="shared" si="75"/>
        <v>1</v>
      </c>
      <c r="Z245" s="5">
        <f t="shared" si="91"/>
        <v>44790</v>
      </c>
      <c r="AA245" s="25">
        <v>0</v>
      </c>
      <c r="AB245" s="25">
        <v>0</v>
      </c>
      <c r="AC245" s="25">
        <v>0</v>
      </c>
      <c r="AD245" s="6">
        <f t="shared" si="84"/>
        <v>0</v>
      </c>
      <c r="AE245">
        <f t="shared" si="76"/>
        <v>0</v>
      </c>
      <c r="AF245" s="5">
        <f t="shared" si="92"/>
        <v>45520</v>
      </c>
      <c r="AG245" s="25">
        <v>0</v>
      </c>
      <c r="AH245" s="25">
        <v>0</v>
      </c>
      <c r="AI245" s="25">
        <v>0</v>
      </c>
      <c r="AJ245" s="6">
        <f t="shared" si="85"/>
        <v>0</v>
      </c>
      <c r="AK245">
        <f t="shared" si="77"/>
        <v>0</v>
      </c>
      <c r="AL245" s="5">
        <f t="shared" si="93"/>
        <v>45886</v>
      </c>
      <c r="AM245" s="25">
        <v>0</v>
      </c>
      <c r="AN245" s="25">
        <v>0</v>
      </c>
      <c r="AO245" s="25">
        <v>0</v>
      </c>
      <c r="AP245" s="6">
        <f t="shared" si="86"/>
        <v>0</v>
      </c>
      <c r="AQ245">
        <f t="shared" si="78"/>
        <v>0</v>
      </c>
    </row>
    <row r="246" spans="1:43" x14ac:dyDescent="0.3">
      <c r="A246" s="5">
        <f t="shared" si="87"/>
        <v>43695</v>
      </c>
      <c r="B246" s="6">
        <v>230.69529469990729</v>
      </c>
      <c r="C246" s="6">
        <v>41.156371100001039</v>
      </c>
      <c r="D246" s="6">
        <v>19.632999999999999</v>
      </c>
      <c r="E246" s="6">
        <f t="shared" si="82"/>
        <v>291.48466579990833</v>
      </c>
      <c r="F246">
        <f t="shared" si="79"/>
        <v>1</v>
      </c>
      <c r="G246" s="5">
        <f t="shared" si="88"/>
        <v>44060</v>
      </c>
      <c r="H246" s="25">
        <v>251.29405750000475</v>
      </c>
      <c r="I246" s="25">
        <v>51.140778300002218</v>
      </c>
      <c r="J246" s="25">
        <v>15.115</v>
      </c>
      <c r="K246" s="6">
        <f t="shared" si="83"/>
        <v>317.54983580000697</v>
      </c>
      <c r="L246">
        <f t="shared" si="80"/>
        <v>1</v>
      </c>
      <c r="M246" s="5">
        <f t="shared" si="89"/>
        <v>44426</v>
      </c>
      <c r="N246" s="25">
        <v>245.17370559990405</v>
      </c>
      <c r="O246" s="25">
        <v>54.785128199994567</v>
      </c>
      <c r="P246" s="25">
        <v>22.402999999999999</v>
      </c>
      <c r="Q246" s="6">
        <f t="shared" si="81"/>
        <v>322.36183379989865</v>
      </c>
      <c r="R246">
        <f t="shared" si="74"/>
        <v>1</v>
      </c>
      <c r="S246" s="5">
        <f t="shared" si="90"/>
        <v>44791</v>
      </c>
      <c r="T246" s="25">
        <v>269.18058870005609</v>
      </c>
      <c r="U246" s="25">
        <v>61.215747599989179</v>
      </c>
      <c r="V246" s="25">
        <v>25.411708599997684</v>
      </c>
      <c r="W246" s="6">
        <f t="shared" si="94"/>
        <v>355.80804490004294</v>
      </c>
      <c r="X246">
        <f t="shared" si="75"/>
        <v>1</v>
      </c>
      <c r="Z246" s="5">
        <f t="shared" si="91"/>
        <v>44791</v>
      </c>
      <c r="AA246" s="25">
        <v>0</v>
      </c>
      <c r="AB246" s="25">
        <v>0</v>
      </c>
      <c r="AC246" s="25">
        <v>0</v>
      </c>
      <c r="AD246" s="6">
        <f t="shared" si="84"/>
        <v>0</v>
      </c>
      <c r="AE246">
        <f t="shared" si="76"/>
        <v>0</v>
      </c>
      <c r="AF246" s="5">
        <f t="shared" si="92"/>
        <v>45521</v>
      </c>
      <c r="AG246" s="25">
        <v>0</v>
      </c>
      <c r="AH246" s="25">
        <v>0</v>
      </c>
      <c r="AI246" s="25">
        <v>0</v>
      </c>
      <c r="AJ246" s="6">
        <f t="shared" si="85"/>
        <v>0</v>
      </c>
      <c r="AK246">
        <f t="shared" si="77"/>
        <v>0</v>
      </c>
      <c r="AL246" s="5">
        <f t="shared" si="93"/>
        <v>45887</v>
      </c>
      <c r="AM246" s="25">
        <v>0</v>
      </c>
      <c r="AN246" s="25">
        <v>0</v>
      </c>
      <c r="AO246" s="25">
        <v>0</v>
      </c>
      <c r="AP246" s="6">
        <f t="shared" si="86"/>
        <v>0</v>
      </c>
      <c r="AQ246">
        <f t="shared" si="78"/>
        <v>0</v>
      </c>
    </row>
    <row r="247" spans="1:43" x14ac:dyDescent="0.3">
      <c r="A247" s="5">
        <f t="shared" si="87"/>
        <v>43696</v>
      </c>
      <c r="B247" s="6">
        <v>267.90971580004691</v>
      </c>
      <c r="C247" s="6">
        <v>49.199327100001277</v>
      </c>
      <c r="D247" s="6">
        <v>24.995999999999999</v>
      </c>
      <c r="E247" s="6">
        <f t="shared" si="82"/>
        <v>342.10504290004815</v>
      </c>
      <c r="F247">
        <f t="shared" si="79"/>
        <v>1</v>
      </c>
      <c r="G247" s="5">
        <f t="shared" si="88"/>
        <v>44061</v>
      </c>
      <c r="H247" s="25">
        <v>246.10395990002155</v>
      </c>
      <c r="I247" s="25">
        <v>52.08588210000098</v>
      </c>
      <c r="J247" s="25">
        <v>15.768000000000001</v>
      </c>
      <c r="K247" s="6">
        <f t="shared" si="83"/>
        <v>313.95784200002254</v>
      </c>
      <c r="L247">
        <f t="shared" si="80"/>
        <v>1</v>
      </c>
      <c r="M247" s="5">
        <f t="shared" si="89"/>
        <v>44427</v>
      </c>
      <c r="N247" s="25">
        <v>249.81926100003719</v>
      </c>
      <c r="O247" s="25">
        <v>55.559238600000739</v>
      </c>
      <c r="P247" s="25">
        <v>22.061</v>
      </c>
      <c r="Q247" s="6">
        <f t="shared" si="81"/>
        <v>327.43949960003789</v>
      </c>
      <c r="R247">
        <f t="shared" si="74"/>
        <v>1</v>
      </c>
      <c r="S247" s="5">
        <f t="shared" si="90"/>
        <v>44792</v>
      </c>
      <c r="T247" s="25">
        <v>268.75295489990714</v>
      </c>
      <c r="U247" s="25">
        <v>60.889818400010469</v>
      </c>
      <c r="V247" s="25">
        <v>26.141002200002315</v>
      </c>
      <c r="W247" s="6">
        <f t="shared" si="94"/>
        <v>355.78377549991995</v>
      </c>
      <c r="X247">
        <f t="shared" si="75"/>
        <v>1</v>
      </c>
      <c r="Z247" s="5">
        <f t="shared" si="91"/>
        <v>44792</v>
      </c>
      <c r="AA247" s="25">
        <v>0</v>
      </c>
      <c r="AB247" s="25">
        <v>0</v>
      </c>
      <c r="AC247" s="25">
        <v>0</v>
      </c>
      <c r="AD247" s="6">
        <f t="shared" si="84"/>
        <v>0</v>
      </c>
      <c r="AE247">
        <f t="shared" si="76"/>
        <v>0</v>
      </c>
      <c r="AF247" s="5">
        <f t="shared" si="92"/>
        <v>45522</v>
      </c>
      <c r="AG247" s="25">
        <v>0</v>
      </c>
      <c r="AH247" s="25">
        <v>0</v>
      </c>
      <c r="AI247" s="25">
        <v>0</v>
      </c>
      <c r="AJ247" s="6">
        <f t="shared" si="85"/>
        <v>0</v>
      </c>
      <c r="AK247">
        <f t="shared" si="77"/>
        <v>0</v>
      </c>
      <c r="AL247" s="5">
        <f t="shared" si="93"/>
        <v>45888</v>
      </c>
      <c r="AM247" s="25">
        <v>0</v>
      </c>
      <c r="AN247" s="25">
        <v>0</v>
      </c>
      <c r="AO247" s="25">
        <v>0</v>
      </c>
      <c r="AP247" s="6">
        <f t="shared" si="86"/>
        <v>0</v>
      </c>
      <c r="AQ247">
        <f t="shared" si="78"/>
        <v>0</v>
      </c>
    </row>
    <row r="248" spans="1:43" x14ac:dyDescent="0.3">
      <c r="A248" s="5">
        <f t="shared" si="87"/>
        <v>43697</v>
      </c>
      <c r="B248" s="6">
        <v>270.01344599997998</v>
      </c>
      <c r="C248" s="6">
        <v>50.577692099999638</v>
      </c>
      <c r="D248" s="6">
        <v>24.157</v>
      </c>
      <c r="E248" s="6">
        <f t="shared" si="82"/>
        <v>344.7481380999796</v>
      </c>
      <c r="F248">
        <f t="shared" si="79"/>
        <v>1</v>
      </c>
      <c r="G248" s="5">
        <f t="shared" si="88"/>
        <v>44062</v>
      </c>
      <c r="H248" s="25">
        <v>244.88842969989776</v>
      </c>
      <c r="I248" s="25">
        <v>50.221750499993561</v>
      </c>
      <c r="J248" s="25">
        <v>17.033999999999999</v>
      </c>
      <c r="K248" s="6">
        <f t="shared" si="83"/>
        <v>312.14418019989131</v>
      </c>
      <c r="L248">
        <f t="shared" si="80"/>
        <v>1</v>
      </c>
      <c r="M248" s="5">
        <f t="shared" si="89"/>
        <v>44428</v>
      </c>
      <c r="N248" s="25">
        <v>260.12096940004824</v>
      </c>
      <c r="O248" s="25">
        <v>55.608274800002576</v>
      </c>
      <c r="P248" s="25">
        <v>22.733000000000001</v>
      </c>
      <c r="Q248" s="6">
        <f t="shared" si="81"/>
        <v>338.4622442000508</v>
      </c>
      <c r="R248">
        <f t="shared" si="74"/>
        <v>1</v>
      </c>
      <c r="S248" s="5">
        <f t="shared" si="90"/>
        <v>44793</v>
      </c>
      <c r="T248" s="25">
        <v>268.62131210005282</v>
      </c>
      <c r="U248" s="25">
        <v>58.868489500001075</v>
      </c>
      <c r="V248" s="25">
        <v>25.75034809999983</v>
      </c>
      <c r="W248" s="6">
        <f t="shared" si="94"/>
        <v>353.24014970005373</v>
      </c>
      <c r="X248">
        <f t="shared" si="75"/>
        <v>1</v>
      </c>
      <c r="Z248" s="5">
        <f t="shared" si="91"/>
        <v>44793</v>
      </c>
      <c r="AA248" s="25">
        <v>0</v>
      </c>
      <c r="AB248" s="25">
        <v>0</v>
      </c>
      <c r="AC248" s="25">
        <v>0</v>
      </c>
      <c r="AD248" s="6">
        <f t="shared" si="84"/>
        <v>0</v>
      </c>
      <c r="AE248">
        <f t="shared" si="76"/>
        <v>0</v>
      </c>
      <c r="AF248" s="5">
        <f t="shared" si="92"/>
        <v>45523</v>
      </c>
      <c r="AG248" s="25">
        <v>0</v>
      </c>
      <c r="AH248" s="25">
        <v>0</v>
      </c>
      <c r="AI248" s="25">
        <v>0</v>
      </c>
      <c r="AJ248" s="6">
        <f t="shared" si="85"/>
        <v>0</v>
      </c>
      <c r="AK248">
        <f t="shared" si="77"/>
        <v>0</v>
      </c>
      <c r="AL248" s="5">
        <f t="shared" si="93"/>
        <v>45889</v>
      </c>
      <c r="AM248" s="25">
        <v>0</v>
      </c>
      <c r="AN248" s="25">
        <v>0</v>
      </c>
      <c r="AO248" s="25">
        <v>0</v>
      </c>
      <c r="AP248" s="6">
        <f t="shared" si="86"/>
        <v>0</v>
      </c>
      <c r="AQ248">
        <f t="shared" si="78"/>
        <v>0</v>
      </c>
    </row>
    <row r="249" spans="1:43" x14ac:dyDescent="0.3">
      <c r="A249" s="5">
        <f t="shared" si="87"/>
        <v>43698</v>
      </c>
      <c r="B249" s="6">
        <v>269.18183739995959</v>
      </c>
      <c r="C249" s="6">
        <v>49.408066099997612</v>
      </c>
      <c r="D249" s="6">
        <v>24.617000000000001</v>
      </c>
      <c r="E249" s="6">
        <f t="shared" si="82"/>
        <v>343.20690349995721</v>
      </c>
      <c r="F249">
        <f t="shared" si="79"/>
        <v>1</v>
      </c>
      <c r="G249" s="5">
        <f t="shared" si="88"/>
        <v>44063</v>
      </c>
      <c r="H249" s="25">
        <v>249.56969480001928</v>
      </c>
      <c r="I249" s="25">
        <v>48.3705082000047</v>
      </c>
      <c r="J249" s="25">
        <v>21.399000000000001</v>
      </c>
      <c r="K249" s="6">
        <f t="shared" si="83"/>
        <v>319.33920300002399</v>
      </c>
      <c r="L249">
        <f t="shared" si="80"/>
        <v>1</v>
      </c>
      <c r="M249" s="5">
        <f t="shared" si="89"/>
        <v>44429</v>
      </c>
      <c r="N249" s="25">
        <v>242.96803149998189</v>
      </c>
      <c r="O249" s="25">
        <v>50.338379900000987</v>
      </c>
      <c r="P249" s="25">
        <v>21.509</v>
      </c>
      <c r="Q249" s="6">
        <f t="shared" si="81"/>
        <v>314.81541139998291</v>
      </c>
      <c r="R249">
        <f t="shared" si="74"/>
        <v>1</v>
      </c>
      <c r="S249" s="5">
        <f t="shared" si="90"/>
        <v>44794</v>
      </c>
      <c r="T249" s="25">
        <v>234.62340219998359</v>
      </c>
      <c r="U249" s="25">
        <v>53.543746199995276</v>
      </c>
      <c r="V249" s="25">
        <v>20.559303499997828</v>
      </c>
      <c r="W249" s="6">
        <f t="shared" si="94"/>
        <v>308.72645189997672</v>
      </c>
      <c r="X249">
        <f t="shared" si="75"/>
        <v>1</v>
      </c>
      <c r="Z249" s="5">
        <f t="shared" si="91"/>
        <v>44794</v>
      </c>
      <c r="AA249" s="25">
        <v>0</v>
      </c>
      <c r="AB249" s="25">
        <v>0</v>
      </c>
      <c r="AC249" s="25">
        <v>0</v>
      </c>
      <c r="AD249" s="6">
        <f t="shared" si="84"/>
        <v>0</v>
      </c>
      <c r="AE249">
        <f t="shared" si="76"/>
        <v>0</v>
      </c>
      <c r="AF249" s="5">
        <f t="shared" si="92"/>
        <v>45524</v>
      </c>
      <c r="AG249" s="25">
        <v>0</v>
      </c>
      <c r="AH249" s="25">
        <v>0</v>
      </c>
      <c r="AI249" s="25">
        <v>0</v>
      </c>
      <c r="AJ249" s="6">
        <f t="shared" si="85"/>
        <v>0</v>
      </c>
      <c r="AK249">
        <f t="shared" si="77"/>
        <v>0</v>
      </c>
      <c r="AL249" s="5">
        <f t="shared" si="93"/>
        <v>45890</v>
      </c>
      <c r="AM249" s="25">
        <v>0</v>
      </c>
      <c r="AN249" s="25">
        <v>0</v>
      </c>
      <c r="AO249" s="25">
        <v>0</v>
      </c>
      <c r="AP249" s="6">
        <f t="shared" si="86"/>
        <v>0</v>
      </c>
      <c r="AQ249">
        <f t="shared" si="78"/>
        <v>0</v>
      </c>
    </row>
    <row r="250" spans="1:43" x14ac:dyDescent="0.3">
      <c r="A250" s="5">
        <f t="shared" si="87"/>
        <v>43699</v>
      </c>
      <c r="B250" s="6">
        <v>266.44600640010833</v>
      </c>
      <c r="C250" s="6">
        <v>49.820050900001078</v>
      </c>
      <c r="D250" s="6">
        <v>24.853999999999999</v>
      </c>
      <c r="E250" s="6">
        <f t="shared" si="82"/>
        <v>341.12005730010941</v>
      </c>
      <c r="F250">
        <f t="shared" si="79"/>
        <v>1</v>
      </c>
      <c r="G250" s="5">
        <f t="shared" si="88"/>
        <v>44064</v>
      </c>
      <c r="H250" s="25">
        <v>244.80389520001413</v>
      </c>
      <c r="I250" s="25">
        <v>47.301508900001643</v>
      </c>
      <c r="J250" s="25">
        <v>21.762</v>
      </c>
      <c r="K250" s="6">
        <f t="shared" si="83"/>
        <v>313.86740410001579</v>
      </c>
      <c r="L250">
        <f t="shared" si="80"/>
        <v>1</v>
      </c>
      <c r="M250" s="5">
        <f t="shared" si="89"/>
        <v>44430</v>
      </c>
      <c r="N250" s="25">
        <v>215.2176711000204</v>
      </c>
      <c r="O250" s="25">
        <v>42.828377499997615</v>
      </c>
      <c r="P250" s="25">
        <v>16.582999999999998</v>
      </c>
      <c r="Q250" s="6">
        <f t="shared" si="81"/>
        <v>274.629048600018</v>
      </c>
      <c r="R250">
        <f t="shared" si="74"/>
        <v>1</v>
      </c>
      <c r="S250" s="5">
        <f t="shared" si="90"/>
        <v>44795</v>
      </c>
      <c r="T250" s="25">
        <v>274.29401480007169</v>
      </c>
      <c r="U250" s="25">
        <v>59.950735200002789</v>
      </c>
      <c r="V250" s="25">
        <v>25.687152900000104</v>
      </c>
      <c r="W250" s="6">
        <f t="shared" si="94"/>
        <v>359.93190290007459</v>
      </c>
      <c r="X250">
        <f t="shared" si="75"/>
        <v>1</v>
      </c>
      <c r="Z250" s="5">
        <f t="shared" si="91"/>
        <v>44795</v>
      </c>
      <c r="AA250" s="25">
        <v>0</v>
      </c>
      <c r="AB250" s="25">
        <v>0</v>
      </c>
      <c r="AC250" s="25">
        <v>0</v>
      </c>
      <c r="AD250" s="6">
        <f t="shared" si="84"/>
        <v>0</v>
      </c>
      <c r="AE250">
        <f t="shared" si="76"/>
        <v>0</v>
      </c>
      <c r="AF250" s="5">
        <f t="shared" si="92"/>
        <v>45525</v>
      </c>
      <c r="AG250" s="25">
        <v>0</v>
      </c>
      <c r="AH250" s="25">
        <v>0</v>
      </c>
      <c r="AI250" s="25">
        <v>0</v>
      </c>
      <c r="AJ250" s="6">
        <f t="shared" si="85"/>
        <v>0</v>
      </c>
      <c r="AK250">
        <f t="shared" si="77"/>
        <v>0</v>
      </c>
      <c r="AL250" s="5">
        <f t="shared" si="93"/>
        <v>45891</v>
      </c>
      <c r="AM250" s="25">
        <v>0</v>
      </c>
      <c r="AN250" s="25">
        <v>0</v>
      </c>
      <c r="AO250" s="25">
        <v>0</v>
      </c>
      <c r="AP250" s="6">
        <f t="shared" si="86"/>
        <v>0</v>
      </c>
      <c r="AQ250">
        <f t="shared" si="78"/>
        <v>0</v>
      </c>
    </row>
    <row r="251" spans="1:43" x14ac:dyDescent="0.3">
      <c r="A251" s="5">
        <f t="shared" si="87"/>
        <v>43700</v>
      </c>
      <c r="B251" s="6">
        <v>265.92478119993211</v>
      </c>
      <c r="C251" s="6">
        <v>47.682755199998617</v>
      </c>
      <c r="D251" s="6">
        <v>25.44</v>
      </c>
      <c r="E251" s="6">
        <f t="shared" si="82"/>
        <v>339.04753639993072</v>
      </c>
      <c r="F251">
        <f t="shared" si="79"/>
        <v>1</v>
      </c>
      <c r="G251" s="5">
        <f t="shared" si="88"/>
        <v>44065</v>
      </c>
      <c r="H251" s="25">
        <v>233.98474140000343</v>
      </c>
      <c r="I251" s="25">
        <v>46.818269099995497</v>
      </c>
      <c r="J251" s="25">
        <v>20.370999999999999</v>
      </c>
      <c r="K251" s="6">
        <f t="shared" si="83"/>
        <v>301.17401049999893</v>
      </c>
      <c r="L251">
        <f t="shared" si="80"/>
        <v>1</v>
      </c>
      <c r="M251" s="5">
        <f t="shared" si="89"/>
        <v>44431</v>
      </c>
      <c r="N251" s="25">
        <v>257.42082939994333</v>
      </c>
      <c r="O251" s="25">
        <v>52.735023999996486</v>
      </c>
      <c r="P251" s="25">
        <v>19.22</v>
      </c>
      <c r="Q251" s="6">
        <f t="shared" si="81"/>
        <v>329.37585339993984</v>
      </c>
      <c r="R251">
        <f t="shared" si="74"/>
        <v>1</v>
      </c>
      <c r="S251" s="5">
        <f t="shared" si="90"/>
        <v>44796</v>
      </c>
      <c r="T251" s="25">
        <v>268.66072079992296</v>
      </c>
      <c r="U251" s="25">
        <v>60.018760899990795</v>
      </c>
      <c r="V251" s="25">
        <v>24.7826856000002</v>
      </c>
      <c r="W251" s="6">
        <f t="shared" si="94"/>
        <v>353.46216729991397</v>
      </c>
      <c r="X251">
        <f t="shared" si="75"/>
        <v>1</v>
      </c>
      <c r="Z251" s="5">
        <f t="shared" si="91"/>
        <v>44796</v>
      </c>
      <c r="AA251" s="25">
        <v>0</v>
      </c>
      <c r="AB251" s="25">
        <v>0</v>
      </c>
      <c r="AC251" s="25">
        <v>0</v>
      </c>
      <c r="AD251" s="6">
        <f t="shared" si="84"/>
        <v>0</v>
      </c>
      <c r="AE251">
        <f t="shared" si="76"/>
        <v>0</v>
      </c>
      <c r="AF251" s="5">
        <f t="shared" si="92"/>
        <v>45526</v>
      </c>
      <c r="AG251" s="25">
        <v>0</v>
      </c>
      <c r="AH251" s="25">
        <v>0</v>
      </c>
      <c r="AI251" s="25">
        <v>0</v>
      </c>
      <c r="AJ251" s="6">
        <f t="shared" si="85"/>
        <v>0</v>
      </c>
      <c r="AK251">
        <f t="shared" si="77"/>
        <v>0</v>
      </c>
      <c r="AL251" s="5">
        <f t="shared" si="93"/>
        <v>45892</v>
      </c>
      <c r="AM251" s="25">
        <v>0</v>
      </c>
      <c r="AN251" s="25">
        <v>0</v>
      </c>
      <c r="AO251" s="25">
        <v>0</v>
      </c>
      <c r="AP251" s="6">
        <f t="shared" si="86"/>
        <v>0</v>
      </c>
      <c r="AQ251">
        <f t="shared" si="78"/>
        <v>0</v>
      </c>
    </row>
    <row r="252" spans="1:43" x14ac:dyDescent="0.3">
      <c r="A252" s="5">
        <f t="shared" si="87"/>
        <v>43701</v>
      </c>
      <c r="B252" s="6">
        <v>249.50173049998284</v>
      </c>
      <c r="C252" s="6">
        <v>46.793899800002578</v>
      </c>
      <c r="D252" s="6">
        <v>24.437999999999999</v>
      </c>
      <c r="E252" s="6">
        <f t="shared" si="82"/>
        <v>320.73363029998541</v>
      </c>
      <c r="F252">
        <f t="shared" si="79"/>
        <v>1</v>
      </c>
      <c r="G252" s="5">
        <f t="shared" si="88"/>
        <v>44066</v>
      </c>
      <c r="H252" s="25">
        <v>224.72548629999162</v>
      </c>
      <c r="I252" s="25">
        <v>40.6002098999992</v>
      </c>
      <c r="J252" s="25">
        <v>18.911999999999999</v>
      </c>
      <c r="K252" s="6">
        <f t="shared" si="83"/>
        <v>284.23769619999081</v>
      </c>
      <c r="L252">
        <f t="shared" si="80"/>
        <v>1</v>
      </c>
      <c r="M252" s="5">
        <f t="shared" si="89"/>
        <v>44432</v>
      </c>
      <c r="N252" s="25">
        <v>262.86417579996584</v>
      </c>
      <c r="O252" s="25">
        <v>51.327828700006009</v>
      </c>
      <c r="P252" s="25">
        <v>22.632999999999999</v>
      </c>
      <c r="Q252" s="6">
        <f t="shared" si="81"/>
        <v>336.82500449997184</v>
      </c>
      <c r="R252">
        <f t="shared" si="74"/>
        <v>1</v>
      </c>
      <c r="S252" s="5">
        <f t="shared" si="90"/>
        <v>44797</v>
      </c>
      <c r="T252" s="25">
        <v>270.52403770005702</v>
      </c>
      <c r="U252" s="25">
        <v>61.022567600011826</v>
      </c>
      <c r="V252" s="25">
        <v>25.714947100002551</v>
      </c>
      <c r="W252" s="6">
        <f t="shared" si="94"/>
        <v>357.26155240007142</v>
      </c>
      <c r="X252">
        <f t="shared" si="75"/>
        <v>1</v>
      </c>
      <c r="Z252" s="5">
        <f t="shared" si="91"/>
        <v>44797</v>
      </c>
      <c r="AA252" s="25">
        <v>0</v>
      </c>
      <c r="AB252" s="25">
        <v>0</v>
      </c>
      <c r="AC252" s="25">
        <v>0</v>
      </c>
      <c r="AD252" s="6">
        <f t="shared" si="84"/>
        <v>0</v>
      </c>
      <c r="AE252">
        <f t="shared" si="76"/>
        <v>0</v>
      </c>
      <c r="AF252" s="5">
        <f t="shared" si="92"/>
        <v>45527</v>
      </c>
      <c r="AG252" s="25">
        <v>0</v>
      </c>
      <c r="AH252" s="25">
        <v>0</v>
      </c>
      <c r="AI252" s="25">
        <v>0</v>
      </c>
      <c r="AJ252" s="6">
        <f t="shared" si="85"/>
        <v>0</v>
      </c>
      <c r="AK252">
        <f t="shared" si="77"/>
        <v>0</v>
      </c>
      <c r="AL252" s="5">
        <f t="shared" si="93"/>
        <v>45893</v>
      </c>
      <c r="AM252" s="25">
        <v>0</v>
      </c>
      <c r="AN252" s="25">
        <v>0</v>
      </c>
      <c r="AO252" s="25">
        <v>0</v>
      </c>
      <c r="AP252" s="6">
        <f t="shared" si="86"/>
        <v>0</v>
      </c>
      <c r="AQ252">
        <f t="shared" si="78"/>
        <v>0</v>
      </c>
    </row>
    <row r="253" spans="1:43" x14ac:dyDescent="0.3">
      <c r="A253" s="5">
        <f t="shared" si="87"/>
        <v>43702</v>
      </c>
      <c r="B253" s="6">
        <v>226.1264594000578</v>
      </c>
      <c r="C253" s="6">
        <v>41.011949199996891</v>
      </c>
      <c r="D253" s="6">
        <v>18.619</v>
      </c>
      <c r="E253" s="6">
        <f t="shared" si="82"/>
        <v>285.75740860005465</v>
      </c>
      <c r="F253">
        <f t="shared" si="79"/>
        <v>1</v>
      </c>
      <c r="G253" s="5">
        <f t="shared" si="88"/>
        <v>44067</v>
      </c>
      <c r="H253" s="25">
        <v>243.15379210007191</v>
      </c>
      <c r="I253" s="25">
        <v>49.129429900005462</v>
      </c>
      <c r="J253" s="25">
        <v>17.86</v>
      </c>
      <c r="K253" s="6">
        <f t="shared" si="83"/>
        <v>310.1432220000774</v>
      </c>
      <c r="L253">
        <f t="shared" si="80"/>
        <v>1</v>
      </c>
      <c r="M253" s="5">
        <f t="shared" si="89"/>
        <v>44433</v>
      </c>
      <c r="N253" s="25">
        <v>245.83025310003757</v>
      </c>
      <c r="O253" s="25">
        <v>49.607786299996079</v>
      </c>
      <c r="P253" s="25">
        <v>21.300999999999998</v>
      </c>
      <c r="Q253" s="6">
        <f t="shared" si="81"/>
        <v>316.73903940003362</v>
      </c>
      <c r="R253">
        <f t="shared" si="74"/>
        <v>1</v>
      </c>
      <c r="S253" s="5">
        <f t="shared" si="90"/>
        <v>44798</v>
      </c>
      <c r="T253" s="25">
        <v>273.47164679992198</v>
      </c>
      <c r="U253" s="25">
        <v>57.159489999994634</v>
      </c>
      <c r="V253" s="25">
        <v>25.389112999998265</v>
      </c>
      <c r="W253" s="6">
        <f t="shared" si="94"/>
        <v>356.02024979991484</v>
      </c>
      <c r="X253">
        <f t="shared" si="75"/>
        <v>1</v>
      </c>
      <c r="Z253" s="5">
        <f t="shared" si="91"/>
        <v>44798</v>
      </c>
      <c r="AA253" s="25">
        <v>0</v>
      </c>
      <c r="AB253" s="25">
        <v>0</v>
      </c>
      <c r="AC253" s="25">
        <v>0</v>
      </c>
      <c r="AD253" s="6">
        <f t="shared" si="84"/>
        <v>0</v>
      </c>
      <c r="AE253">
        <f t="shared" si="76"/>
        <v>0</v>
      </c>
      <c r="AF253" s="5">
        <f t="shared" si="92"/>
        <v>45528</v>
      </c>
      <c r="AG253" s="25">
        <v>0</v>
      </c>
      <c r="AH253" s="25">
        <v>0</v>
      </c>
      <c r="AI253" s="25">
        <v>0</v>
      </c>
      <c r="AJ253" s="6">
        <f t="shared" si="85"/>
        <v>0</v>
      </c>
      <c r="AK253">
        <f t="shared" si="77"/>
        <v>0</v>
      </c>
      <c r="AL253" s="5">
        <f t="shared" si="93"/>
        <v>45894</v>
      </c>
      <c r="AM253" s="25">
        <v>0</v>
      </c>
      <c r="AN253" s="25">
        <v>0</v>
      </c>
      <c r="AO253" s="25">
        <v>0</v>
      </c>
      <c r="AP253" s="6">
        <f t="shared" si="86"/>
        <v>0</v>
      </c>
      <c r="AQ253">
        <f t="shared" si="78"/>
        <v>0</v>
      </c>
    </row>
    <row r="254" spans="1:43" x14ac:dyDescent="0.3">
      <c r="A254" s="5">
        <f t="shared" si="87"/>
        <v>43703</v>
      </c>
      <c r="B254" s="6">
        <v>254.04697619998456</v>
      </c>
      <c r="C254" s="6">
        <v>45.135155300002545</v>
      </c>
      <c r="D254" s="6">
        <v>24.588000000000001</v>
      </c>
      <c r="E254" s="6">
        <f t="shared" si="82"/>
        <v>323.77013149998714</v>
      </c>
      <c r="F254">
        <f t="shared" si="79"/>
        <v>1</v>
      </c>
      <c r="G254" s="5">
        <f t="shared" si="88"/>
        <v>44068</v>
      </c>
      <c r="H254" s="25">
        <v>245.29545309996604</v>
      </c>
      <c r="I254" s="25">
        <v>47.267262899994847</v>
      </c>
      <c r="J254" s="25">
        <v>17.265999999999998</v>
      </c>
      <c r="K254" s="6">
        <f t="shared" si="83"/>
        <v>309.82871599996093</v>
      </c>
      <c r="L254">
        <f t="shared" si="80"/>
        <v>1</v>
      </c>
      <c r="M254" s="5">
        <f t="shared" si="89"/>
        <v>44434</v>
      </c>
      <c r="N254" s="25">
        <v>266.63507599997519</v>
      </c>
      <c r="O254" s="25">
        <v>49.12862810000032</v>
      </c>
      <c r="P254" s="25">
        <v>23.309000000000001</v>
      </c>
      <c r="Q254" s="6">
        <f t="shared" si="81"/>
        <v>339.07270409997551</v>
      </c>
      <c r="R254">
        <f t="shared" si="74"/>
        <v>1</v>
      </c>
      <c r="S254" s="5">
        <f t="shared" si="90"/>
        <v>44799</v>
      </c>
      <c r="T254" s="25">
        <v>271.67006210005286</v>
      </c>
      <c r="U254" s="25">
        <v>62.202432500004768</v>
      </c>
      <c r="V254" s="25">
        <v>24.813347899999702</v>
      </c>
      <c r="W254" s="6">
        <f t="shared" si="94"/>
        <v>358.68584250005733</v>
      </c>
      <c r="X254">
        <f t="shared" si="75"/>
        <v>1</v>
      </c>
      <c r="Z254" s="5">
        <f t="shared" si="91"/>
        <v>44799</v>
      </c>
      <c r="AA254" s="25">
        <v>0</v>
      </c>
      <c r="AB254" s="25">
        <v>0</v>
      </c>
      <c r="AC254" s="25">
        <v>0</v>
      </c>
      <c r="AD254" s="6">
        <f t="shared" si="84"/>
        <v>0</v>
      </c>
      <c r="AE254">
        <f t="shared" si="76"/>
        <v>0</v>
      </c>
      <c r="AF254" s="5">
        <f t="shared" si="92"/>
        <v>45529</v>
      </c>
      <c r="AG254" s="25">
        <v>0</v>
      </c>
      <c r="AH254" s="25">
        <v>0</v>
      </c>
      <c r="AI254" s="25">
        <v>0</v>
      </c>
      <c r="AJ254" s="6">
        <f t="shared" si="85"/>
        <v>0</v>
      </c>
      <c r="AK254">
        <f t="shared" si="77"/>
        <v>0</v>
      </c>
      <c r="AL254" s="5">
        <f t="shared" si="93"/>
        <v>45895</v>
      </c>
      <c r="AM254" s="25">
        <v>0</v>
      </c>
      <c r="AN254" s="25">
        <v>0</v>
      </c>
      <c r="AO254" s="25">
        <v>0</v>
      </c>
      <c r="AP254" s="6">
        <f t="shared" si="86"/>
        <v>0</v>
      </c>
      <c r="AQ254">
        <f t="shared" si="78"/>
        <v>0</v>
      </c>
    </row>
    <row r="255" spans="1:43" x14ac:dyDescent="0.3">
      <c r="A255" s="5">
        <f t="shared" si="87"/>
        <v>43704</v>
      </c>
      <c r="B255" s="6">
        <v>274.14293079996111</v>
      </c>
      <c r="C255" s="6">
        <v>44.625670499999075</v>
      </c>
      <c r="D255" s="6">
        <v>24.007000000000001</v>
      </c>
      <c r="E255" s="6">
        <f t="shared" si="82"/>
        <v>342.77560129996021</v>
      </c>
      <c r="F255">
        <f t="shared" si="79"/>
        <v>1</v>
      </c>
      <c r="G255" s="5">
        <f t="shared" si="88"/>
        <v>44069</v>
      </c>
      <c r="H255" s="25">
        <v>248.87497650003434</v>
      </c>
      <c r="I255" s="25">
        <v>49.197404500000182</v>
      </c>
      <c r="J255" s="25">
        <v>21.18</v>
      </c>
      <c r="K255" s="6">
        <f t="shared" si="83"/>
        <v>319.25238100003452</v>
      </c>
      <c r="L255">
        <f t="shared" si="80"/>
        <v>1</v>
      </c>
      <c r="M255" s="5">
        <f t="shared" si="89"/>
        <v>44435</v>
      </c>
      <c r="N255" s="25">
        <v>250.08323650002478</v>
      </c>
      <c r="O255" s="25">
        <v>51.310811000004414</v>
      </c>
      <c r="P255" s="25">
        <v>23.202958333333331</v>
      </c>
      <c r="Q255" s="6">
        <f t="shared" si="81"/>
        <v>324.59700583336257</v>
      </c>
      <c r="R255">
        <f t="shared" si="74"/>
        <v>1</v>
      </c>
      <c r="S255" s="5">
        <f t="shared" si="90"/>
        <v>44800</v>
      </c>
      <c r="T255" s="25">
        <v>235.70494550001621</v>
      </c>
      <c r="U255" s="25">
        <v>58.447805199995635</v>
      </c>
      <c r="V255" s="25">
        <v>25.201619100000244</v>
      </c>
      <c r="W255" s="6">
        <f t="shared" si="94"/>
        <v>319.35436980001208</v>
      </c>
      <c r="X255">
        <f t="shared" si="75"/>
        <v>1</v>
      </c>
      <c r="Z255" s="5">
        <f t="shared" si="91"/>
        <v>44800</v>
      </c>
      <c r="AA255" s="25">
        <v>0</v>
      </c>
      <c r="AB255" s="25">
        <v>0</v>
      </c>
      <c r="AC255" s="25">
        <v>0</v>
      </c>
      <c r="AD255" s="6">
        <f t="shared" si="84"/>
        <v>0</v>
      </c>
      <c r="AE255">
        <f t="shared" si="76"/>
        <v>0</v>
      </c>
      <c r="AF255" s="5">
        <f t="shared" si="92"/>
        <v>45530</v>
      </c>
      <c r="AG255" s="25">
        <v>0</v>
      </c>
      <c r="AH255" s="25">
        <v>0</v>
      </c>
      <c r="AI255" s="25">
        <v>0</v>
      </c>
      <c r="AJ255" s="6">
        <f t="shared" si="85"/>
        <v>0</v>
      </c>
      <c r="AK255">
        <f t="shared" si="77"/>
        <v>0</v>
      </c>
      <c r="AL255" s="5">
        <f t="shared" si="93"/>
        <v>45896</v>
      </c>
      <c r="AM255" s="25">
        <v>0</v>
      </c>
      <c r="AN255" s="25">
        <v>0</v>
      </c>
      <c r="AO255" s="25">
        <v>0</v>
      </c>
      <c r="AP255" s="6">
        <f t="shared" si="86"/>
        <v>0</v>
      </c>
      <c r="AQ255">
        <f t="shared" si="78"/>
        <v>0</v>
      </c>
    </row>
    <row r="256" spans="1:43" x14ac:dyDescent="0.3">
      <c r="A256" s="5">
        <f t="shared" si="87"/>
        <v>43705</v>
      </c>
      <c r="B256" s="6">
        <v>283.89735810005664</v>
      </c>
      <c r="C256" s="6">
        <v>44.072003100000323</v>
      </c>
      <c r="D256" s="6">
        <v>24.965</v>
      </c>
      <c r="E256" s="6">
        <f t="shared" si="82"/>
        <v>352.93436120005691</v>
      </c>
      <c r="F256">
        <f t="shared" si="79"/>
        <v>1</v>
      </c>
      <c r="G256" s="5">
        <f t="shared" si="88"/>
        <v>44070</v>
      </c>
      <c r="H256" s="25">
        <v>249.18659709990024</v>
      </c>
      <c r="I256" s="25">
        <v>51.613764899998905</v>
      </c>
      <c r="J256" s="25">
        <v>21.902000000000001</v>
      </c>
      <c r="K256" s="6">
        <f t="shared" si="83"/>
        <v>322.70236199989915</v>
      </c>
      <c r="L256">
        <f t="shared" si="80"/>
        <v>1</v>
      </c>
      <c r="M256" s="5">
        <f t="shared" si="89"/>
        <v>44436</v>
      </c>
      <c r="N256" s="25">
        <v>225.84597269999981</v>
      </c>
      <c r="O256" s="25">
        <v>48.172870600000024</v>
      </c>
      <c r="P256" s="25">
        <v>22.862833333333331</v>
      </c>
      <c r="Q256" s="6">
        <f t="shared" si="81"/>
        <v>296.8816766333332</v>
      </c>
      <c r="R256">
        <f t="shared" si="74"/>
        <v>1</v>
      </c>
      <c r="S256" s="5">
        <f t="shared" si="90"/>
        <v>44801</v>
      </c>
      <c r="T256" s="25">
        <v>225.71925220000745</v>
      </c>
      <c r="U256" s="25">
        <v>49.32689020000398</v>
      </c>
      <c r="V256" s="25">
        <v>19.143136099999772</v>
      </c>
      <c r="W256" s="6">
        <f t="shared" si="94"/>
        <v>294.1892785000112</v>
      </c>
      <c r="X256">
        <f t="shared" si="75"/>
        <v>1</v>
      </c>
      <c r="Z256" s="5">
        <f t="shared" si="91"/>
        <v>44801</v>
      </c>
      <c r="AA256" s="25">
        <v>0</v>
      </c>
      <c r="AB256" s="25">
        <v>0</v>
      </c>
      <c r="AC256" s="25">
        <v>0</v>
      </c>
      <c r="AD256" s="6">
        <f t="shared" si="84"/>
        <v>0</v>
      </c>
      <c r="AE256">
        <f t="shared" si="76"/>
        <v>0</v>
      </c>
      <c r="AF256" s="5">
        <f t="shared" si="92"/>
        <v>45531</v>
      </c>
      <c r="AG256" s="25">
        <v>0</v>
      </c>
      <c r="AH256" s="25">
        <v>0</v>
      </c>
      <c r="AI256" s="25">
        <v>0</v>
      </c>
      <c r="AJ256" s="6">
        <f t="shared" si="85"/>
        <v>0</v>
      </c>
      <c r="AK256">
        <f t="shared" si="77"/>
        <v>0</v>
      </c>
      <c r="AL256" s="5">
        <f t="shared" si="93"/>
        <v>45897</v>
      </c>
      <c r="AM256" s="25">
        <v>0</v>
      </c>
      <c r="AN256" s="25">
        <v>0</v>
      </c>
      <c r="AO256" s="25">
        <v>0</v>
      </c>
      <c r="AP256" s="6">
        <f t="shared" si="86"/>
        <v>0</v>
      </c>
      <c r="AQ256">
        <f t="shared" si="78"/>
        <v>0</v>
      </c>
    </row>
    <row r="257" spans="1:43" x14ac:dyDescent="0.3">
      <c r="A257" s="5">
        <f t="shared" si="87"/>
        <v>43706</v>
      </c>
      <c r="B257" s="6">
        <v>278.96539989995955</v>
      </c>
      <c r="C257" s="6">
        <v>43.941342000000176</v>
      </c>
      <c r="D257" s="6">
        <v>26.238</v>
      </c>
      <c r="E257" s="6">
        <f t="shared" si="82"/>
        <v>349.14474189995974</v>
      </c>
      <c r="F257">
        <f t="shared" si="79"/>
        <v>1</v>
      </c>
      <c r="G257" s="5">
        <f t="shared" si="88"/>
        <v>44071</v>
      </c>
      <c r="H257" s="25">
        <v>242.63663550007342</v>
      </c>
      <c r="I257" s="25">
        <v>51.819384000003339</v>
      </c>
      <c r="J257" s="25">
        <v>21.100999999999999</v>
      </c>
      <c r="K257" s="6">
        <f t="shared" si="83"/>
        <v>315.55701950007676</v>
      </c>
      <c r="L257">
        <f t="shared" si="80"/>
        <v>1</v>
      </c>
      <c r="M257" s="5">
        <f t="shared" si="89"/>
        <v>44437</v>
      </c>
      <c r="N257" s="25">
        <v>202.54903240001201</v>
      </c>
      <c r="O257" s="25">
        <v>40.930437399998304</v>
      </c>
      <c r="P257" s="25">
        <v>19.252041666666663</v>
      </c>
      <c r="Q257" s="6">
        <f t="shared" si="81"/>
        <v>262.73151146667698</v>
      </c>
      <c r="R257">
        <f t="shared" si="74"/>
        <v>1</v>
      </c>
      <c r="S257" s="5">
        <f t="shared" si="90"/>
        <v>44802</v>
      </c>
      <c r="T257" s="25">
        <v>269.70750660002233</v>
      </c>
      <c r="U257" s="25">
        <v>59.642664700001475</v>
      </c>
      <c r="V257" s="25">
        <v>24.677170899998863</v>
      </c>
      <c r="W257" s="6">
        <f t="shared" si="94"/>
        <v>354.0273422000227</v>
      </c>
      <c r="X257">
        <f t="shared" si="75"/>
        <v>1</v>
      </c>
      <c r="Z257" s="5">
        <f t="shared" si="91"/>
        <v>44802</v>
      </c>
      <c r="AA257" s="25">
        <v>0</v>
      </c>
      <c r="AB257" s="25">
        <v>0</v>
      </c>
      <c r="AC257" s="25">
        <v>0</v>
      </c>
      <c r="AD257" s="6">
        <f t="shared" si="84"/>
        <v>0</v>
      </c>
      <c r="AE257">
        <f t="shared" si="76"/>
        <v>0</v>
      </c>
      <c r="AF257" s="5">
        <f t="shared" si="92"/>
        <v>45532</v>
      </c>
      <c r="AG257" s="25">
        <v>0</v>
      </c>
      <c r="AH257" s="25">
        <v>0</v>
      </c>
      <c r="AI257" s="25">
        <v>0</v>
      </c>
      <c r="AJ257" s="6">
        <f t="shared" si="85"/>
        <v>0</v>
      </c>
      <c r="AK257">
        <f t="shared" si="77"/>
        <v>0</v>
      </c>
      <c r="AL257" s="5">
        <f t="shared" si="93"/>
        <v>45898</v>
      </c>
      <c r="AM257" s="25">
        <v>0</v>
      </c>
      <c r="AN257" s="25">
        <v>0</v>
      </c>
      <c r="AO257" s="25">
        <v>0</v>
      </c>
      <c r="AP257" s="6">
        <f t="shared" si="86"/>
        <v>0</v>
      </c>
      <c r="AQ257">
        <f t="shared" si="78"/>
        <v>0</v>
      </c>
    </row>
    <row r="258" spans="1:43" x14ac:dyDescent="0.3">
      <c r="A258" s="5">
        <f t="shared" si="87"/>
        <v>43707</v>
      </c>
      <c r="B258" s="6">
        <v>276.2272333999872</v>
      </c>
      <c r="C258" s="6">
        <v>43.323916000001134</v>
      </c>
      <c r="D258" s="6">
        <v>24.81</v>
      </c>
      <c r="E258" s="6">
        <f t="shared" si="82"/>
        <v>344.36114939998834</v>
      </c>
      <c r="F258">
        <f t="shared" si="79"/>
        <v>1</v>
      </c>
      <c r="G258" s="5">
        <f t="shared" si="88"/>
        <v>44072</v>
      </c>
      <c r="H258" s="25">
        <v>237.28037310004234</v>
      </c>
      <c r="I258" s="25">
        <v>49.014439300000667</v>
      </c>
      <c r="J258" s="25">
        <v>20.7</v>
      </c>
      <c r="K258" s="6">
        <f t="shared" si="83"/>
        <v>306.99481240004297</v>
      </c>
      <c r="L258">
        <f t="shared" si="80"/>
        <v>1</v>
      </c>
      <c r="M258" s="5">
        <f t="shared" si="89"/>
        <v>44438</v>
      </c>
      <c r="N258" s="25">
        <v>244.08871299993993</v>
      </c>
      <c r="O258" s="25">
        <v>52.713269499994816</v>
      </c>
      <c r="P258" s="25">
        <v>20.811104166666663</v>
      </c>
      <c r="Q258" s="6">
        <f t="shared" si="81"/>
        <v>317.61308666660142</v>
      </c>
      <c r="R258">
        <f t="shared" si="74"/>
        <v>1</v>
      </c>
      <c r="S258" s="5">
        <f t="shared" si="90"/>
        <v>44803</v>
      </c>
      <c r="T258" s="25">
        <v>278.88966299998759</v>
      </c>
      <c r="U258" s="25">
        <v>61.088011299997568</v>
      </c>
      <c r="V258" s="25">
        <v>25.635879299999914</v>
      </c>
      <c r="W258" s="6">
        <f t="shared" si="94"/>
        <v>365.61355359998504</v>
      </c>
      <c r="X258">
        <f t="shared" si="75"/>
        <v>1</v>
      </c>
      <c r="Z258" s="5">
        <f t="shared" si="91"/>
        <v>44803</v>
      </c>
      <c r="AA258" s="25">
        <v>0</v>
      </c>
      <c r="AB258" s="25">
        <v>0</v>
      </c>
      <c r="AC258" s="25">
        <v>0</v>
      </c>
      <c r="AD258" s="6">
        <f t="shared" si="84"/>
        <v>0</v>
      </c>
      <c r="AE258">
        <f t="shared" si="76"/>
        <v>0</v>
      </c>
      <c r="AF258" s="5">
        <f t="shared" si="92"/>
        <v>45533</v>
      </c>
      <c r="AG258" s="25">
        <v>0</v>
      </c>
      <c r="AH258" s="25">
        <v>0</v>
      </c>
      <c r="AI258" s="25">
        <v>0</v>
      </c>
      <c r="AJ258" s="6">
        <f t="shared" si="85"/>
        <v>0</v>
      </c>
      <c r="AK258">
        <f t="shared" si="77"/>
        <v>0</v>
      </c>
      <c r="AL258" s="5">
        <f t="shared" si="93"/>
        <v>45899</v>
      </c>
      <c r="AM258" s="25">
        <v>0</v>
      </c>
      <c r="AN258" s="25">
        <v>0</v>
      </c>
      <c r="AO258" s="25">
        <v>0</v>
      </c>
      <c r="AP258" s="6">
        <f t="shared" si="86"/>
        <v>0</v>
      </c>
      <c r="AQ258">
        <f t="shared" si="78"/>
        <v>0</v>
      </c>
    </row>
    <row r="259" spans="1:43" x14ac:dyDescent="0.3">
      <c r="A259" s="21">
        <f t="shared" si="87"/>
        <v>43708</v>
      </c>
      <c r="B259" s="6">
        <v>223.42873119997978</v>
      </c>
      <c r="C259" s="6">
        <v>42.974206599999221</v>
      </c>
      <c r="D259" s="6">
        <v>23.884</v>
      </c>
      <c r="E259" s="6">
        <f t="shared" si="82"/>
        <v>290.286937799979</v>
      </c>
      <c r="F259">
        <f t="shared" si="79"/>
        <v>1</v>
      </c>
      <c r="G259" s="5">
        <f t="shared" si="88"/>
        <v>44073</v>
      </c>
      <c r="H259" s="25">
        <v>227.71234999990463</v>
      </c>
      <c r="I259" s="25">
        <v>40.666578599996868</v>
      </c>
      <c r="J259" s="25">
        <v>18.699000000000002</v>
      </c>
      <c r="K259" s="6">
        <f t="shared" si="83"/>
        <v>287.0779285999015</v>
      </c>
      <c r="L259">
        <f t="shared" si="80"/>
        <v>1</v>
      </c>
      <c r="M259" s="21">
        <f t="shared" si="89"/>
        <v>44439</v>
      </c>
      <c r="N259" s="25">
        <v>232.67152260005474</v>
      </c>
      <c r="O259" s="25">
        <v>51.859173500001432</v>
      </c>
      <c r="P259" s="25">
        <v>22.937000000000001</v>
      </c>
      <c r="Q259" s="6">
        <f t="shared" si="81"/>
        <v>307.46769610005617</v>
      </c>
      <c r="R259">
        <f>IF(Q259&gt;321500,1,0)</f>
        <v>0</v>
      </c>
      <c r="S259" s="21">
        <f t="shared" si="90"/>
        <v>44804</v>
      </c>
      <c r="T259" s="25">
        <v>282.79718999993798</v>
      </c>
      <c r="U259" s="25">
        <v>60.549812099993225</v>
      </c>
      <c r="V259" s="25">
        <v>23.594124800000806</v>
      </c>
      <c r="W259" s="6">
        <f t="shared" si="94"/>
        <v>366.94112689993204</v>
      </c>
      <c r="X259">
        <f>IF(W259&gt;321500,1,0)</f>
        <v>0</v>
      </c>
      <c r="Z259" s="21">
        <f t="shared" si="91"/>
        <v>44804</v>
      </c>
      <c r="AA259" s="25">
        <v>0</v>
      </c>
      <c r="AB259" s="25">
        <v>0</v>
      </c>
      <c r="AC259" s="25">
        <v>0</v>
      </c>
      <c r="AD259" s="6">
        <f t="shared" si="84"/>
        <v>0</v>
      </c>
      <c r="AE259">
        <f>IF(AD259&gt;321500,1,0)</f>
        <v>0</v>
      </c>
      <c r="AF259" s="21">
        <f t="shared" si="92"/>
        <v>45534</v>
      </c>
      <c r="AG259" s="25">
        <v>0</v>
      </c>
      <c r="AH259" s="25">
        <v>0</v>
      </c>
      <c r="AI259" s="25">
        <v>0</v>
      </c>
      <c r="AJ259" s="6">
        <f t="shared" si="85"/>
        <v>0</v>
      </c>
      <c r="AK259">
        <f>IF(AJ259&gt;321500,1,0)</f>
        <v>0</v>
      </c>
      <c r="AL259" s="21">
        <f t="shared" si="93"/>
        <v>45900</v>
      </c>
      <c r="AM259" s="25">
        <v>0</v>
      </c>
      <c r="AN259" s="25">
        <v>0</v>
      </c>
      <c r="AO259" s="25">
        <v>0</v>
      </c>
      <c r="AP259" s="6">
        <f t="shared" si="86"/>
        <v>0</v>
      </c>
      <c r="AQ259">
        <f>IF(AP259&gt;321500,1,0)</f>
        <v>0</v>
      </c>
    </row>
    <row r="260" spans="1:43" x14ac:dyDescent="0.3">
      <c r="A260" s="5">
        <f t="shared" si="87"/>
        <v>43709</v>
      </c>
      <c r="B260" s="25">
        <v>206.49858240008354</v>
      </c>
      <c r="C260" s="25">
        <v>40.46288379999995</v>
      </c>
      <c r="D260" s="25">
        <v>17.588000000000001</v>
      </c>
      <c r="E260" s="6">
        <f t="shared" si="82"/>
        <v>264.54946620008349</v>
      </c>
      <c r="F260">
        <f>IF(E260&gt;321500,1,0)</f>
        <v>0</v>
      </c>
      <c r="G260" s="21">
        <f t="shared" si="88"/>
        <v>44074</v>
      </c>
      <c r="H260" s="25">
        <v>241.96122269999981</v>
      </c>
      <c r="I260" s="25">
        <v>49.478392800003292</v>
      </c>
      <c r="J260" s="25">
        <v>20.581900000000001</v>
      </c>
      <c r="K260" s="6">
        <f t="shared" si="83"/>
        <v>312.02151550000315</v>
      </c>
      <c r="L260">
        <f>IF(K260&gt;321500,1,0)</f>
        <v>0</v>
      </c>
      <c r="M260" s="5">
        <f t="shared" si="89"/>
        <v>44440</v>
      </c>
      <c r="N260" s="30">
        <v>233.72380190002917</v>
      </c>
      <c r="O260" s="30">
        <v>52.677538199998438</v>
      </c>
      <c r="P260" s="30">
        <v>22.094999999999999</v>
      </c>
      <c r="Q260" s="6">
        <f t="shared" si="81"/>
        <v>308.49634010002762</v>
      </c>
      <c r="R260">
        <f t="shared" ref="R260:R323" si="95">IF(Q260&gt;321500,1,0)</f>
        <v>0</v>
      </c>
      <c r="S260" s="5">
        <f t="shared" si="90"/>
        <v>44805</v>
      </c>
      <c r="T260" s="30">
        <v>273.37605180001259</v>
      </c>
      <c r="U260" s="30">
        <v>60.920248999997973</v>
      </c>
      <c r="V260" s="30">
        <v>25.440460199999389</v>
      </c>
      <c r="W260" s="6">
        <f t="shared" si="94"/>
        <v>359.73676100000995</v>
      </c>
      <c r="X260">
        <f t="shared" ref="X260:X323" si="96">IF(W260&gt;321500,1,0)</f>
        <v>0</v>
      </c>
      <c r="Z260" s="5">
        <f t="shared" si="91"/>
        <v>44805</v>
      </c>
      <c r="AA260" s="30">
        <v>0</v>
      </c>
      <c r="AB260" s="30">
        <v>0</v>
      </c>
      <c r="AC260" s="30">
        <v>0</v>
      </c>
      <c r="AD260" s="6">
        <f t="shared" si="84"/>
        <v>0</v>
      </c>
      <c r="AE260">
        <f t="shared" ref="AE260:AE323" si="97">IF(AD260&gt;321500,1,0)</f>
        <v>0</v>
      </c>
      <c r="AF260" s="5">
        <f t="shared" si="92"/>
        <v>45535</v>
      </c>
      <c r="AG260" s="30">
        <v>0</v>
      </c>
      <c r="AH260" s="30">
        <v>0</v>
      </c>
      <c r="AI260" s="30">
        <v>0</v>
      </c>
      <c r="AJ260" s="6">
        <f t="shared" si="85"/>
        <v>0</v>
      </c>
      <c r="AK260">
        <f t="shared" ref="AK260:AK323" si="98">IF(AJ260&gt;321500,1,0)</f>
        <v>0</v>
      </c>
      <c r="AL260" s="5">
        <f t="shared" si="93"/>
        <v>45901</v>
      </c>
      <c r="AM260" s="30">
        <v>0</v>
      </c>
      <c r="AN260" s="30">
        <v>0</v>
      </c>
      <c r="AO260" s="30">
        <v>0</v>
      </c>
      <c r="AP260" s="6">
        <f t="shared" si="86"/>
        <v>0</v>
      </c>
      <c r="AQ260">
        <f t="shared" ref="AQ260:AQ323" si="99">IF(AP260&gt;321500,1,0)</f>
        <v>0</v>
      </c>
    </row>
    <row r="261" spans="1:43" x14ac:dyDescent="0.3">
      <c r="A261" s="5">
        <f t="shared" si="87"/>
        <v>43710</v>
      </c>
      <c r="B261" s="30">
        <v>262.38135649991034</v>
      </c>
      <c r="C261" s="30">
        <v>43.99807889999822</v>
      </c>
      <c r="D261" s="30">
        <v>22.14</v>
      </c>
      <c r="E261" s="29">
        <f t="shared" si="82"/>
        <v>328.51943539990856</v>
      </c>
      <c r="F261">
        <f t="shared" ref="F261:F324" si="100">IF(E261&gt;321500,1,0)</f>
        <v>0</v>
      </c>
      <c r="G261" s="5">
        <f t="shared" si="88"/>
        <v>44075</v>
      </c>
      <c r="H261" s="30">
        <v>245.71546240007876</v>
      </c>
      <c r="I261" s="30">
        <v>50.683530199997129</v>
      </c>
      <c r="J261" s="30">
        <v>22.7102</v>
      </c>
      <c r="K261" s="29">
        <f t="shared" si="83"/>
        <v>319.10919260007586</v>
      </c>
      <c r="L261">
        <f t="shared" ref="L261:L324" si="101">IF(K261&gt;321500,1,0)</f>
        <v>0</v>
      </c>
      <c r="M261" s="5">
        <f t="shared" si="89"/>
        <v>44441</v>
      </c>
      <c r="N261" s="25">
        <v>240.4096668999195</v>
      </c>
      <c r="O261" s="25">
        <v>53.205455900005994</v>
      </c>
      <c r="P261" s="25">
        <v>22.306000000000001</v>
      </c>
      <c r="Q261" s="6">
        <f t="shared" si="81"/>
        <v>315.92112279992546</v>
      </c>
      <c r="R261">
        <f t="shared" si="95"/>
        <v>0</v>
      </c>
      <c r="S261" s="5">
        <f t="shared" si="90"/>
        <v>44806</v>
      </c>
      <c r="T261" s="25">
        <v>277.78206910002234</v>
      </c>
      <c r="U261" s="25">
        <v>61.972731000006199</v>
      </c>
      <c r="V261" s="25">
        <v>25.668221700001041</v>
      </c>
      <c r="W261" s="6">
        <f t="shared" si="94"/>
        <v>365.42302180002957</v>
      </c>
      <c r="X261">
        <f t="shared" si="96"/>
        <v>0</v>
      </c>
      <c r="Z261" s="5">
        <f t="shared" si="91"/>
        <v>44806</v>
      </c>
      <c r="AA261" s="25">
        <v>0</v>
      </c>
      <c r="AB261" s="25">
        <v>0</v>
      </c>
      <c r="AC261" s="25">
        <v>0</v>
      </c>
      <c r="AD261" s="6">
        <f t="shared" si="84"/>
        <v>0</v>
      </c>
      <c r="AE261">
        <f t="shared" si="97"/>
        <v>0</v>
      </c>
      <c r="AF261" s="5">
        <f t="shared" si="92"/>
        <v>45536</v>
      </c>
      <c r="AG261" s="25">
        <v>0</v>
      </c>
      <c r="AH261" s="25">
        <v>0</v>
      </c>
      <c r="AI261" s="25">
        <v>0</v>
      </c>
      <c r="AJ261" s="6">
        <f t="shared" si="85"/>
        <v>0</v>
      </c>
      <c r="AK261">
        <f t="shared" si="98"/>
        <v>0</v>
      </c>
      <c r="AL261" s="5">
        <f t="shared" si="93"/>
        <v>45902</v>
      </c>
      <c r="AM261" s="25">
        <v>0</v>
      </c>
      <c r="AN261" s="25">
        <v>0</v>
      </c>
      <c r="AO261" s="25">
        <v>0</v>
      </c>
      <c r="AP261" s="6">
        <f t="shared" si="86"/>
        <v>0</v>
      </c>
      <c r="AQ261">
        <f t="shared" si="99"/>
        <v>0</v>
      </c>
    </row>
    <row r="262" spans="1:43" x14ac:dyDescent="0.3">
      <c r="A262" s="5">
        <f t="shared" si="87"/>
        <v>43711</v>
      </c>
      <c r="B262" s="25">
        <v>278.34072620010375</v>
      </c>
      <c r="C262" s="25">
        <v>49.042338700000194</v>
      </c>
      <c r="D262" s="25">
        <v>23.782</v>
      </c>
      <c r="E262" s="6">
        <f t="shared" si="82"/>
        <v>351.16506490010391</v>
      </c>
      <c r="F262">
        <f t="shared" si="100"/>
        <v>0</v>
      </c>
      <c r="G262" s="5">
        <f t="shared" si="88"/>
        <v>44076</v>
      </c>
      <c r="H262" s="25">
        <v>252.20527969992162</v>
      </c>
      <c r="I262" s="25">
        <v>50.395341000005601</v>
      </c>
      <c r="J262" s="25">
        <v>19.5945</v>
      </c>
      <c r="K262" s="6">
        <f t="shared" si="83"/>
        <v>322.1951206999272</v>
      </c>
      <c r="L262">
        <f t="shared" si="101"/>
        <v>0</v>
      </c>
      <c r="M262" s="5">
        <f t="shared" si="89"/>
        <v>44442</v>
      </c>
      <c r="N262" s="25">
        <v>223.61564390003682</v>
      </c>
      <c r="O262" s="25">
        <v>53.455295999996366</v>
      </c>
      <c r="P262" s="25">
        <v>17.215</v>
      </c>
      <c r="Q262" s="6">
        <f t="shared" si="81"/>
        <v>294.28593990003316</v>
      </c>
      <c r="R262">
        <f t="shared" si="95"/>
        <v>0</v>
      </c>
      <c r="S262" s="5">
        <f t="shared" si="90"/>
        <v>44807</v>
      </c>
      <c r="T262" s="25">
        <v>261.03495340001581</v>
      </c>
      <c r="U262" s="25">
        <v>59.378614600002763</v>
      </c>
      <c r="V262" s="25">
        <v>25.385651000001001</v>
      </c>
      <c r="W262" s="6">
        <f t="shared" si="94"/>
        <v>345.7992190000196</v>
      </c>
      <c r="X262">
        <f t="shared" si="96"/>
        <v>0</v>
      </c>
      <c r="Z262" s="5">
        <f t="shared" si="91"/>
        <v>44807</v>
      </c>
      <c r="AA262" s="25">
        <v>0</v>
      </c>
      <c r="AB262" s="25">
        <v>0</v>
      </c>
      <c r="AC262" s="25">
        <v>0</v>
      </c>
      <c r="AD262" s="6">
        <f t="shared" si="84"/>
        <v>0</v>
      </c>
      <c r="AE262">
        <f t="shared" si="97"/>
        <v>0</v>
      </c>
      <c r="AF262" s="5">
        <f t="shared" si="92"/>
        <v>45537</v>
      </c>
      <c r="AG262" s="25">
        <v>0</v>
      </c>
      <c r="AH262" s="25">
        <v>0</v>
      </c>
      <c r="AI262" s="25">
        <v>0</v>
      </c>
      <c r="AJ262" s="6">
        <f t="shared" si="85"/>
        <v>0</v>
      </c>
      <c r="AK262">
        <f t="shared" si="98"/>
        <v>0</v>
      </c>
      <c r="AL262" s="5">
        <f t="shared" si="93"/>
        <v>45903</v>
      </c>
      <c r="AM262" s="25">
        <v>0</v>
      </c>
      <c r="AN262" s="25">
        <v>0</v>
      </c>
      <c r="AO262" s="25">
        <v>0</v>
      </c>
      <c r="AP262" s="6">
        <f t="shared" si="86"/>
        <v>0</v>
      </c>
      <c r="AQ262">
        <f t="shared" si="99"/>
        <v>0</v>
      </c>
    </row>
    <row r="263" spans="1:43" x14ac:dyDescent="0.3">
      <c r="A263" s="5">
        <f t="shared" si="87"/>
        <v>43712</v>
      </c>
      <c r="B263" s="25">
        <v>281.28362499999997</v>
      </c>
      <c r="C263" s="25">
        <v>48.765862100001428</v>
      </c>
      <c r="D263" s="25">
        <v>24.420999999999999</v>
      </c>
      <c r="E263" s="6">
        <f t="shared" si="82"/>
        <v>354.47048710000138</v>
      </c>
      <c r="F263">
        <f t="shared" si="100"/>
        <v>0</v>
      </c>
      <c r="G263" s="5">
        <f t="shared" si="88"/>
        <v>44077</v>
      </c>
      <c r="H263" s="25">
        <v>253.19035330009461</v>
      </c>
      <c r="I263" s="25">
        <v>50.035487999998033</v>
      </c>
      <c r="J263" s="25">
        <v>22.727</v>
      </c>
      <c r="K263" s="6">
        <f t="shared" si="83"/>
        <v>325.95284130009264</v>
      </c>
      <c r="L263">
        <f t="shared" si="101"/>
        <v>0</v>
      </c>
      <c r="M263" s="5">
        <f t="shared" si="89"/>
        <v>44443</v>
      </c>
      <c r="N263" s="25">
        <v>210.32477700006962</v>
      </c>
      <c r="O263" s="25">
        <v>50.422957100003956</v>
      </c>
      <c r="P263" s="25">
        <v>22.791</v>
      </c>
      <c r="Q263" s="6">
        <f t="shared" si="81"/>
        <v>283.53873410007355</v>
      </c>
      <c r="R263">
        <f t="shared" si="95"/>
        <v>0</v>
      </c>
      <c r="S263" s="5">
        <f t="shared" si="90"/>
        <v>44808</v>
      </c>
      <c r="T263" s="25">
        <v>248.78562730002403</v>
      </c>
      <c r="U263" s="25">
        <v>53.176632499992849</v>
      </c>
      <c r="V263" s="25">
        <v>18.63116309999954</v>
      </c>
      <c r="W263" s="6">
        <f t="shared" si="94"/>
        <v>320.59342290001644</v>
      </c>
      <c r="X263">
        <f t="shared" si="96"/>
        <v>0</v>
      </c>
      <c r="Z263" s="5">
        <f t="shared" si="91"/>
        <v>44808</v>
      </c>
      <c r="AA263" s="25">
        <v>0</v>
      </c>
      <c r="AB263" s="25">
        <v>0</v>
      </c>
      <c r="AC263" s="25">
        <v>0</v>
      </c>
      <c r="AD263" s="6">
        <f t="shared" si="84"/>
        <v>0</v>
      </c>
      <c r="AE263">
        <f t="shared" si="97"/>
        <v>0</v>
      </c>
      <c r="AF263" s="5">
        <f t="shared" si="92"/>
        <v>45538</v>
      </c>
      <c r="AG263" s="25">
        <v>0</v>
      </c>
      <c r="AH263" s="25">
        <v>0</v>
      </c>
      <c r="AI263" s="25">
        <v>0</v>
      </c>
      <c r="AJ263" s="6">
        <f t="shared" si="85"/>
        <v>0</v>
      </c>
      <c r="AK263">
        <f t="shared" si="98"/>
        <v>0</v>
      </c>
      <c r="AL263" s="5">
        <f t="shared" si="93"/>
        <v>45904</v>
      </c>
      <c r="AM263" s="25">
        <v>0</v>
      </c>
      <c r="AN263" s="25">
        <v>0</v>
      </c>
      <c r="AO263" s="25">
        <v>0</v>
      </c>
      <c r="AP263" s="6">
        <f t="shared" si="86"/>
        <v>0</v>
      </c>
      <c r="AQ263">
        <f t="shared" si="99"/>
        <v>0</v>
      </c>
    </row>
    <row r="264" spans="1:43" x14ac:dyDescent="0.3">
      <c r="A264" s="5">
        <f t="shared" si="87"/>
        <v>43713</v>
      </c>
      <c r="B264" s="25">
        <v>290.72812169992926</v>
      </c>
      <c r="C264" s="25">
        <v>47.638523800000549</v>
      </c>
      <c r="D264" s="25">
        <v>24.393999999999998</v>
      </c>
      <c r="E264" s="6">
        <f t="shared" si="82"/>
        <v>362.76064549992981</v>
      </c>
      <c r="F264">
        <f t="shared" si="100"/>
        <v>0</v>
      </c>
      <c r="G264" s="5">
        <f t="shared" si="88"/>
        <v>44078</v>
      </c>
      <c r="H264" s="25">
        <v>257.3640353999138</v>
      </c>
      <c r="I264" s="25">
        <v>47.460787099994718</v>
      </c>
      <c r="J264" s="25">
        <v>21.25</v>
      </c>
      <c r="K264" s="6">
        <f t="shared" si="83"/>
        <v>326.07482249990852</v>
      </c>
      <c r="L264">
        <f t="shared" si="101"/>
        <v>0</v>
      </c>
      <c r="M264" s="5">
        <f t="shared" si="89"/>
        <v>44444</v>
      </c>
      <c r="N264" s="25">
        <v>218.80565809988977</v>
      </c>
      <c r="O264" s="25">
        <v>42.568674599997699</v>
      </c>
      <c r="P264" s="25">
        <v>17.95</v>
      </c>
      <c r="Q264" s="6">
        <f t="shared" si="81"/>
        <v>279.32433269988746</v>
      </c>
      <c r="R264">
        <f t="shared" si="95"/>
        <v>0</v>
      </c>
      <c r="S264" s="5">
        <f t="shared" si="90"/>
        <v>44809</v>
      </c>
      <c r="T264" s="25">
        <v>267.50338289999962</v>
      </c>
      <c r="U264" s="25">
        <v>58.601887100011112</v>
      </c>
      <c r="V264" s="25">
        <v>25.422888799999374</v>
      </c>
      <c r="W264" s="6">
        <f t="shared" si="94"/>
        <v>351.52815880001009</v>
      </c>
      <c r="X264">
        <f t="shared" si="96"/>
        <v>0</v>
      </c>
      <c r="Z264" s="5">
        <f t="shared" si="91"/>
        <v>44809</v>
      </c>
      <c r="AA264" s="25">
        <v>0</v>
      </c>
      <c r="AB264" s="25">
        <v>0</v>
      </c>
      <c r="AC264" s="25">
        <v>0</v>
      </c>
      <c r="AD264" s="6">
        <f t="shared" si="84"/>
        <v>0</v>
      </c>
      <c r="AE264">
        <f t="shared" si="97"/>
        <v>0</v>
      </c>
      <c r="AF264" s="5">
        <f t="shared" si="92"/>
        <v>45539</v>
      </c>
      <c r="AG264" s="25">
        <v>0</v>
      </c>
      <c r="AH264" s="25">
        <v>0</v>
      </c>
      <c r="AI264" s="25">
        <v>0</v>
      </c>
      <c r="AJ264" s="6">
        <f t="shared" si="85"/>
        <v>0</v>
      </c>
      <c r="AK264">
        <f t="shared" si="98"/>
        <v>0</v>
      </c>
      <c r="AL264" s="5">
        <f t="shared" si="93"/>
        <v>45905</v>
      </c>
      <c r="AM264" s="25">
        <v>0</v>
      </c>
      <c r="AN264" s="25">
        <v>0</v>
      </c>
      <c r="AO264" s="25">
        <v>0</v>
      </c>
      <c r="AP264" s="6">
        <f t="shared" si="86"/>
        <v>0</v>
      </c>
      <c r="AQ264">
        <f t="shared" si="99"/>
        <v>0</v>
      </c>
    </row>
    <row r="265" spans="1:43" x14ac:dyDescent="0.3">
      <c r="A265" s="5">
        <f t="shared" si="87"/>
        <v>43714</v>
      </c>
      <c r="B265" s="25">
        <v>268.33723839998243</v>
      </c>
      <c r="C265" s="25">
        <v>51.656491699997339</v>
      </c>
      <c r="D265" s="25">
        <v>24.498999999999999</v>
      </c>
      <c r="E265" s="6">
        <f t="shared" si="82"/>
        <v>344.49273009997978</v>
      </c>
      <c r="F265">
        <f t="shared" si="100"/>
        <v>0</v>
      </c>
      <c r="G265" s="5">
        <f t="shared" si="88"/>
        <v>44079</v>
      </c>
      <c r="H265" s="25">
        <v>244.4248654000759</v>
      </c>
      <c r="I265" s="25">
        <v>45.158401600003245</v>
      </c>
      <c r="J265" s="25">
        <v>21.683</v>
      </c>
      <c r="K265" s="6">
        <f t="shared" si="83"/>
        <v>311.26626700007915</v>
      </c>
      <c r="L265">
        <f t="shared" si="101"/>
        <v>0</v>
      </c>
      <c r="M265" s="5">
        <f t="shared" si="89"/>
        <v>44445</v>
      </c>
      <c r="N265" s="25">
        <v>245.41568840003015</v>
      </c>
      <c r="O265" s="25">
        <v>53.143143299996851</v>
      </c>
      <c r="P265" s="25">
        <v>19.95</v>
      </c>
      <c r="Q265" s="6">
        <f t="shared" si="81"/>
        <v>318.50883170002697</v>
      </c>
      <c r="R265">
        <f t="shared" si="95"/>
        <v>0</v>
      </c>
      <c r="S265" s="5">
        <f t="shared" si="90"/>
        <v>44810</v>
      </c>
      <c r="T265" s="25">
        <v>268.86272689998151</v>
      </c>
      <c r="U265" s="25">
        <v>64.319580999985334</v>
      </c>
      <c r="V265" s="25">
        <v>26.534722700002138</v>
      </c>
      <c r="W265" s="6">
        <f t="shared" si="94"/>
        <v>359.71703059996901</v>
      </c>
      <c r="X265">
        <f t="shared" si="96"/>
        <v>0</v>
      </c>
      <c r="Z265" s="5">
        <f t="shared" si="91"/>
        <v>44810</v>
      </c>
      <c r="AA265" s="25">
        <v>0</v>
      </c>
      <c r="AB265" s="25">
        <v>0</v>
      </c>
      <c r="AC265" s="25">
        <v>0</v>
      </c>
      <c r="AD265" s="6">
        <f t="shared" si="84"/>
        <v>0</v>
      </c>
      <c r="AE265">
        <f t="shared" si="97"/>
        <v>0</v>
      </c>
      <c r="AF265" s="5">
        <f t="shared" si="92"/>
        <v>45540</v>
      </c>
      <c r="AG265" s="25">
        <v>0</v>
      </c>
      <c r="AH265" s="25">
        <v>0</v>
      </c>
      <c r="AI265" s="25">
        <v>0</v>
      </c>
      <c r="AJ265" s="6">
        <f t="shared" si="85"/>
        <v>0</v>
      </c>
      <c r="AK265">
        <f t="shared" si="98"/>
        <v>0</v>
      </c>
      <c r="AL265" s="5">
        <f t="shared" si="93"/>
        <v>45906</v>
      </c>
      <c r="AM265" s="25">
        <v>0</v>
      </c>
      <c r="AN265" s="25">
        <v>0</v>
      </c>
      <c r="AO265" s="25">
        <v>0</v>
      </c>
      <c r="AP265" s="6">
        <f t="shared" si="86"/>
        <v>0</v>
      </c>
      <c r="AQ265">
        <f t="shared" si="99"/>
        <v>0</v>
      </c>
    </row>
    <row r="266" spans="1:43" x14ac:dyDescent="0.3">
      <c r="A266" s="5">
        <f t="shared" si="87"/>
        <v>43715</v>
      </c>
      <c r="B266" s="25">
        <v>246.93849269998074</v>
      </c>
      <c r="C266" s="25">
        <v>49.605849600002166</v>
      </c>
      <c r="D266" s="25">
        <v>23.582999999999998</v>
      </c>
      <c r="E266" s="6">
        <f t="shared" si="82"/>
        <v>320.12734229998296</v>
      </c>
      <c r="F266">
        <f t="shared" si="100"/>
        <v>0</v>
      </c>
      <c r="G266" s="5">
        <f t="shared" si="88"/>
        <v>44080</v>
      </c>
      <c r="H266" s="25">
        <v>228.40392039990425</v>
      </c>
      <c r="I266" s="25">
        <v>42.010665500000123</v>
      </c>
      <c r="J266" s="25">
        <v>20.071000000000002</v>
      </c>
      <c r="K266" s="6">
        <f t="shared" si="83"/>
        <v>290.48558589990438</v>
      </c>
      <c r="L266">
        <f t="shared" si="101"/>
        <v>0</v>
      </c>
      <c r="M266" s="5">
        <f t="shared" si="89"/>
        <v>44446</v>
      </c>
      <c r="N266" s="25">
        <v>240.01868229997157</v>
      </c>
      <c r="O266" s="25">
        <v>53.349972000002865</v>
      </c>
      <c r="P266" s="25">
        <v>17.573</v>
      </c>
      <c r="Q266" s="6">
        <f t="shared" si="81"/>
        <v>310.9416542999744</v>
      </c>
      <c r="R266">
        <f t="shared" si="95"/>
        <v>0</v>
      </c>
      <c r="S266" s="5">
        <f t="shared" si="90"/>
        <v>44811</v>
      </c>
      <c r="T266" s="25">
        <v>279.4891668999195</v>
      </c>
      <c r="U266" s="25">
        <v>63.424105900004506</v>
      </c>
      <c r="V266" s="25">
        <v>25.738059199997224</v>
      </c>
      <c r="W266" s="6">
        <f t="shared" si="94"/>
        <v>368.65133199992124</v>
      </c>
      <c r="X266">
        <f t="shared" si="96"/>
        <v>0</v>
      </c>
      <c r="Z266" s="5">
        <f t="shared" si="91"/>
        <v>44811</v>
      </c>
      <c r="AA266" s="25">
        <v>0</v>
      </c>
      <c r="AB266" s="25">
        <v>0</v>
      </c>
      <c r="AC266" s="25">
        <v>0</v>
      </c>
      <c r="AD266" s="6">
        <f t="shared" si="84"/>
        <v>0</v>
      </c>
      <c r="AE266">
        <f t="shared" si="97"/>
        <v>0</v>
      </c>
      <c r="AF266" s="5">
        <f t="shared" si="92"/>
        <v>45541</v>
      </c>
      <c r="AG266" s="25">
        <v>0</v>
      </c>
      <c r="AH266" s="25">
        <v>0</v>
      </c>
      <c r="AI266" s="25">
        <v>0</v>
      </c>
      <c r="AJ266" s="6">
        <f t="shared" si="85"/>
        <v>0</v>
      </c>
      <c r="AK266">
        <f t="shared" si="98"/>
        <v>0</v>
      </c>
      <c r="AL266" s="5">
        <f t="shared" si="93"/>
        <v>45907</v>
      </c>
      <c r="AM266" s="25">
        <v>0</v>
      </c>
      <c r="AN266" s="25">
        <v>0</v>
      </c>
      <c r="AO266" s="25">
        <v>0</v>
      </c>
      <c r="AP266" s="6">
        <f t="shared" si="86"/>
        <v>0</v>
      </c>
      <c r="AQ266">
        <f t="shared" si="99"/>
        <v>0</v>
      </c>
    </row>
    <row r="267" spans="1:43" x14ac:dyDescent="0.3">
      <c r="A267" s="5">
        <f t="shared" si="87"/>
        <v>43716</v>
      </c>
      <c r="B267" s="25">
        <v>228.70271460008621</v>
      </c>
      <c r="C267" s="25">
        <v>42.471352699998768</v>
      </c>
      <c r="D267" s="25">
        <v>17.251000000000001</v>
      </c>
      <c r="E267" s="6">
        <f t="shared" si="82"/>
        <v>288.42506730008495</v>
      </c>
      <c r="F267">
        <f t="shared" si="100"/>
        <v>0</v>
      </c>
      <c r="G267" s="5">
        <f t="shared" si="88"/>
        <v>44081</v>
      </c>
      <c r="H267" s="25">
        <v>252.68998810005189</v>
      </c>
      <c r="I267" s="25">
        <v>52.028179200001063</v>
      </c>
      <c r="J267" s="25">
        <v>21.58</v>
      </c>
      <c r="K267" s="6">
        <f t="shared" si="83"/>
        <v>326.29816730005297</v>
      </c>
      <c r="L267">
        <f t="shared" si="101"/>
        <v>0</v>
      </c>
      <c r="M267" s="5">
        <f t="shared" si="89"/>
        <v>44447</v>
      </c>
      <c r="N267" s="25">
        <v>228.29627000010012</v>
      </c>
      <c r="O267" s="25">
        <v>52.781726199999454</v>
      </c>
      <c r="P267" s="25">
        <v>19.927</v>
      </c>
      <c r="Q267" s="6">
        <f t="shared" si="81"/>
        <v>301.00499620009958</v>
      </c>
      <c r="R267">
        <f t="shared" si="95"/>
        <v>0</v>
      </c>
      <c r="S267" s="5">
        <f t="shared" si="90"/>
        <v>44812</v>
      </c>
      <c r="T267" s="25">
        <v>271.09401289999482</v>
      </c>
      <c r="U267" s="25">
        <v>61.310074000000952</v>
      </c>
      <c r="V267" s="25">
        <v>25.101263299999758</v>
      </c>
      <c r="W267" s="6">
        <f t="shared" si="94"/>
        <v>357.50535019999552</v>
      </c>
      <c r="X267">
        <f t="shared" si="96"/>
        <v>0</v>
      </c>
      <c r="Z267" s="5">
        <f t="shared" si="91"/>
        <v>44812</v>
      </c>
      <c r="AA267" s="25">
        <v>0</v>
      </c>
      <c r="AB267" s="25">
        <v>0</v>
      </c>
      <c r="AC267" s="25">
        <v>0</v>
      </c>
      <c r="AD267" s="6">
        <f t="shared" si="84"/>
        <v>0</v>
      </c>
      <c r="AE267">
        <f t="shared" si="97"/>
        <v>0</v>
      </c>
      <c r="AF267" s="5">
        <f t="shared" si="92"/>
        <v>45542</v>
      </c>
      <c r="AG267" s="25">
        <v>0</v>
      </c>
      <c r="AH267" s="25">
        <v>0</v>
      </c>
      <c r="AI267" s="25">
        <v>0</v>
      </c>
      <c r="AJ267" s="6">
        <f t="shared" si="85"/>
        <v>0</v>
      </c>
      <c r="AK267">
        <f t="shared" si="98"/>
        <v>0</v>
      </c>
      <c r="AL267" s="5">
        <f t="shared" si="93"/>
        <v>45908</v>
      </c>
      <c r="AM267" s="25">
        <v>0</v>
      </c>
      <c r="AN267" s="25">
        <v>0</v>
      </c>
      <c r="AO267" s="25">
        <v>0</v>
      </c>
      <c r="AP267" s="6">
        <f t="shared" si="86"/>
        <v>0</v>
      </c>
      <c r="AQ267">
        <f t="shared" si="99"/>
        <v>0</v>
      </c>
    </row>
    <row r="268" spans="1:43" x14ac:dyDescent="0.3">
      <c r="A268" s="5">
        <f t="shared" si="87"/>
        <v>43717</v>
      </c>
      <c r="B268" s="25">
        <v>257.55590170001983</v>
      </c>
      <c r="C268" s="25">
        <v>47.382232400000092</v>
      </c>
      <c r="D268" s="25">
        <v>24.417000000000002</v>
      </c>
      <c r="E268" s="6">
        <f t="shared" si="82"/>
        <v>329.35513410001988</v>
      </c>
      <c r="F268">
        <f t="shared" si="100"/>
        <v>0</v>
      </c>
      <c r="G268" s="5">
        <f t="shared" si="88"/>
        <v>44082</v>
      </c>
      <c r="H268" s="25">
        <v>247.32361140000819</v>
      </c>
      <c r="I268" s="25">
        <v>52.86768710000068</v>
      </c>
      <c r="J268" s="25">
        <v>22.13</v>
      </c>
      <c r="K268" s="6">
        <f t="shared" si="83"/>
        <v>322.32129850000888</v>
      </c>
      <c r="L268">
        <f t="shared" si="101"/>
        <v>0</v>
      </c>
      <c r="M268" s="5">
        <f t="shared" si="89"/>
        <v>44448</v>
      </c>
      <c r="N268" s="25">
        <v>224.82248289990426</v>
      </c>
      <c r="O268" s="25">
        <v>54.0046651000008</v>
      </c>
      <c r="P268" s="25">
        <v>23.844999999999999</v>
      </c>
      <c r="Q268" s="6">
        <f t="shared" si="81"/>
        <v>302.67214799990506</v>
      </c>
      <c r="R268">
        <f t="shared" si="95"/>
        <v>0</v>
      </c>
      <c r="S268" s="5">
        <f t="shared" si="90"/>
        <v>44813</v>
      </c>
      <c r="T268" s="25">
        <v>259.1592599000931</v>
      </c>
      <c r="U268" s="25">
        <v>56.309669900000095</v>
      </c>
      <c r="V268" s="25">
        <v>24.469256900003181</v>
      </c>
      <c r="W268" s="6">
        <f t="shared" si="94"/>
        <v>339.93818670009637</v>
      </c>
      <c r="X268">
        <f t="shared" si="96"/>
        <v>0</v>
      </c>
      <c r="Z268" s="5">
        <f t="shared" si="91"/>
        <v>44813</v>
      </c>
      <c r="AA268" s="25">
        <v>0</v>
      </c>
      <c r="AB268" s="25">
        <v>0</v>
      </c>
      <c r="AC268" s="25">
        <v>0</v>
      </c>
      <c r="AD268" s="6">
        <f t="shared" si="84"/>
        <v>0</v>
      </c>
      <c r="AE268">
        <f t="shared" si="97"/>
        <v>0</v>
      </c>
      <c r="AF268" s="5">
        <f t="shared" si="92"/>
        <v>45543</v>
      </c>
      <c r="AG268" s="25">
        <v>0</v>
      </c>
      <c r="AH268" s="25">
        <v>0</v>
      </c>
      <c r="AI268" s="25">
        <v>0</v>
      </c>
      <c r="AJ268" s="6">
        <f t="shared" si="85"/>
        <v>0</v>
      </c>
      <c r="AK268">
        <f t="shared" si="98"/>
        <v>0</v>
      </c>
      <c r="AL268" s="5">
        <f t="shared" si="93"/>
        <v>45909</v>
      </c>
      <c r="AM268" s="25">
        <v>0</v>
      </c>
      <c r="AN268" s="25">
        <v>0</v>
      </c>
      <c r="AO268" s="25">
        <v>0</v>
      </c>
      <c r="AP268" s="6">
        <f t="shared" si="86"/>
        <v>0</v>
      </c>
      <c r="AQ268">
        <f t="shared" si="99"/>
        <v>0</v>
      </c>
    </row>
    <row r="269" spans="1:43" x14ac:dyDescent="0.3">
      <c r="A269" s="5">
        <f t="shared" si="87"/>
        <v>43718</v>
      </c>
      <c r="B269" s="25">
        <v>254.19336219990254</v>
      </c>
      <c r="C269" s="25">
        <v>47.896028500001876</v>
      </c>
      <c r="D269" s="25">
        <v>24.387</v>
      </c>
      <c r="E269" s="6">
        <f t="shared" si="82"/>
        <v>326.47639069990441</v>
      </c>
      <c r="F269">
        <f t="shared" si="100"/>
        <v>0</v>
      </c>
      <c r="G269" s="5">
        <f t="shared" si="88"/>
        <v>44083</v>
      </c>
      <c r="H269" s="25">
        <v>240.61252649998664</v>
      </c>
      <c r="I269" s="25">
        <v>51.568514299996195</v>
      </c>
      <c r="J269" s="25">
        <v>22.478000000000002</v>
      </c>
      <c r="K269" s="6">
        <f t="shared" si="83"/>
        <v>314.65904079998285</v>
      </c>
      <c r="L269">
        <f t="shared" si="101"/>
        <v>0</v>
      </c>
      <c r="M269" s="5">
        <f t="shared" si="89"/>
        <v>44449</v>
      </c>
      <c r="N269" s="25">
        <v>212.70473290002346</v>
      </c>
      <c r="O269" s="25">
        <v>51.50253480000049</v>
      </c>
      <c r="P269" s="25">
        <v>22.751999999999999</v>
      </c>
      <c r="Q269" s="6">
        <f t="shared" si="81"/>
        <v>286.95926770002399</v>
      </c>
      <c r="R269">
        <f t="shared" si="95"/>
        <v>0</v>
      </c>
      <c r="S269" s="5">
        <f t="shared" si="90"/>
        <v>44814</v>
      </c>
      <c r="T269" s="25">
        <v>249.71092409992218</v>
      </c>
      <c r="U269" s="25">
        <v>56.225589800000193</v>
      </c>
      <c r="V269" s="25">
        <v>23.596282699998934</v>
      </c>
      <c r="W269" s="6">
        <f t="shared" si="94"/>
        <v>329.53279659992131</v>
      </c>
      <c r="X269">
        <f t="shared" si="96"/>
        <v>0</v>
      </c>
      <c r="Z269" s="5">
        <f t="shared" si="91"/>
        <v>44814</v>
      </c>
      <c r="AA269" s="25">
        <v>0</v>
      </c>
      <c r="AB269" s="25">
        <v>0</v>
      </c>
      <c r="AC269" s="25">
        <v>0</v>
      </c>
      <c r="AD269" s="6">
        <f t="shared" si="84"/>
        <v>0</v>
      </c>
      <c r="AE269">
        <f t="shared" si="97"/>
        <v>0</v>
      </c>
      <c r="AF269" s="5">
        <f t="shared" si="92"/>
        <v>45544</v>
      </c>
      <c r="AG269" s="25">
        <v>0</v>
      </c>
      <c r="AH269" s="25">
        <v>0</v>
      </c>
      <c r="AI269" s="25">
        <v>0</v>
      </c>
      <c r="AJ269" s="6">
        <f t="shared" si="85"/>
        <v>0</v>
      </c>
      <c r="AK269">
        <f t="shared" si="98"/>
        <v>0</v>
      </c>
      <c r="AL269" s="5">
        <f t="shared" si="93"/>
        <v>45910</v>
      </c>
      <c r="AM269" s="25">
        <v>0</v>
      </c>
      <c r="AN269" s="25">
        <v>0</v>
      </c>
      <c r="AO269" s="25">
        <v>0</v>
      </c>
      <c r="AP269" s="6">
        <f t="shared" si="86"/>
        <v>0</v>
      </c>
      <c r="AQ269">
        <f t="shared" si="99"/>
        <v>0</v>
      </c>
    </row>
    <row r="270" spans="1:43" x14ac:dyDescent="0.3">
      <c r="A270" s="5">
        <f t="shared" si="87"/>
        <v>43719</v>
      </c>
      <c r="B270" s="25">
        <v>254.30172940003871</v>
      </c>
      <c r="C270" s="25">
        <v>47.891850099999459</v>
      </c>
      <c r="D270" s="25">
        <v>24.405000000000001</v>
      </c>
      <c r="E270" s="6">
        <f t="shared" si="82"/>
        <v>326.59857950003811</v>
      </c>
      <c r="F270">
        <f t="shared" si="100"/>
        <v>0</v>
      </c>
      <c r="G270" s="5">
        <f t="shared" si="88"/>
        <v>44084</v>
      </c>
      <c r="H270" s="25">
        <v>235.996049200058</v>
      </c>
      <c r="I270" s="25">
        <v>50.819325300000607</v>
      </c>
      <c r="J270" s="25">
        <v>22.2</v>
      </c>
      <c r="K270" s="6">
        <f t="shared" si="83"/>
        <v>309.01537450005861</v>
      </c>
      <c r="L270">
        <f t="shared" si="101"/>
        <v>0</v>
      </c>
      <c r="M270" s="5">
        <f t="shared" si="89"/>
        <v>44450</v>
      </c>
      <c r="N270" s="25">
        <v>217.70446000003815</v>
      </c>
      <c r="O270" s="25">
        <v>49.254172399997714</v>
      </c>
      <c r="P270" s="25">
        <v>22.584</v>
      </c>
      <c r="Q270" s="6">
        <f t="shared" si="81"/>
        <v>289.54263240003587</v>
      </c>
      <c r="R270">
        <f t="shared" si="95"/>
        <v>0</v>
      </c>
      <c r="S270" s="5">
        <f t="shared" si="90"/>
        <v>44815</v>
      </c>
      <c r="T270" s="25">
        <v>225.9102584000826</v>
      </c>
      <c r="U270" s="25">
        <v>49.721491099998353</v>
      </c>
      <c r="V270" s="25">
        <v>18.497347700000741</v>
      </c>
      <c r="W270" s="6">
        <f t="shared" si="94"/>
        <v>294.12909720008167</v>
      </c>
      <c r="X270">
        <f t="shared" si="96"/>
        <v>0</v>
      </c>
      <c r="Z270" s="5">
        <f t="shared" si="91"/>
        <v>44815</v>
      </c>
      <c r="AA270" s="25">
        <v>0</v>
      </c>
      <c r="AB270" s="25">
        <v>0</v>
      </c>
      <c r="AC270" s="25">
        <v>0</v>
      </c>
      <c r="AD270" s="6">
        <f t="shared" si="84"/>
        <v>0</v>
      </c>
      <c r="AE270">
        <f t="shared" si="97"/>
        <v>0</v>
      </c>
      <c r="AF270" s="5">
        <f t="shared" si="92"/>
        <v>45545</v>
      </c>
      <c r="AG270" s="25">
        <v>0</v>
      </c>
      <c r="AH270" s="25">
        <v>0</v>
      </c>
      <c r="AI270" s="25">
        <v>0</v>
      </c>
      <c r="AJ270" s="6">
        <f t="shared" si="85"/>
        <v>0</v>
      </c>
      <c r="AK270">
        <f t="shared" si="98"/>
        <v>0</v>
      </c>
      <c r="AL270" s="5">
        <f t="shared" si="93"/>
        <v>45911</v>
      </c>
      <c r="AM270" s="25">
        <v>0</v>
      </c>
      <c r="AN270" s="25">
        <v>0</v>
      </c>
      <c r="AO270" s="25">
        <v>0</v>
      </c>
      <c r="AP270" s="6">
        <f t="shared" si="86"/>
        <v>0</v>
      </c>
      <c r="AQ270">
        <f t="shared" si="99"/>
        <v>0</v>
      </c>
    </row>
    <row r="271" spans="1:43" x14ac:dyDescent="0.3">
      <c r="A271" s="5">
        <f t="shared" si="87"/>
        <v>43720</v>
      </c>
      <c r="B271" s="25">
        <v>257.16510249996185</v>
      </c>
      <c r="C271" s="25">
        <v>48.742942400000992</v>
      </c>
      <c r="D271" s="25">
        <v>24.437999999999999</v>
      </c>
      <c r="E271" s="6">
        <f t="shared" si="82"/>
        <v>330.34604489996281</v>
      </c>
      <c r="F271">
        <f t="shared" si="100"/>
        <v>0</v>
      </c>
      <c r="G271" s="5">
        <f t="shared" si="88"/>
        <v>44085</v>
      </c>
      <c r="H271" s="25">
        <v>230.37033729994297</v>
      </c>
      <c r="I271" s="25">
        <v>48.929842399999501</v>
      </c>
      <c r="J271" s="25">
        <v>21.916</v>
      </c>
      <c r="K271" s="6">
        <f t="shared" si="83"/>
        <v>301.21617969994247</v>
      </c>
      <c r="L271">
        <f t="shared" si="101"/>
        <v>0</v>
      </c>
      <c r="M271" s="5">
        <f t="shared" si="89"/>
        <v>44451</v>
      </c>
      <c r="N271" s="25">
        <v>195.60237090003491</v>
      </c>
      <c r="O271" s="25">
        <v>44.644166600003835</v>
      </c>
      <c r="P271" s="25">
        <v>18.734000000000002</v>
      </c>
      <c r="Q271" s="6">
        <f t="shared" si="81"/>
        <v>258.98053750003874</v>
      </c>
      <c r="R271">
        <f t="shared" si="95"/>
        <v>0</v>
      </c>
      <c r="S271" s="5">
        <f t="shared" si="90"/>
        <v>44816</v>
      </c>
      <c r="T271" s="25">
        <v>271.17521609997749</v>
      </c>
      <c r="U271" s="25">
        <v>57.84027880001068</v>
      </c>
      <c r="V271" s="25">
        <v>23.368084299997893</v>
      </c>
      <c r="W271" s="6">
        <f t="shared" si="94"/>
        <v>352.38357919998612</v>
      </c>
      <c r="X271">
        <f t="shared" si="96"/>
        <v>0</v>
      </c>
      <c r="Z271" s="5">
        <f t="shared" si="91"/>
        <v>44816</v>
      </c>
      <c r="AA271" s="25">
        <v>0</v>
      </c>
      <c r="AB271" s="25">
        <v>0</v>
      </c>
      <c r="AC271" s="25">
        <v>0</v>
      </c>
      <c r="AD271" s="6">
        <f t="shared" si="84"/>
        <v>0</v>
      </c>
      <c r="AE271">
        <f t="shared" si="97"/>
        <v>0</v>
      </c>
      <c r="AF271" s="5">
        <f t="shared" si="92"/>
        <v>45546</v>
      </c>
      <c r="AG271" s="25">
        <v>0</v>
      </c>
      <c r="AH271" s="25">
        <v>0</v>
      </c>
      <c r="AI271" s="25">
        <v>0</v>
      </c>
      <c r="AJ271" s="6">
        <f t="shared" si="85"/>
        <v>0</v>
      </c>
      <c r="AK271">
        <f t="shared" si="98"/>
        <v>0</v>
      </c>
      <c r="AL271" s="5">
        <f t="shared" si="93"/>
        <v>45912</v>
      </c>
      <c r="AM271" s="25">
        <v>0</v>
      </c>
      <c r="AN271" s="25">
        <v>0</v>
      </c>
      <c r="AO271" s="25">
        <v>0</v>
      </c>
      <c r="AP271" s="6">
        <f t="shared" si="86"/>
        <v>0</v>
      </c>
      <c r="AQ271">
        <f t="shared" si="99"/>
        <v>0</v>
      </c>
    </row>
    <row r="272" spans="1:43" x14ac:dyDescent="0.3">
      <c r="A272" s="5">
        <f t="shared" si="87"/>
        <v>43721</v>
      </c>
      <c r="B272" s="25">
        <v>255.36347150003911</v>
      </c>
      <c r="C272" s="25">
        <v>48.323575299996882</v>
      </c>
      <c r="D272" s="25">
        <v>22.966000000000001</v>
      </c>
      <c r="E272" s="6">
        <f t="shared" si="82"/>
        <v>326.65304680003601</v>
      </c>
      <c r="F272">
        <f t="shared" si="100"/>
        <v>0</v>
      </c>
      <c r="G272" s="5">
        <f t="shared" si="88"/>
        <v>44086</v>
      </c>
      <c r="H272" s="25">
        <v>226.95186810004711</v>
      </c>
      <c r="I272" s="25">
        <v>46.013946299999951</v>
      </c>
      <c r="J272" s="25">
        <v>21.158999999999999</v>
      </c>
      <c r="K272" s="6">
        <f t="shared" si="83"/>
        <v>294.12481440004706</v>
      </c>
      <c r="L272">
        <f t="shared" si="101"/>
        <v>0</v>
      </c>
      <c r="M272" s="5">
        <f t="shared" si="89"/>
        <v>44452</v>
      </c>
      <c r="N272" s="25">
        <v>216.18262999999524</v>
      </c>
      <c r="O272" s="25">
        <v>49.610141300000251</v>
      </c>
      <c r="P272" s="25">
        <v>23.356000000000002</v>
      </c>
      <c r="Q272" s="6">
        <f t="shared" si="81"/>
        <v>289.14877129999547</v>
      </c>
      <c r="R272">
        <f t="shared" si="95"/>
        <v>0</v>
      </c>
      <c r="S272" s="5">
        <f t="shared" si="90"/>
        <v>44817</v>
      </c>
      <c r="T272" s="25">
        <v>266.37567699992655</v>
      </c>
      <c r="U272" s="25">
        <v>61.379495099991559</v>
      </c>
      <c r="V272" s="25">
        <v>23.161432300001849</v>
      </c>
      <c r="W272" s="6">
        <f t="shared" si="94"/>
        <v>350.91660439991995</v>
      </c>
      <c r="X272">
        <f t="shared" si="96"/>
        <v>0</v>
      </c>
      <c r="Z272" s="5">
        <f t="shared" si="91"/>
        <v>44817</v>
      </c>
      <c r="AA272" s="25">
        <v>0</v>
      </c>
      <c r="AB272" s="25">
        <v>0</v>
      </c>
      <c r="AC272" s="25">
        <v>0</v>
      </c>
      <c r="AD272" s="6">
        <f t="shared" si="84"/>
        <v>0</v>
      </c>
      <c r="AE272">
        <f t="shared" si="97"/>
        <v>0</v>
      </c>
      <c r="AF272" s="5">
        <f t="shared" si="92"/>
        <v>45547</v>
      </c>
      <c r="AG272" s="25">
        <v>0</v>
      </c>
      <c r="AH272" s="25">
        <v>0</v>
      </c>
      <c r="AI272" s="25">
        <v>0</v>
      </c>
      <c r="AJ272" s="6">
        <f t="shared" si="85"/>
        <v>0</v>
      </c>
      <c r="AK272">
        <f t="shared" si="98"/>
        <v>0</v>
      </c>
      <c r="AL272" s="5">
        <f t="shared" si="93"/>
        <v>45913</v>
      </c>
      <c r="AM272" s="25">
        <v>0</v>
      </c>
      <c r="AN272" s="25">
        <v>0</v>
      </c>
      <c r="AO272" s="25">
        <v>0</v>
      </c>
      <c r="AP272" s="6">
        <f t="shared" si="86"/>
        <v>0</v>
      </c>
      <c r="AQ272">
        <f t="shared" si="99"/>
        <v>0</v>
      </c>
    </row>
    <row r="273" spans="1:43" x14ac:dyDescent="0.3">
      <c r="A273" s="5">
        <f t="shared" si="87"/>
        <v>43722</v>
      </c>
      <c r="B273" s="25">
        <v>247.82271950006486</v>
      </c>
      <c r="C273" s="25">
        <v>46.6319112999998</v>
      </c>
      <c r="D273" s="25">
        <v>24.425999999999998</v>
      </c>
      <c r="E273" s="6">
        <f t="shared" si="82"/>
        <v>318.88063080006464</v>
      </c>
      <c r="F273">
        <f t="shared" si="100"/>
        <v>0</v>
      </c>
      <c r="G273" s="5">
        <f t="shared" si="88"/>
        <v>44087</v>
      </c>
      <c r="H273" s="25">
        <v>212.81791919994353</v>
      </c>
      <c r="I273" s="25">
        <v>40.020013599999245</v>
      </c>
      <c r="J273" s="25">
        <v>18.745000000000001</v>
      </c>
      <c r="K273" s="6">
        <f t="shared" si="83"/>
        <v>271.5829327999428</v>
      </c>
      <c r="L273">
        <f t="shared" si="101"/>
        <v>0</v>
      </c>
      <c r="M273" s="5">
        <f t="shared" si="89"/>
        <v>44453</v>
      </c>
      <c r="N273" s="25">
        <v>209.25535759997368</v>
      </c>
      <c r="O273" s="25">
        <v>51.288072899997232</v>
      </c>
      <c r="P273" s="25">
        <v>22.667000000000002</v>
      </c>
      <c r="Q273" s="6">
        <f t="shared" ref="Q273:Q336" si="102">SUM(N273:P273)</f>
        <v>283.21043049997093</v>
      </c>
      <c r="R273">
        <f t="shared" si="95"/>
        <v>0</v>
      </c>
      <c r="S273" s="5">
        <f t="shared" si="90"/>
        <v>44818</v>
      </c>
      <c r="T273" s="25">
        <v>268.06193700003627</v>
      </c>
      <c r="U273" s="25">
        <v>58.902975199997428</v>
      </c>
      <c r="V273" s="25">
        <v>25.121867599998602</v>
      </c>
      <c r="W273" s="6">
        <f t="shared" si="94"/>
        <v>352.08677980003233</v>
      </c>
      <c r="X273">
        <f t="shared" si="96"/>
        <v>0</v>
      </c>
      <c r="Z273" s="5">
        <f t="shared" si="91"/>
        <v>44818</v>
      </c>
      <c r="AA273" s="25"/>
      <c r="AB273" s="25"/>
      <c r="AC273" s="25"/>
      <c r="AD273" s="6">
        <f t="shared" si="84"/>
        <v>0</v>
      </c>
      <c r="AE273">
        <f t="shared" si="97"/>
        <v>0</v>
      </c>
      <c r="AF273" s="5">
        <f t="shared" si="92"/>
        <v>45548</v>
      </c>
      <c r="AG273" s="25"/>
      <c r="AH273" s="25"/>
      <c r="AI273" s="25"/>
      <c r="AJ273" s="6">
        <f t="shared" si="85"/>
        <v>0</v>
      </c>
      <c r="AK273">
        <f t="shared" si="98"/>
        <v>0</v>
      </c>
      <c r="AL273" s="5">
        <f t="shared" si="93"/>
        <v>45914</v>
      </c>
      <c r="AM273" s="25"/>
      <c r="AN273" s="25"/>
      <c r="AO273" s="25"/>
      <c r="AP273" s="6">
        <f t="shared" si="86"/>
        <v>0</v>
      </c>
      <c r="AQ273">
        <f t="shared" si="99"/>
        <v>0</v>
      </c>
    </row>
    <row r="274" spans="1:43" x14ac:dyDescent="0.3">
      <c r="A274" s="5">
        <f t="shared" si="87"/>
        <v>43723</v>
      </c>
      <c r="B274" s="25">
        <v>225.2443300999403</v>
      </c>
      <c r="C274" s="25">
        <v>41.414357500001785</v>
      </c>
      <c r="D274" s="25">
        <v>17.157</v>
      </c>
      <c r="E274" s="6">
        <f t="shared" ref="E274:E337" si="103">SUM(B274:D274)</f>
        <v>283.81568759994207</v>
      </c>
      <c r="F274">
        <f t="shared" si="100"/>
        <v>0</v>
      </c>
      <c r="G274" s="5">
        <f t="shared" si="88"/>
        <v>44088</v>
      </c>
      <c r="H274" s="25">
        <v>229.98570299994947</v>
      </c>
      <c r="I274" s="25">
        <v>46.037476700000468</v>
      </c>
      <c r="J274" s="25">
        <v>21.613</v>
      </c>
      <c r="K274" s="6">
        <f t="shared" ref="K274:K337" si="104">SUM(H274:J274)</f>
        <v>297.63617969994993</v>
      </c>
      <c r="L274">
        <f t="shared" si="101"/>
        <v>0</v>
      </c>
      <c r="M274" s="5">
        <f t="shared" si="89"/>
        <v>44454</v>
      </c>
      <c r="N274" s="25">
        <v>214.14070799994468</v>
      </c>
      <c r="O274" s="25">
        <v>52.547203699998555</v>
      </c>
      <c r="P274" s="25">
        <v>22.504999999999999</v>
      </c>
      <c r="Q274" s="6">
        <f t="shared" si="102"/>
        <v>289.19291169994324</v>
      </c>
      <c r="R274">
        <f t="shared" si="95"/>
        <v>0</v>
      </c>
      <c r="S274" s="5">
        <f t="shared" si="90"/>
        <v>44819</v>
      </c>
      <c r="T274" s="25">
        <v>249.53164699995517</v>
      </c>
      <c r="U274" s="25">
        <v>57.429994200006128</v>
      </c>
      <c r="V274" s="25">
        <v>25.15897509999899</v>
      </c>
      <c r="W274" s="6">
        <f t="shared" ref="W274:W337" si="105">SUM(T274:V274)</f>
        <v>332.12061629996032</v>
      </c>
      <c r="X274">
        <f t="shared" si="96"/>
        <v>0</v>
      </c>
      <c r="Z274" s="5">
        <f t="shared" si="91"/>
        <v>44819</v>
      </c>
      <c r="AA274" s="25"/>
      <c r="AB274" s="25"/>
      <c r="AC274" s="25"/>
      <c r="AD274" s="6">
        <f t="shared" ref="AD274:AD337" si="106">SUM(AA274:AC274)</f>
        <v>0</v>
      </c>
      <c r="AE274">
        <f t="shared" si="97"/>
        <v>0</v>
      </c>
      <c r="AF274" s="5">
        <f t="shared" si="92"/>
        <v>45549</v>
      </c>
      <c r="AG274" s="25"/>
      <c r="AH274" s="25"/>
      <c r="AI274" s="25"/>
      <c r="AJ274" s="6">
        <f t="shared" ref="AJ274:AJ337" si="107">SUM(AG274:AI274)</f>
        <v>0</v>
      </c>
      <c r="AK274">
        <f t="shared" si="98"/>
        <v>0</v>
      </c>
      <c r="AL274" s="5">
        <f t="shared" si="93"/>
        <v>45915</v>
      </c>
      <c r="AM274" s="25"/>
      <c r="AN274" s="25"/>
      <c r="AO274" s="25"/>
      <c r="AP274" s="6">
        <f t="shared" ref="AP274:AP337" si="108">SUM(AM274:AO274)</f>
        <v>0</v>
      </c>
      <c r="AQ274">
        <f t="shared" si="99"/>
        <v>0</v>
      </c>
    </row>
    <row r="275" spans="1:43" x14ac:dyDescent="0.3">
      <c r="A275" s="5">
        <f t="shared" ref="A275:A338" si="109">A274+1</f>
        <v>43724</v>
      </c>
      <c r="B275" s="25">
        <v>249.4101342999935</v>
      </c>
      <c r="C275" s="25">
        <v>48.873804800000045</v>
      </c>
      <c r="D275" s="25">
        <v>23.175999999999998</v>
      </c>
      <c r="E275" s="6">
        <f t="shared" si="103"/>
        <v>321.45993909999351</v>
      </c>
      <c r="F275">
        <f t="shared" si="100"/>
        <v>0</v>
      </c>
      <c r="G275" s="5">
        <f t="shared" ref="G275:G338" si="110">G274+1</f>
        <v>44089</v>
      </c>
      <c r="H275" s="25">
        <v>242.69479840004445</v>
      </c>
      <c r="I275" s="25">
        <v>47.123007500000298</v>
      </c>
      <c r="J275" s="25">
        <v>20.722000000000001</v>
      </c>
      <c r="K275" s="6">
        <f t="shared" si="104"/>
        <v>310.53980590004471</v>
      </c>
      <c r="L275">
        <f t="shared" si="101"/>
        <v>0</v>
      </c>
      <c r="M275" s="5">
        <f t="shared" ref="M275:M338" si="111">M274+1</f>
        <v>44455</v>
      </c>
      <c r="N275" s="25">
        <v>243.30364069998265</v>
      </c>
      <c r="O275" s="25">
        <v>49.330932800002394</v>
      </c>
      <c r="P275" s="25">
        <v>19.768999999999998</v>
      </c>
      <c r="Q275" s="6">
        <f t="shared" si="102"/>
        <v>312.40357349998504</v>
      </c>
      <c r="R275">
        <f t="shared" si="95"/>
        <v>0</v>
      </c>
      <c r="S275" s="5">
        <f t="shared" ref="S275:S338" si="112">S274+1</f>
        <v>44820</v>
      </c>
      <c r="T275" s="25">
        <v>220.75374780011177</v>
      </c>
      <c r="U275" s="25">
        <v>51.84281540000439</v>
      </c>
      <c r="V275" s="25">
        <v>17.96367180000199</v>
      </c>
      <c r="W275" s="6">
        <f t="shared" si="105"/>
        <v>290.56023500011815</v>
      </c>
      <c r="X275">
        <f t="shared" si="96"/>
        <v>0</v>
      </c>
      <c r="Z275" s="5">
        <f t="shared" ref="Z275:Z338" si="113">Z274+1</f>
        <v>44820</v>
      </c>
      <c r="AA275" s="25"/>
      <c r="AB275" s="25"/>
      <c r="AC275" s="25"/>
      <c r="AD275" s="6">
        <f t="shared" si="106"/>
        <v>0</v>
      </c>
      <c r="AE275">
        <f t="shared" si="97"/>
        <v>0</v>
      </c>
      <c r="AF275" s="5">
        <f t="shared" ref="AF275:AF338" si="114">AF274+1</f>
        <v>45550</v>
      </c>
      <c r="AG275" s="25"/>
      <c r="AH275" s="25"/>
      <c r="AI275" s="25"/>
      <c r="AJ275" s="6">
        <f t="shared" si="107"/>
        <v>0</v>
      </c>
      <c r="AK275">
        <f t="shared" si="98"/>
        <v>0</v>
      </c>
      <c r="AL275" s="5">
        <f t="shared" ref="AL275:AL338" si="115">AL274+1</f>
        <v>45916</v>
      </c>
      <c r="AM275" s="25"/>
      <c r="AN275" s="25"/>
      <c r="AO275" s="25"/>
      <c r="AP275" s="6">
        <f t="shared" si="108"/>
        <v>0</v>
      </c>
      <c r="AQ275">
        <f t="shared" si="99"/>
        <v>0</v>
      </c>
    </row>
    <row r="276" spans="1:43" x14ac:dyDescent="0.3">
      <c r="A276" s="5">
        <f t="shared" si="109"/>
        <v>43725</v>
      </c>
      <c r="B276" s="25">
        <v>240.71015960001947</v>
      </c>
      <c r="C276" s="25">
        <v>45.294907499998807</v>
      </c>
      <c r="D276" s="25">
        <v>22.878</v>
      </c>
      <c r="E276" s="6">
        <f t="shared" si="103"/>
        <v>308.88306710001825</v>
      </c>
      <c r="F276">
        <f t="shared" si="100"/>
        <v>0</v>
      </c>
      <c r="G276" s="5">
        <f t="shared" si="110"/>
        <v>44090</v>
      </c>
      <c r="H276" s="25">
        <v>242.52917100000383</v>
      </c>
      <c r="I276" s="25">
        <v>47.866790500000121</v>
      </c>
      <c r="J276" s="25">
        <v>21.812999999999999</v>
      </c>
      <c r="K276" s="6">
        <f t="shared" si="104"/>
        <v>312.20896150000397</v>
      </c>
      <c r="L276">
        <f t="shared" si="101"/>
        <v>0</v>
      </c>
      <c r="M276" s="5">
        <f t="shared" si="111"/>
        <v>44456</v>
      </c>
      <c r="N276" s="25">
        <v>219.02105070006849</v>
      </c>
      <c r="O276" s="25">
        <v>41.482345499999823</v>
      </c>
      <c r="P276" s="25">
        <v>12.337999999999999</v>
      </c>
      <c r="Q276" s="6">
        <f t="shared" si="102"/>
        <v>272.84139620006835</v>
      </c>
      <c r="R276">
        <f t="shared" si="95"/>
        <v>0</v>
      </c>
      <c r="S276" s="5">
        <f t="shared" si="112"/>
        <v>44821</v>
      </c>
      <c r="T276" s="25">
        <v>214.86772429990768</v>
      </c>
      <c r="U276" s="25">
        <v>46.656618799999357</v>
      </c>
      <c r="V276" s="25">
        <v>16.064145599998067</v>
      </c>
      <c r="W276" s="6">
        <f t="shared" si="105"/>
        <v>277.5884886999051</v>
      </c>
      <c r="X276">
        <f t="shared" si="96"/>
        <v>0</v>
      </c>
      <c r="Z276" s="5">
        <f t="shared" si="113"/>
        <v>44821</v>
      </c>
      <c r="AA276" s="25"/>
      <c r="AB276" s="25"/>
      <c r="AC276" s="25"/>
      <c r="AD276" s="6">
        <f t="shared" si="106"/>
        <v>0</v>
      </c>
      <c r="AE276">
        <f t="shared" si="97"/>
        <v>0</v>
      </c>
      <c r="AF276" s="5">
        <f t="shared" si="114"/>
        <v>45551</v>
      </c>
      <c r="AG276" s="25"/>
      <c r="AH276" s="25"/>
      <c r="AI276" s="25"/>
      <c r="AJ276" s="6">
        <f t="shared" si="107"/>
        <v>0</v>
      </c>
      <c r="AK276">
        <f t="shared" si="98"/>
        <v>0</v>
      </c>
      <c r="AL276" s="5">
        <f t="shared" si="115"/>
        <v>45917</v>
      </c>
      <c r="AM276" s="25"/>
      <c r="AN276" s="25"/>
      <c r="AO276" s="25"/>
      <c r="AP276" s="6">
        <f t="shared" si="108"/>
        <v>0</v>
      </c>
      <c r="AQ276">
        <f t="shared" si="99"/>
        <v>0</v>
      </c>
    </row>
    <row r="277" spans="1:43" x14ac:dyDescent="0.3">
      <c r="A277" s="5">
        <f t="shared" si="109"/>
        <v>43726</v>
      </c>
      <c r="B277" s="25">
        <v>202.16653509998321</v>
      </c>
      <c r="C277" s="25">
        <v>37.705662100002172</v>
      </c>
      <c r="D277" s="25">
        <v>14.52</v>
      </c>
      <c r="E277" s="6">
        <f t="shared" si="103"/>
        <v>254.39219719998539</v>
      </c>
      <c r="F277">
        <f t="shared" si="100"/>
        <v>0</v>
      </c>
      <c r="G277" s="5">
        <f t="shared" si="110"/>
        <v>44091</v>
      </c>
      <c r="H277" s="25">
        <v>238.514285400033</v>
      </c>
      <c r="I277" s="25">
        <v>48.586244900003074</v>
      </c>
      <c r="J277" s="25">
        <v>19.376000000000001</v>
      </c>
      <c r="K277" s="6">
        <f t="shared" si="104"/>
        <v>306.47653030003607</v>
      </c>
      <c r="L277">
        <f t="shared" si="101"/>
        <v>0</v>
      </c>
      <c r="M277" s="5">
        <f t="shared" si="111"/>
        <v>44457</v>
      </c>
      <c r="N277" s="25">
        <v>198.66719589996339</v>
      </c>
      <c r="O277" s="25">
        <v>38.595136100001632</v>
      </c>
      <c r="P277" s="25">
        <v>11.348000000000001</v>
      </c>
      <c r="Q277" s="6">
        <f t="shared" si="102"/>
        <v>248.61033199996504</v>
      </c>
      <c r="R277">
        <f t="shared" si="95"/>
        <v>0</v>
      </c>
      <c r="S277" s="5">
        <f t="shared" si="112"/>
        <v>44822</v>
      </c>
      <c r="T277" s="25">
        <v>214.80051120007039</v>
      </c>
      <c r="U277" s="25">
        <v>43.872523399993774</v>
      </c>
      <c r="V277" s="25">
        <v>12.715956000002102</v>
      </c>
      <c r="W277" s="6">
        <f t="shared" si="105"/>
        <v>271.38899060006628</v>
      </c>
      <c r="X277">
        <f t="shared" si="96"/>
        <v>0</v>
      </c>
      <c r="Z277" s="5">
        <f t="shared" si="113"/>
        <v>44822</v>
      </c>
      <c r="AA277" s="25"/>
      <c r="AB277" s="25"/>
      <c r="AC277" s="25"/>
      <c r="AD277" s="6">
        <f t="shared" si="106"/>
        <v>0</v>
      </c>
      <c r="AE277">
        <f t="shared" si="97"/>
        <v>0</v>
      </c>
      <c r="AF277" s="5">
        <f t="shared" si="114"/>
        <v>45552</v>
      </c>
      <c r="AG277" s="25"/>
      <c r="AH277" s="25"/>
      <c r="AI277" s="25"/>
      <c r="AJ277" s="6">
        <f t="shared" si="107"/>
        <v>0</v>
      </c>
      <c r="AK277">
        <f t="shared" si="98"/>
        <v>0</v>
      </c>
      <c r="AL277" s="5">
        <f t="shared" si="115"/>
        <v>45918</v>
      </c>
      <c r="AM277" s="25"/>
      <c r="AN277" s="25"/>
      <c r="AO277" s="25"/>
      <c r="AP277" s="6">
        <f t="shared" si="108"/>
        <v>0</v>
      </c>
      <c r="AQ277">
        <f t="shared" si="99"/>
        <v>0</v>
      </c>
    </row>
    <row r="278" spans="1:43" x14ac:dyDescent="0.3">
      <c r="A278" s="5">
        <f t="shared" si="109"/>
        <v>43727</v>
      </c>
      <c r="B278" s="25">
        <v>202.30699680006504</v>
      </c>
      <c r="C278" s="25">
        <v>37.553209699999542</v>
      </c>
      <c r="D278" s="25">
        <v>13.113</v>
      </c>
      <c r="E278" s="6">
        <f t="shared" si="103"/>
        <v>252.97320650006458</v>
      </c>
      <c r="F278">
        <f t="shared" si="100"/>
        <v>0</v>
      </c>
      <c r="G278" s="5">
        <f t="shared" si="110"/>
        <v>44092</v>
      </c>
      <c r="H278" s="25">
        <v>210.80712660002709</v>
      </c>
      <c r="I278" s="25">
        <v>37.830255199998618</v>
      </c>
      <c r="J278" s="25">
        <v>16.318000000000001</v>
      </c>
      <c r="K278" s="6">
        <f t="shared" si="104"/>
        <v>264.95538180002569</v>
      </c>
      <c r="L278">
        <f t="shared" si="101"/>
        <v>0</v>
      </c>
      <c r="M278" s="5">
        <f t="shared" si="111"/>
        <v>44458</v>
      </c>
      <c r="N278" s="25">
        <v>178.28804739999771</v>
      </c>
      <c r="O278" s="25">
        <v>39.1494693999961</v>
      </c>
      <c r="P278" s="25">
        <v>12.356999999999999</v>
      </c>
      <c r="Q278" s="6">
        <f t="shared" si="102"/>
        <v>229.7945167999938</v>
      </c>
      <c r="R278">
        <f t="shared" si="95"/>
        <v>0</v>
      </c>
      <c r="S278" s="5">
        <f t="shared" si="112"/>
        <v>44823</v>
      </c>
      <c r="T278" s="25">
        <v>226.9054197000265</v>
      </c>
      <c r="U278" s="25">
        <v>45.63942170000076</v>
      </c>
      <c r="V278" s="25">
        <v>12.489251900000498</v>
      </c>
      <c r="W278" s="6">
        <f t="shared" si="105"/>
        <v>285.03409330002779</v>
      </c>
      <c r="X278">
        <f t="shared" si="96"/>
        <v>0</v>
      </c>
      <c r="Z278" s="5">
        <f t="shared" si="113"/>
        <v>44823</v>
      </c>
      <c r="AA278" s="25"/>
      <c r="AB278" s="25"/>
      <c r="AC278" s="25"/>
      <c r="AD278" s="6">
        <f t="shared" si="106"/>
        <v>0</v>
      </c>
      <c r="AE278">
        <f t="shared" si="97"/>
        <v>0</v>
      </c>
      <c r="AF278" s="5">
        <f t="shared" si="114"/>
        <v>45553</v>
      </c>
      <c r="AG278" s="25"/>
      <c r="AH278" s="25"/>
      <c r="AI278" s="25"/>
      <c r="AJ278" s="6">
        <f t="shared" si="107"/>
        <v>0</v>
      </c>
      <c r="AK278">
        <f t="shared" si="98"/>
        <v>0</v>
      </c>
      <c r="AL278" s="5">
        <f t="shared" si="115"/>
        <v>45919</v>
      </c>
      <c r="AM278" s="25"/>
      <c r="AN278" s="25"/>
      <c r="AO278" s="25"/>
      <c r="AP278" s="6">
        <f t="shared" si="108"/>
        <v>0</v>
      </c>
      <c r="AQ278">
        <f t="shared" si="99"/>
        <v>0</v>
      </c>
    </row>
    <row r="279" spans="1:43" x14ac:dyDescent="0.3">
      <c r="A279" s="5">
        <f t="shared" si="109"/>
        <v>43728</v>
      </c>
      <c r="B279" s="25">
        <v>216.34222079992296</v>
      </c>
      <c r="C279" s="25">
        <v>39.89908889999986</v>
      </c>
      <c r="D279" s="25">
        <v>13.846</v>
      </c>
      <c r="E279" s="6">
        <f t="shared" si="103"/>
        <v>270.0873096999228</v>
      </c>
      <c r="F279">
        <f t="shared" si="100"/>
        <v>0</v>
      </c>
      <c r="G279" s="5">
        <f t="shared" si="110"/>
        <v>44093</v>
      </c>
      <c r="H279" s="25">
        <v>210.83609799993039</v>
      </c>
      <c r="I279" s="25">
        <v>37.349727499999105</v>
      </c>
      <c r="J279" s="25">
        <v>14.896000000000001</v>
      </c>
      <c r="K279" s="6">
        <f t="shared" si="104"/>
        <v>263.08182549992949</v>
      </c>
      <c r="L279">
        <f t="shared" si="101"/>
        <v>0</v>
      </c>
      <c r="M279" s="5">
        <f t="shared" si="111"/>
        <v>44459</v>
      </c>
      <c r="N279" s="25">
        <v>229.37386970007421</v>
      </c>
      <c r="O279" s="25">
        <v>52.439752500005063</v>
      </c>
      <c r="P279" s="25">
        <v>21.414000000000001</v>
      </c>
      <c r="Q279" s="6">
        <f t="shared" si="102"/>
        <v>303.22762220007928</v>
      </c>
      <c r="R279">
        <f t="shared" si="95"/>
        <v>0</v>
      </c>
      <c r="S279" s="5">
        <f t="shared" si="112"/>
        <v>44824</v>
      </c>
      <c r="T279" s="25">
        <v>269.52654659998416</v>
      </c>
      <c r="U279" s="25">
        <v>58.125385299995543</v>
      </c>
      <c r="V279" s="25">
        <v>23.056734599999618</v>
      </c>
      <c r="W279" s="6">
        <f t="shared" si="105"/>
        <v>350.7086664999793</v>
      </c>
      <c r="X279">
        <f t="shared" si="96"/>
        <v>0</v>
      </c>
      <c r="Z279" s="5">
        <f t="shared" si="113"/>
        <v>44824</v>
      </c>
      <c r="AA279" s="25"/>
      <c r="AB279" s="25"/>
      <c r="AC279" s="25"/>
      <c r="AD279" s="6">
        <f t="shared" si="106"/>
        <v>0</v>
      </c>
      <c r="AE279">
        <f t="shared" si="97"/>
        <v>0</v>
      </c>
      <c r="AF279" s="5">
        <f t="shared" si="114"/>
        <v>45554</v>
      </c>
      <c r="AG279" s="25"/>
      <c r="AH279" s="25"/>
      <c r="AI279" s="25"/>
      <c r="AJ279" s="6">
        <f t="shared" si="107"/>
        <v>0</v>
      </c>
      <c r="AK279">
        <f t="shared" si="98"/>
        <v>0</v>
      </c>
      <c r="AL279" s="5">
        <f t="shared" si="115"/>
        <v>45920</v>
      </c>
      <c r="AM279" s="25"/>
      <c r="AN279" s="25"/>
      <c r="AO279" s="25"/>
      <c r="AP279" s="6">
        <f t="shared" si="108"/>
        <v>0</v>
      </c>
      <c r="AQ279">
        <f t="shared" si="99"/>
        <v>0</v>
      </c>
    </row>
    <row r="280" spans="1:43" x14ac:dyDescent="0.3">
      <c r="A280" s="5">
        <f t="shared" si="109"/>
        <v>43729</v>
      </c>
      <c r="B280" s="25">
        <v>227.76650540006162</v>
      </c>
      <c r="C280" s="25">
        <v>41.380458099998535</v>
      </c>
      <c r="D280" s="25">
        <v>19.62</v>
      </c>
      <c r="E280" s="6">
        <f t="shared" si="103"/>
        <v>288.76696350006017</v>
      </c>
      <c r="F280">
        <f t="shared" si="100"/>
        <v>0</v>
      </c>
      <c r="G280" s="5">
        <f t="shared" si="110"/>
        <v>44094</v>
      </c>
      <c r="H280" s="25">
        <v>218.08104190003871</v>
      </c>
      <c r="I280" s="25">
        <v>39.869395100004972</v>
      </c>
      <c r="J280" s="25">
        <v>15.97</v>
      </c>
      <c r="K280" s="6">
        <f t="shared" si="104"/>
        <v>273.92043700004371</v>
      </c>
      <c r="L280">
        <f t="shared" si="101"/>
        <v>0</v>
      </c>
      <c r="M280" s="5">
        <f t="shared" si="111"/>
        <v>44460</v>
      </c>
      <c r="N280" s="25">
        <v>217.80612889993191</v>
      </c>
      <c r="O280" s="25">
        <v>53.809482400000093</v>
      </c>
      <c r="P280" s="25">
        <v>20.748999999999999</v>
      </c>
      <c r="Q280" s="6">
        <f t="shared" si="102"/>
        <v>292.36461129993199</v>
      </c>
      <c r="R280">
        <f t="shared" si="95"/>
        <v>0</v>
      </c>
      <c r="S280" s="5">
        <f t="shared" si="112"/>
        <v>44825</v>
      </c>
      <c r="T280" s="25">
        <v>264.60210749995707</v>
      </c>
      <c r="U280" s="25">
        <v>57.415112200006845</v>
      </c>
      <c r="V280" s="25">
        <v>24.457113599999342</v>
      </c>
      <c r="W280" s="6">
        <f t="shared" si="105"/>
        <v>346.47433329996323</v>
      </c>
      <c r="X280">
        <f t="shared" si="96"/>
        <v>0</v>
      </c>
      <c r="Z280" s="5">
        <f t="shared" si="113"/>
        <v>44825</v>
      </c>
      <c r="AA280" s="25"/>
      <c r="AB280" s="25"/>
      <c r="AC280" s="25"/>
      <c r="AD280" s="6">
        <f t="shared" si="106"/>
        <v>0</v>
      </c>
      <c r="AE280">
        <f t="shared" si="97"/>
        <v>0</v>
      </c>
      <c r="AF280" s="5">
        <f t="shared" si="114"/>
        <v>45555</v>
      </c>
      <c r="AG280" s="25"/>
      <c r="AH280" s="25"/>
      <c r="AI280" s="25"/>
      <c r="AJ280" s="6">
        <f t="shared" si="107"/>
        <v>0</v>
      </c>
      <c r="AK280">
        <f t="shared" si="98"/>
        <v>0</v>
      </c>
      <c r="AL280" s="5">
        <f t="shared" si="115"/>
        <v>45921</v>
      </c>
      <c r="AM280" s="25"/>
      <c r="AN280" s="25"/>
      <c r="AO280" s="25"/>
      <c r="AP280" s="6">
        <f t="shared" si="108"/>
        <v>0</v>
      </c>
      <c r="AQ280">
        <f t="shared" si="99"/>
        <v>0</v>
      </c>
    </row>
    <row r="281" spans="1:43" x14ac:dyDescent="0.3">
      <c r="A281" s="5">
        <f t="shared" si="109"/>
        <v>43730</v>
      </c>
      <c r="B281" s="25">
        <v>218.08620439994334</v>
      </c>
      <c r="C281" s="25">
        <v>39.705738299999389</v>
      </c>
      <c r="D281" s="25">
        <v>15.922000000000001</v>
      </c>
      <c r="E281" s="6">
        <f t="shared" si="103"/>
        <v>273.71394269994278</v>
      </c>
      <c r="F281">
        <f t="shared" si="100"/>
        <v>0</v>
      </c>
      <c r="G281" s="5">
        <f t="shared" si="110"/>
        <v>44095</v>
      </c>
      <c r="H281" s="25">
        <v>250.29311580002309</v>
      </c>
      <c r="I281" s="25">
        <v>45.772794999994339</v>
      </c>
      <c r="J281" s="25">
        <v>19.443300000000001</v>
      </c>
      <c r="K281" s="6">
        <f t="shared" si="104"/>
        <v>315.50921080001746</v>
      </c>
      <c r="L281">
        <f t="shared" si="101"/>
        <v>0</v>
      </c>
      <c r="M281" s="5">
        <f t="shared" si="111"/>
        <v>44461</v>
      </c>
      <c r="N281" s="25">
        <v>231.64370459997653</v>
      </c>
      <c r="O281" s="25">
        <v>54.017122999995948</v>
      </c>
      <c r="P281" s="25">
        <v>20.373999999999999</v>
      </c>
      <c r="Q281" s="6">
        <f t="shared" si="102"/>
        <v>306.03482759997252</v>
      </c>
      <c r="R281">
        <f t="shared" si="95"/>
        <v>0</v>
      </c>
      <c r="S281" s="5">
        <f t="shared" si="112"/>
        <v>44826</v>
      </c>
      <c r="T281" s="25">
        <v>247.09290629994868</v>
      </c>
      <c r="U281" s="25">
        <v>58.248516800001262</v>
      </c>
      <c r="V281" s="25">
        <v>24.936442099998704</v>
      </c>
      <c r="W281" s="6">
        <f t="shared" si="105"/>
        <v>330.27786519994868</v>
      </c>
      <c r="X281">
        <f t="shared" si="96"/>
        <v>0</v>
      </c>
      <c r="Z281" s="5">
        <f t="shared" si="113"/>
        <v>44826</v>
      </c>
      <c r="AA281" s="25"/>
      <c r="AB281" s="25"/>
      <c r="AC281" s="25"/>
      <c r="AD281" s="6">
        <f t="shared" si="106"/>
        <v>0</v>
      </c>
      <c r="AE281">
        <f t="shared" si="97"/>
        <v>0</v>
      </c>
      <c r="AF281" s="5">
        <f t="shared" si="114"/>
        <v>45556</v>
      </c>
      <c r="AG281" s="25"/>
      <c r="AH281" s="25"/>
      <c r="AI281" s="25"/>
      <c r="AJ281" s="6">
        <f t="shared" si="107"/>
        <v>0</v>
      </c>
      <c r="AK281">
        <f t="shared" si="98"/>
        <v>0</v>
      </c>
      <c r="AL281" s="5">
        <f t="shared" si="115"/>
        <v>45922</v>
      </c>
      <c r="AM281" s="25"/>
      <c r="AN281" s="25"/>
      <c r="AO281" s="25"/>
      <c r="AP281" s="6">
        <f t="shared" si="108"/>
        <v>0</v>
      </c>
      <c r="AQ281">
        <f t="shared" si="99"/>
        <v>0</v>
      </c>
    </row>
    <row r="282" spans="1:43" x14ac:dyDescent="0.3">
      <c r="A282" s="5">
        <f t="shared" si="109"/>
        <v>43731</v>
      </c>
      <c r="B282" s="25">
        <v>248.52944309997559</v>
      </c>
      <c r="C282" s="25">
        <v>46.292863500002774</v>
      </c>
      <c r="D282" s="25">
        <v>23.763999999999999</v>
      </c>
      <c r="E282" s="6">
        <f t="shared" si="103"/>
        <v>318.5863065999784</v>
      </c>
      <c r="F282">
        <f t="shared" si="100"/>
        <v>0</v>
      </c>
      <c r="G282" s="5">
        <f t="shared" si="110"/>
        <v>44096</v>
      </c>
      <c r="H282" s="25">
        <v>240.2236330999136</v>
      </c>
      <c r="I282" s="25">
        <v>46.013634900003673</v>
      </c>
      <c r="J282" s="25">
        <v>21.148700000000002</v>
      </c>
      <c r="K282" s="6">
        <f t="shared" si="104"/>
        <v>307.38596799991728</v>
      </c>
      <c r="L282">
        <f t="shared" si="101"/>
        <v>0</v>
      </c>
      <c r="M282" s="5">
        <f t="shared" si="111"/>
        <v>44462</v>
      </c>
      <c r="N282" s="25">
        <v>221.60125270009041</v>
      </c>
      <c r="O282" s="25">
        <v>53.438484899997711</v>
      </c>
      <c r="P282" s="25">
        <v>21.716999999999999</v>
      </c>
      <c r="Q282" s="6">
        <f t="shared" si="102"/>
        <v>296.75673760008812</v>
      </c>
      <c r="R282">
        <f t="shared" si="95"/>
        <v>0</v>
      </c>
      <c r="S282" s="5">
        <f t="shared" si="112"/>
        <v>44827</v>
      </c>
      <c r="T282" s="25">
        <v>255.07233940005301</v>
      </c>
      <c r="U282" s="25">
        <v>58.195729699999092</v>
      </c>
      <c r="V282" s="25">
        <v>24.571665499999188</v>
      </c>
      <c r="W282" s="6">
        <f t="shared" si="105"/>
        <v>337.83973460005132</v>
      </c>
      <c r="X282">
        <f t="shared" si="96"/>
        <v>0</v>
      </c>
      <c r="Z282" s="5">
        <f t="shared" si="113"/>
        <v>44827</v>
      </c>
      <c r="AA282" s="25"/>
      <c r="AB282" s="25"/>
      <c r="AC282" s="25"/>
      <c r="AD282" s="6">
        <f t="shared" si="106"/>
        <v>0</v>
      </c>
      <c r="AE282">
        <f t="shared" si="97"/>
        <v>0</v>
      </c>
      <c r="AF282" s="5">
        <f t="shared" si="114"/>
        <v>45557</v>
      </c>
      <c r="AG282" s="25"/>
      <c r="AH282" s="25"/>
      <c r="AI282" s="25"/>
      <c r="AJ282" s="6">
        <f t="shared" si="107"/>
        <v>0</v>
      </c>
      <c r="AK282">
        <f t="shared" si="98"/>
        <v>0</v>
      </c>
      <c r="AL282" s="5">
        <f t="shared" si="115"/>
        <v>45923</v>
      </c>
      <c r="AM282" s="25"/>
      <c r="AN282" s="25"/>
      <c r="AO282" s="25"/>
      <c r="AP282" s="6">
        <f t="shared" si="108"/>
        <v>0</v>
      </c>
      <c r="AQ282">
        <f t="shared" si="99"/>
        <v>0</v>
      </c>
    </row>
    <row r="283" spans="1:43" x14ac:dyDescent="0.3">
      <c r="A283" s="5">
        <f t="shared" si="109"/>
        <v>43732</v>
      </c>
      <c r="B283" s="25">
        <v>247.36117770004273</v>
      </c>
      <c r="C283" s="25">
        <v>45.478149799998853</v>
      </c>
      <c r="D283" s="25">
        <v>24.646999999999998</v>
      </c>
      <c r="E283" s="6">
        <f t="shared" si="103"/>
        <v>317.48632750004157</v>
      </c>
      <c r="F283">
        <f t="shared" si="100"/>
        <v>0</v>
      </c>
      <c r="G283" s="5">
        <f t="shared" si="110"/>
        <v>44097</v>
      </c>
      <c r="H283" s="25">
        <v>243.00243130004407</v>
      </c>
      <c r="I283" s="25">
        <v>45.536112399995325</v>
      </c>
      <c r="J283" s="25">
        <v>23.577000000000002</v>
      </c>
      <c r="K283" s="6">
        <f t="shared" si="104"/>
        <v>312.11554370003938</v>
      </c>
      <c r="L283">
        <f t="shared" si="101"/>
        <v>0</v>
      </c>
      <c r="M283" s="5">
        <f t="shared" si="111"/>
        <v>44463</v>
      </c>
      <c r="N283" s="25">
        <v>227.12164300000669</v>
      </c>
      <c r="O283" s="25">
        <v>53.534256200000641</v>
      </c>
      <c r="P283" s="25">
        <v>23.841000000000001</v>
      </c>
      <c r="Q283" s="6">
        <f t="shared" si="102"/>
        <v>304.49689920000731</v>
      </c>
      <c r="R283">
        <f t="shared" si="95"/>
        <v>0</v>
      </c>
      <c r="S283" s="5">
        <f t="shared" si="112"/>
        <v>44828</v>
      </c>
      <c r="T283" s="25">
        <v>227.51639600002767</v>
      </c>
      <c r="U283" s="25">
        <v>57.582628499999643</v>
      </c>
      <c r="V283" s="25">
        <v>24.611221799999477</v>
      </c>
      <c r="W283" s="6">
        <f t="shared" si="105"/>
        <v>309.71024630002682</v>
      </c>
      <c r="X283">
        <f t="shared" si="96"/>
        <v>0</v>
      </c>
      <c r="Z283" s="5">
        <f t="shared" si="113"/>
        <v>44828</v>
      </c>
      <c r="AA283" s="25"/>
      <c r="AB283" s="25"/>
      <c r="AC283" s="25"/>
      <c r="AD283" s="6">
        <f t="shared" si="106"/>
        <v>0</v>
      </c>
      <c r="AE283">
        <f t="shared" si="97"/>
        <v>0</v>
      </c>
      <c r="AF283" s="5">
        <f t="shared" si="114"/>
        <v>45558</v>
      </c>
      <c r="AG283" s="25"/>
      <c r="AH283" s="25"/>
      <c r="AI283" s="25"/>
      <c r="AJ283" s="6">
        <f t="shared" si="107"/>
        <v>0</v>
      </c>
      <c r="AK283">
        <f t="shared" si="98"/>
        <v>0</v>
      </c>
      <c r="AL283" s="5">
        <f t="shared" si="115"/>
        <v>45924</v>
      </c>
      <c r="AM283" s="25"/>
      <c r="AN283" s="25"/>
      <c r="AO283" s="25"/>
      <c r="AP283" s="6">
        <f t="shared" si="108"/>
        <v>0</v>
      </c>
      <c r="AQ283">
        <f t="shared" si="99"/>
        <v>0</v>
      </c>
    </row>
    <row r="284" spans="1:43" x14ac:dyDescent="0.3">
      <c r="A284" s="5">
        <f t="shared" si="109"/>
        <v>43733</v>
      </c>
      <c r="B284" s="25">
        <v>248.53915240001677</v>
      </c>
      <c r="C284" s="25">
        <v>43.635731199998411</v>
      </c>
      <c r="D284" s="25">
        <v>23.841000000000001</v>
      </c>
      <c r="E284" s="6">
        <f t="shared" si="103"/>
        <v>316.01588360001517</v>
      </c>
      <c r="F284">
        <f t="shared" si="100"/>
        <v>0</v>
      </c>
      <c r="G284" s="5">
        <f t="shared" si="110"/>
        <v>44098</v>
      </c>
      <c r="H284" s="25">
        <v>243.89290289998056</v>
      </c>
      <c r="I284" s="25">
        <v>46.526492600001397</v>
      </c>
      <c r="J284" s="25">
        <v>21.257000000000001</v>
      </c>
      <c r="K284" s="6">
        <f t="shared" si="104"/>
        <v>311.67639549998194</v>
      </c>
      <c r="L284">
        <f t="shared" si="101"/>
        <v>0</v>
      </c>
      <c r="M284" s="5">
        <f t="shared" si="111"/>
        <v>44464</v>
      </c>
      <c r="N284" s="25">
        <v>210.38573109996318</v>
      </c>
      <c r="O284" s="25">
        <v>51.172443199999627</v>
      </c>
      <c r="P284" s="25">
        <v>24.396999999999998</v>
      </c>
      <c r="Q284" s="6">
        <f t="shared" si="102"/>
        <v>285.95517429996278</v>
      </c>
      <c r="R284">
        <f t="shared" si="95"/>
        <v>0</v>
      </c>
      <c r="S284" s="5">
        <f t="shared" si="112"/>
        <v>44829</v>
      </c>
      <c r="T284" s="25">
        <v>221.67111309993268</v>
      </c>
      <c r="U284" s="25">
        <v>49.569529300004241</v>
      </c>
      <c r="V284" s="25">
        <v>18.788798700000626</v>
      </c>
      <c r="W284" s="6">
        <f t="shared" si="105"/>
        <v>290.02944109993757</v>
      </c>
      <c r="X284">
        <f t="shared" si="96"/>
        <v>0</v>
      </c>
      <c r="Z284" s="5">
        <f t="shared" si="113"/>
        <v>44829</v>
      </c>
      <c r="AA284" s="25"/>
      <c r="AB284" s="25"/>
      <c r="AC284" s="25"/>
      <c r="AD284" s="6">
        <f t="shared" si="106"/>
        <v>0</v>
      </c>
      <c r="AE284">
        <f t="shared" si="97"/>
        <v>0</v>
      </c>
      <c r="AF284" s="5">
        <f t="shared" si="114"/>
        <v>45559</v>
      </c>
      <c r="AG284" s="25"/>
      <c r="AH284" s="25"/>
      <c r="AI284" s="25"/>
      <c r="AJ284" s="6">
        <f t="shared" si="107"/>
        <v>0</v>
      </c>
      <c r="AK284">
        <f t="shared" si="98"/>
        <v>0</v>
      </c>
      <c r="AL284" s="5">
        <f t="shared" si="115"/>
        <v>45925</v>
      </c>
      <c r="AM284" s="25"/>
      <c r="AN284" s="25"/>
      <c r="AO284" s="25"/>
      <c r="AP284" s="6">
        <f t="shared" si="108"/>
        <v>0</v>
      </c>
      <c r="AQ284">
        <f t="shared" si="99"/>
        <v>0</v>
      </c>
    </row>
    <row r="285" spans="1:43" x14ac:dyDescent="0.3">
      <c r="A285" s="5">
        <f t="shared" si="109"/>
        <v>43734</v>
      </c>
      <c r="B285" s="25">
        <v>246.1688709999323</v>
      </c>
      <c r="C285" s="25">
        <v>41.719909500002863</v>
      </c>
      <c r="D285" s="25">
        <v>25.422000000000001</v>
      </c>
      <c r="E285" s="6">
        <f t="shared" si="103"/>
        <v>313.31078049993516</v>
      </c>
      <c r="F285">
        <f t="shared" si="100"/>
        <v>0</v>
      </c>
      <c r="G285" s="5">
        <f t="shared" si="110"/>
        <v>44099</v>
      </c>
      <c r="H285" s="25">
        <v>241.45582539999484</v>
      </c>
      <c r="I285" s="25">
        <v>44.55704120000452</v>
      </c>
      <c r="J285" s="25">
        <v>20.347999999999999</v>
      </c>
      <c r="K285" s="6">
        <f t="shared" si="104"/>
        <v>306.36086659999938</v>
      </c>
      <c r="L285">
        <f t="shared" si="101"/>
        <v>0</v>
      </c>
      <c r="M285" s="5">
        <f t="shared" si="111"/>
        <v>44465</v>
      </c>
      <c r="N285" s="25">
        <v>201.90767750000953</v>
      </c>
      <c r="O285" s="25">
        <v>42.857116800002757</v>
      </c>
      <c r="P285" s="25">
        <v>21.027999999999999</v>
      </c>
      <c r="Q285" s="6">
        <f t="shared" si="102"/>
        <v>265.7927943000123</v>
      </c>
      <c r="R285">
        <f t="shared" si="95"/>
        <v>0</v>
      </c>
      <c r="S285" s="5">
        <f t="shared" si="112"/>
        <v>44830</v>
      </c>
      <c r="T285" s="25">
        <v>253.11338580000401</v>
      </c>
      <c r="U285" s="25">
        <v>57.491255799993873</v>
      </c>
      <c r="V285" s="25">
        <v>23.841849300002213</v>
      </c>
      <c r="W285" s="6">
        <f t="shared" si="105"/>
        <v>334.44649090000007</v>
      </c>
      <c r="X285">
        <f t="shared" si="96"/>
        <v>0</v>
      </c>
      <c r="Z285" s="5">
        <f t="shared" si="113"/>
        <v>44830</v>
      </c>
      <c r="AA285" s="25"/>
      <c r="AB285" s="25"/>
      <c r="AC285" s="25"/>
      <c r="AD285" s="6">
        <f t="shared" si="106"/>
        <v>0</v>
      </c>
      <c r="AE285">
        <f t="shared" si="97"/>
        <v>0</v>
      </c>
      <c r="AF285" s="5">
        <f t="shared" si="114"/>
        <v>45560</v>
      </c>
      <c r="AG285" s="25"/>
      <c r="AH285" s="25"/>
      <c r="AI285" s="25"/>
      <c r="AJ285" s="6">
        <f t="shared" si="107"/>
        <v>0</v>
      </c>
      <c r="AK285">
        <f t="shared" si="98"/>
        <v>0</v>
      </c>
      <c r="AL285" s="5">
        <f t="shared" si="115"/>
        <v>45926</v>
      </c>
      <c r="AM285" s="25"/>
      <c r="AN285" s="25"/>
      <c r="AO285" s="25"/>
      <c r="AP285" s="6">
        <f t="shared" si="108"/>
        <v>0</v>
      </c>
      <c r="AQ285">
        <f t="shared" si="99"/>
        <v>0</v>
      </c>
    </row>
    <row r="286" spans="1:43" x14ac:dyDescent="0.3">
      <c r="A286" s="5">
        <f t="shared" si="109"/>
        <v>43735</v>
      </c>
      <c r="B286" s="25">
        <v>243.60285350000859</v>
      </c>
      <c r="C286" s="25">
        <v>42.311531700000167</v>
      </c>
      <c r="D286" s="25">
        <v>24.291</v>
      </c>
      <c r="E286" s="6">
        <f t="shared" si="103"/>
        <v>310.20538520000878</v>
      </c>
      <c r="F286">
        <f t="shared" si="100"/>
        <v>0</v>
      </c>
      <c r="G286" s="5">
        <f t="shared" si="110"/>
        <v>44100</v>
      </c>
      <c r="H286" s="25">
        <v>233.60934340000153</v>
      </c>
      <c r="I286" s="25">
        <v>44.056073299996555</v>
      </c>
      <c r="J286" s="25">
        <v>19.530999999999999</v>
      </c>
      <c r="K286" s="6">
        <f t="shared" si="104"/>
        <v>297.19641669999811</v>
      </c>
      <c r="L286">
        <f t="shared" si="101"/>
        <v>0</v>
      </c>
      <c r="M286" s="5">
        <f t="shared" si="111"/>
        <v>44466</v>
      </c>
      <c r="N286" s="25">
        <v>207.62404979991913</v>
      </c>
      <c r="O286" s="25">
        <v>51.056749499998986</v>
      </c>
      <c r="P286" s="25">
        <v>23.376000000000001</v>
      </c>
      <c r="Q286" s="6">
        <f t="shared" si="102"/>
        <v>282.05679929991811</v>
      </c>
      <c r="R286">
        <f t="shared" si="95"/>
        <v>0</v>
      </c>
      <c r="S286" s="5">
        <f t="shared" si="112"/>
        <v>44831</v>
      </c>
      <c r="T286" s="25">
        <v>240.40181420004367</v>
      </c>
      <c r="U286" s="25">
        <v>58.026880799993876</v>
      </c>
      <c r="V286" s="25">
        <v>22.523861000000498</v>
      </c>
      <c r="W286" s="6">
        <f t="shared" si="105"/>
        <v>320.9525560000381</v>
      </c>
      <c r="X286">
        <f t="shared" si="96"/>
        <v>0</v>
      </c>
      <c r="Z286" s="5">
        <f t="shared" si="113"/>
        <v>44831</v>
      </c>
      <c r="AA286" s="25"/>
      <c r="AB286" s="25"/>
      <c r="AC286" s="25"/>
      <c r="AD286" s="6">
        <f t="shared" si="106"/>
        <v>0</v>
      </c>
      <c r="AE286">
        <f t="shared" si="97"/>
        <v>0</v>
      </c>
      <c r="AF286" s="5">
        <f t="shared" si="114"/>
        <v>45561</v>
      </c>
      <c r="AG286" s="25"/>
      <c r="AH286" s="25"/>
      <c r="AI286" s="25"/>
      <c r="AJ286" s="6">
        <f t="shared" si="107"/>
        <v>0</v>
      </c>
      <c r="AK286">
        <f t="shared" si="98"/>
        <v>0</v>
      </c>
      <c r="AL286" s="5">
        <f t="shared" si="115"/>
        <v>45927</v>
      </c>
      <c r="AM286" s="25"/>
      <c r="AN286" s="25"/>
      <c r="AO286" s="25"/>
      <c r="AP286" s="6">
        <f t="shared" si="108"/>
        <v>0</v>
      </c>
      <c r="AQ286">
        <f t="shared" si="99"/>
        <v>0</v>
      </c>
    </row>
    <row r="287" spans="1:43" x14ac:dyDescent="0.3">
      <c r="A287" s="5">
        <f t="shared" si="109"/>
        <v>43736</v>
      </c>
      <c r="B287" s="25">
        <v>240.49747689998151</v>
      </c>
      <c r="C287" s="25">
        <v>43.305514199998228</v>
      </c>
      <c r="D287" s="25">
        <v>24.390999999999998</v>
      </c>
      <c r="E287" s="6">
        <f t="shared" si="103"/>
        <v>308.19399109997977</v>
      </c>
      <c r="F287">
        <f t="shared" si="100"/>
        <v>0</v>
      </c>
      <c r="G287" s="5">
        <f t="shared" si="110"/>
        <v>44101</v>
      </c>
      <c r="H287" s="25">
        <v>220.24064010000228</v>
      </c>
      <c r="I287" s="25">
        <v>39.010845399998125</v>
      </c>
      <c r="J287" s="25">
        <v>17.609000000000002</v>
      </c>
      <c r="K287" s="6">
        <f t="shared" si="104"/>
        <v>276.86048550000038</v>
      </c>
      <c r="L287">
        <f t="shared" si="101"/>
        <v>0</v>
      </c>
      <c r="M287" s="5">
        <f t="shared" si="111"/>
        <v>44467</v>
      </c>
      <c r="N287" s="25">
        <v>201.45140190005301</v>
      </c>
      <c r="O287" s="25">
        <v>49.786388300001619</v>
      </c>
      <c r="P287" s="25">
        <v>22.632999999999999</v>
      </c>
      <c r="Q287" s="6">
        <f t="shared" si="102"/>
        <v>273.87079020005461</v>
      </c>
      <c r="R287">
        <f t="shared" si="95"/>
        <v>0</v>
      </c>
      <c r="S287" s="5">
        <f t="shared" si="112"/>
        <v>44832</v>
      </c>
      <c r="T287" s="25">
        <v>240.53094350004196</v>
      </c>
      <c r="U287" s="25">
        <v>55.67586030000448</v>
      </c>
      <c r="V287" s="25">
        <v>19.95747559999954</v>
      </c>
      <c r="W287" s="6">
        <f t="shared" si="105"/>
        <v>316.16427940004598</v>
      </c>
      <c r="X287">
        <f t="shared" si="96"/>
        <v>0</v>
      </c>
      <c r="Z287" s="5">
        <f t="shared" si="113"/>
        <v>44832</v>
      </c>
      <c r="AA287" s="25"/>
      <c r="AB287" s="25"/>
      <c r="AC287" s="25"/>
      <c r="AD287" s="6">
        <f t="shared" si="106"/>
        <v>0</v>
      </c>
      <c r="AE287">
        <f t="shared" si="97"/>
        <v>0</v>
      </c>
      <c r="AF287" s="5">
        <f t="shared" si="114"/>
        <v>45562</v>
      </c>
      <c r="AG287" s="25"/>
      <c r="AH287" s="25"/>
      <c r="AI287" s="25"/>
      <c r="AJ287" s="6">
        <f t="shared" si="107"/>
        <v>0</v>
      </c>
      <c r="AK287">
        <f t="shared" si="98"/>
        <v>0</v>
      </c>
      <c r="AL287" s="5">
        <f t="shared" si="115"/>
        <v>45928</v>
      </c>
      <c r="AM287" s="25"/>
      <c r="AN287" s="25"/>
      <c r="AO287" s="25"/>
      <c r="AP287" s="6">
        <f t="shared" si="108"/>
        <v>0</v>
      </c>
      <c r="AQ287">
        <f t="shared" si="99"/>
        <v>0</v>
      </c>
    </row>
    <row r="288" spans="1:43" x14ac:dyDescent="0.3">
      <c r="A288" s="5">
        <f t="shared" si="109"/>
        <v>43737</v>
      </c>
      <c r="B288" s="25">
        <v>218.62408800005912</v>
      </c>
      <c r="C288" s="25">
        <v>39.490644299998877</v>
      </c>
      <c r="D288" s="25">
        <v>15.516</v>
      </c>
      <c r="E288" s="6">
        <f t="shared" si="103"/>
        <v>273.63073230005801</v>
      </c>
      <c r="F288">
        <f t="shared" si="100"/>
        <v>0</v>
      </c>
      <c r="G288" s="5">
        <f t="shared" si="110"/>
        <v>44102</v>
      </c>
      <c r="H288" s="25">
        <v>242.61419650006295</v>
      </c>
      <c r="I288" s="25">
        <v>47.685832200005649</v>
      </c>
      <c r="J288" s="25">
        <v>19.1388</v>
      </c>
      <c r="K288" s="6">
        <f t="shared" si="104"/>
        <v>309.4388287000686</v>
      </c>
      <c r="L288">
        <f t="shared" si="101"/>
        <v>0</v>
      </c>
      <c r="M288" s="5">
        <f t="shared" si="111"/>
        <v>44468</v>
      </c>
      <c r="N288" s="25">
        <v>240.40558659994602</v>
      </c>
      <c r="O288" s="25">
        <v>48.073955700002614</v>
      </c>
      <c r="P288" s="25">
        <v>21.795999999999999</v>
      </c>
      <c r="Q288" s="6">
        <f t="shared" si="102"/>
        <v>310.27554229994865</v>
      </c>
      <c r="R288">
        <f t="shared" si="95"/>
        <v>0</v>
      </c>
      <c r="S288" s="5">
        <f t="shared" si="112"/>
        <v>44833</v>
      </c>
      <c r="T288" s="25">
        <v>252.80782609999179</v>
      </c>
      <c r="U288" s="25">
        <v>57.513390300005675</v>
      </c>
      <c r="V288" s="25">
        <v>22.478302799998318</v>
      </c>
      <c r="W288" s="6">
        <f t="shared" si="105"/>
        <v>332.79951919999576</v>
      </c>
      <c r="X288">
        <f t="shared" si="96"/>
        <v>0</v>
      </c>
      <c r="Z288" s="5">
        <f t="shared" si="113"/>
        <v>44833</v>
      </c>
      <c r="AA288" s="25"/>
      <c r="AB288" s="25"/>
      <c r="AC288" s="25"/>
      <c r="AD288" s="6">
        <f t="shared" si="106"/>
        <v>0</v>
      </c>
      <c r="AE288">
        <f t="shared" si="97"/>
        <v>0</v>
      </c>
      <c r="AF288" s="5">
        <f t="shared" si="114"/>
        <v>45563</v>
      </c>
      <c r="AG288" s="25"/>
      <c r="AH288" s="25"/>
      <c r="AI288" s="25"/>
      <c r="AJ288" s="6">
        <f t="shared" si="107"/>
        <v>0</v>
      </c>
      <c r="AK288">
        <f t="shared" si="98"/>
        <v>0</v>
      </c>
      <c r="AL288" s="5">
        <f t="shared" si="115"/>
        <v>45929</v>
      </c>
      <c r="AM288" s="25"/>
      <c r="AN288" s="25"/>
      <c r="AO288" s="25"/>
      <c r="AP288" s="6">
        <f t="shared" si="108"/>
        <v>0</v>
      </c>
      <c r="AQ288">
        <f t="shared" si="99"/>
        <v>0</v>
      </c>
    </row>
    <row r="289" spans="1:43" x14ac:dyDescent="0.3">
      <c r="A289" s="21">
        <f t="shared" si="109"/>
        <v>43738</v>
      </c>
      <c r="B289" s="25">
        <v>249.49669799995422</v>
      </c>
      <c r="C289" s="25">
        <v>44.058701300002632</v>
      </c>
      <c r="D289" s="25">
        <v>22.413</v>
      </c>
      <c r="E289" s="6">
        <f t="shared" si="103"/>
        <v>315.96839929995684</v>
      </c>
      <c r="F289">
        <f t="shared" si="100"/>
        <v>0</v>
      </c>
      <c r="G289" s="5">
        <f t="shared" si="110"/>
        <v>44103</v>
      </c>
      <c r="H289" s="25">
        <v>237.88689440000059</v>
      </c>
      <c r="I289" s="25">
        <v>49.064465899996456</v>
      </c>
      <c r="J289" s="25">
        <v>21.837299999999999</v>
      </c>
      <c r="K289" s="6">
        <f t="shared" si="104"/>
        <v>308.78866029999699</v>
      </c>
      <c r="L289">
        <f t="shared" si="101"/>
        <v>0</v>
      </c>
      <c r="M289" s="21">
        <f t="shared" si="111"/>
        <v>44469</v>
      </c>
      <c r="N289" s="25">
        <v>216.62676070010662</v>
      </c>
      <c r="O289" s="25">
        <v>49.609701099999249</v>
      </c>
      <c r="P289" s="25">
        <v>24.175999999999998</v>
      </c>
      <c r="Q289" s="6">
        <f t="shared" si="102"/>
        <v>290.41246180010586</v>
      </c>
      <c r="R289">
        <f t="shared" si="95"/>
        <v>0</v>
      </c>
      <c r="S289" s="21">
        <f t="shared" si="112"/>
        <v>44834</v>
      </c>
      <c r="T289" s="25">
        <v>256.09223809993267</v>
      </c>
      <c r="U289" s="25">
        <v>57.693947899997234</v>
      </c>
      <c r="V289" s="25">
        <v>24.379977000000885</v>
      </c>
      <c r="W289" s="6">
        <f t="shared" si="105"/>
        <v>338.1661629999308</v>
      </c>
      <c r="X289">
        <f t="shared" si="96"/>
        <v>0</v>
      </c>
      <c r="Z289" s="21">
        <f t="shared" si="113"/>
        <v>44834</v>
      </c>
      <c r="AA289" s="25"/>
      <c r="AB289" s="25"/>
      <c r="AC289" s="25"/>
      <c r="AD289" s="6">
        <f t="shared" si="106"/>
        <v>0</v>
      </c>
      <c r="AE289">
        <f t="shared" si="97"/>
        <v>0</v>
      </c>
      <c r="AF289" s="21">
        <f t="shared" si="114"/>
        <v>45564</v>
      </c>
      <c r="AG289" s="25"/>
      <c r="AH289" s="25"/>
      <c r="AI289" s="25"/>
      <c r="AJ289" s="6">
        <f t="shared" si="107"/>
        <v>0</v>
      </c>
      <c r="AK289">
        <f t="shared" si="98"/>
        <v>0</v>
      </c>
      <c r="AL289" s="21">
        <f t="shared" si="115"/>
        <v>45930</v>
      </c>
      <c r="AM289" s="25"/>
      <c r="AN289" s="25"/>
      <c r="AO289" s="25"/>
      <c r="AP289" s="6">
        <f t="shared" si="108"/>
        <v>0</v>
      </c>
      <c r="AQ289">
        <f t="shared" si="99"/>
        <v>0</v>
      </c>
    </row>
    <row r="290" spans="1:43" x14ac:dyDescent="0.3">
      <c r="A290" s="5">
        <f t="shared" si="109"/>
        <v>43739</v>
      </c>
      <c r="B290" s="25">
        <v>249.84145200002195</v>
      </c>
      <c r="C290" s="25">
        <v>45.138685499999674</v>
      </c>
      <c r="D290" s="25">
        <v>20.7165</v>
      </c>
      <c r="E290" s="6">
        <f t="shared" si="103"/>
        <v>315.69663750002161</v>
      </c>
      <c r="F290">
        <f t="shared" si="100"/>
        <v>0</v>
      </c>
      <c r="G290" s="21">
        <f t="shared" si="110"/>
        <v>44104</v>
      </c>
      <c r="H290" s="25">
        <v>238.55838829994201</v>
      </c>
      <c r="I290" s="25">
        <v>51.21173790000379</v>
      </c>
      <c r="J290" s="25">
        <v>19.659099999999999</v>
      </c>
      <c r="K290" s="6">
        <f t="shared" si="104"/>
        <v>309.42922619994584</v>
      </c>
      <c r="L290">
        <f t="shared" si="101"/>
        <v>0</v>
      </c>
      <c r="M290" s="5">
        <f t="shared" si="111"/>
        <v>44470</v>
      </c>
      <c r="N290" s="25">
        <v>223.71014719998837</v>
      </c>
      <c r="O290" s="25">
        <v>50.913024399995805</v>
      </c>
      <c r="P290" s="25">
        <v>23.71364079999714</v>
      </c>
      <c r="Q290" s="6">
        <f t="shared" si="102"/>
        <v>298.33681239998134</v>
      </c>
      <c r="R290">
        <f t="shared" si="95"/>
        <v>0</v>
      </c>
      <c r="S290" s="5">
        <f t="shared" si="112"/>
        <v>44835</v>
      </c>
      <c r="T290" s="25">
        <v>222.00351999998094</v>
      </c>
      <c r="U290" s="25">
        <v>57.620187299996616</v>
      </c>
      <c r="V290" s="25">
        <v>24.107688699999358</v>
      </c>
      <c r="W290" s="6">
        <f t="shared" si="105"/>
        <v>303.73139599997694</v>
      </c>
      <c r="X290">
        <f t="shared" si="96"/>
        <v>0</v>
      </c>
      <c r="Z290" s="5">
        <f t="shared" si="113"/>
        <v>44835</v>
      </c>
      <c r="AA290" s="25"/>
      <c r="AB290" s="25"/>
      <c r="AC290" s="25"/>
      <c r="AD290" s="6">
        <f t="shared" si="106"/>
        <v>0</v>
      </c>
      <c r="AE290">
        <f t="shared" si="97"/>
        <v>0</v>
      </c>
      <c r="AF290" s="5">
        <f t="shared" si="114"/>
        <v>45565</v>
      </c>
      <c r="AG290" s="25"/>
      <c r="AH290" s="25"/>
      <c r="AI290" s="25"/>
      <c r="AJ290" s="6">
        <f t="shared" si="107"/>
        <v>0</v>
      </c>
      <c r="AK290">
        <f t="shared" si="98"/>
        <v>0</v>
      </c>
      <c r="AL290" s="5">
        <f t="shared" si="115"/>
        <v>45931</v>
      </c>
      <c r="AM290" s="25"/>
      <c r="AN290" s="25"/>
      <c r="AO290" s="25"/>
      <c r="AP290" s="6">
        <f t="shared" si="108"/>
        <v>0</v>
      </c>
      <c r="AQ290">
        <f t="shared" si="99"/>
        <v>0</v>
      </c>
    </row>
    <row r="291" spans="1:43" x14ac:dyDescent="0.3">
      <c r="A291" s="5">
        <f t="shared" si="109"/>
        <v>43740</v>
      </c>
      <c r="B291" s="25">
        <v>246.81043959999084</v>
      </c>
      <c r="C291" s="25">
        <v>42.849645700000224</v>
      </c>
      <c r="D291" s="25">
        <v>19.298999999999999</v>
      </c>
      <c r="E291" s="6">
        <f t="shared" si="103"/>
        <v>308.95908529999105</v>
      </c>
      <c r="F291">
        <f t="shared" si="100"/>
        <v>0</v>
      </c>
      <c r="G291" s="5">
        <f t="shared" si="110"/>
        <v>44105</v>
      </c>
      <c r="H291" s="25">
        <v>239.19511189997195</v>
      </c>
      <c r="I291" s="25">
        <v>49.412888799995187</v>
      </c>
      <c r="J291" s="25">
        <v>20.920999999999999</v>
      </c>
      <c r="K291" s="6">
        <f t="shared" si="104"/>
        <v>309.52900069996713</v>
      </c>
      <c r="L291">
        <f t="shared" si="101"/>
        <v>0</v>
      </c>
      <c r="M291" s="5">
        <f t="shared" si="111"/>
        <v>44471</v>
      </c>
      <c r="N291" s="25">
        <v>207.09201999998092</v>
      </c>
      <c r="O291" s="25">
        <v>48.772945600003005</v>
      </c>
      <c r="P291" s="25">
        <v>22.764849100002234</v>
      </c>
      <c r="Q291" s="6">
        <f t="shared" si="102"/>
        <v>278.62981469998613</v>
      </c>
      <c r="R291">
        <f t="shared" si="95"/>
        <v>0</v>
      </c>
      <c r="S291" s="5">
        <f t="shared" si="112"/>
        <v>44836</v>
      </c>
      <c r="T291" s="25">
        <v>229.12415460002421</v>
      </c>
      <c r="U291" s="25">
        <v>47.433833399996161</v>
      </c>
      <c r="V291" s="25">
        <v>17.905595000003</v>
      </c>
      <c r="W291" s="6">
        <f t="shared" si="105"/>
        <v>294.46358300002339</v>
      </c>
      <c r="X291">
        <f t="shared" si="96"/>
        <v>0</v>
      </c>
      <c r="Z291" s="5">
        <f t="shared" si="113"/>
        <v>44836</v>
      </c>
      <c r="AA291" s="25"/>
      <c r="AB291" s="25"/>
      <c r="AC291" s="25"/>
      <c r="AD291" s="6">
        <f t="shared" si="106"/>
        <v>0</v>
      </c>
      <c r="AE291">
        <f t="shared" si="97"/>
        <v>0</v>
      </c>
      <c r="AF291" s="5">
        <f t="shared" si="114"/>
        <v>45566</v>
      </c>
      <c r="AG291" s="25"/>
      <c r="AH291" s="25"/>
      <c r="AI291" s="25"/>
      <c r="AJ291" s="6">
        <f t="shared" si="107"/>
        <v>0</v>
      </c>
      <c r="AK291">
        <f t="shared" si="98"/>
        <v>0</v>
      </c>
      <c r="AL291" s="5">
        <f t="shared" si="115"/>
        <v>45932</v>
      </c>
      <c r="AM291" s="25"/>
      <c r="AN291" s="25"/>
      <c r="AO291" s="25"/>
      <c r="AP291" s="6">
        <f t="shared" si="108"/>
        <v>0</v>
      </c>
      <c r="AQ291">
        <f t="shared" si="99"/>
        <v>0</v>
      </c>
    </row>
    <row r="292" spans="1:43" x14ac:dyDescent="0.3">
      <c r="A292" s="5">
        <f t="shared" si="109"/>
        <v>43741</v>
      </c>
      <c r="B292" s="25">
        <v>248.33512100005149</v>
      </c>
      <c r="C292" s="25">
        <v>43.897049199998378</v>
      </c>
      <c r="D292" s="25">
        <v>20.257999999999999</v>
      </c>
      <c r="E292" s="6">
        <f t="shared" si="103"/>
        <v>312.49017020004982</v>
      </c>
      <c r="F292">
        <f t="shared" si="100"/>
        <v>0</v>
      </c>
      <c r="G292" s="5">
        <f t="shared" si="110"/>
        <v>44106</v>
      </c>
      <c r="H292" s="25">
        <v>246.63520780003071</v>
      </c>
      <c r="I292" s="25">
        <v>45.782404600001868</v>
      </c>
      <c r="J292" s="25">
        <v>20.597999999999999</v>
      </c>
      <c r="K292" s="6">
        <f t="shared" si="104"/>
        <v>313.01561240003258</v>
      </c>
      <c r="L292">
        <f t="shared" si="101"/>
        <v>0</v>
      </c>
      <c r="M292" s="5">
        <f t="shared" si="111"/>
        <v>44472</v>
      </c>
      <c r="N292" s="25">
        <v>171.80145990002154</v>
      </c>
      <c r="O292" s="25">
        <v>41.443004599995909</v>
      </c>
      <c r="P292" s="25">
        <v>17.975312699999108</v>
      </c>
      <c r="Q292" s="6">
        <f t="shared" si="102"/>
        <v>231.21977720001655</v>
      </c>
      <c r="R292">
        <f t="shared" si="95"/>
        <v>0</v>
      </c>
      <c r="S292" s="5">
        <f t="shared" si="112"/>
        <v>44837</v>
      </c>
      <c r="T292" s="25">
        <v>279.82122450006005</v>
      </c>
      <c r="U292" s="25">
        <v>57.985071400001644</v>
      </c>
      <c r="V292" s="25">
        <v>24.902714099999518</v>
      </c>
      <c r="W292" s="6">
        <f t="shared" si="105"/>
        <v>362.7090100000612</v>
      </c>
      <c r="X292">
        <f t="shared" si="96"/>
        <v>0</v>
      </c>
      <c r="Z292" s="5">
        <f t="shared" si="113"/>
        <v>44837</v>
      </c>
      <c r="AA292" s="25"/>
      <c r="AB292" s="25"/>
      <c r="AC292" s="25"/>
      <c r="AD292" s="6">
        <f t="shared" si="106"/>
        <v>0</v>
      </c>
      <c r="AE292">
        <f t="shared" si="97"/>
        <v>0</v>
      </c>
      <c r="AF292" s="5">
        <f t="shared" si="114"/>
        <v>45567</v>
      </c>
      <c r="AG292" s="25"/>
      <c r="AH292" s="25"/>
      <c r="AI292" s="25"/>
      <c r="AJ292" s="6">
        <f t="shared" si="107"/>
        <v>0</v>
      </c>
      <c r="AK292">
        <f t="shared" si="98"/>
        <v>0</v>
      </c>
      <c r="AL292" s="5">
        <f t="shared" si="115"/>
        <v>45933</v>
      </c>
      <c r="AM292" s="25"/>
      <c r="AN292" s="25"/>
      <c r="AO292" s="25"/>
      <c r="AP292" s="6">
        <f t="shared" si="108"/>
        <v>0</v>
      </c>
      <c r="AQ292">
        <f t="shared" si="99"/>
        <v>0</v>
      </c>
    </row>
    <row r="293" spans="1:43" x14ac:dyDescent="0.3">
      <c r="A293" s="5">
        <f t="shared" si="109"/>
        <v>43742</v>
      </c>
      <c r="B293" s="25">
        <v>246.76227610003949</v>
      </c>
      <c r="C293" s="25">
        <v>42.392686099998656</v>
      </c>
      <c r="D293" s="25">
        <v>19.436</v>
      </c>
      <c r="E293" s="6">
        <f t="shared" si="103"/>
        <v>308.59096220003812</v>
      </c>
      <c r="F293">
        <f t="shared" si="100"/>
        <v>0</v>
      </c>
      <c r="G293" s="5">
        <f t="shared" si="110"/>
        <v>44107</v>
      </c>
      <c r="H293" s="25">
        <v>227.7419973000288</v>
      </c>
      <c r="I293" s="25">
        <v>47.097101700000465</v>
      </c>
      <c r="J293" s="25">
        <v>19.699000000000002</v>
      </c>
      <c r="K293" s="6">
        <f t="shared" si="104"/>
        <v>294.53809900002926</v>
      </c>
      <c r="L293">
        <f t="shared" si="101"/>
        <v>0</v>
      </c>
      <c r="M293" s="5">
        <f t="shared" si="111"/>
        <v>44473</v>
      </c>
      <c r="N293" s="25">
        <v>207.49030929994584</v>
      </c>
      <c r="O293" s="25">
        <v>49.775662100002172</v>
      </c>
      <c r="P293" s="25">
        <v>21.468133500000782</v>
      </c>
      <c r="Q293" s="6">
        <f t="shared" si="102"/>
        <v>278.73410489994876</v>
      </c>
      <c r="R293">
        <f t="shared" si="95"/>
        <v>0</v>
      </c>
      <c r="S293" s="5">
        <f t="shared" si="112"/>
        <v>44838</v>
      </c>
      <c r="T293" s="25">
        <v>268.67149269998072</v>
      </c>
      <c r="U293" s="25">
        <v>58.486938400000334</v>
      </c>
      <c r="V293" s="25">
        <v>25.033664299999362</v>
      </c>
      <c r="W293" s="6">
        <f t="shared" si="105"/>
        <v>352.19209539998042</v>
      </c>
      <c r="X293">
        <f t="shared" si="96"/>
        <v>0</v>
      </c>
      <c r="Z293" s="5">
        <f t="shared" si="113"/>
        <v>44838</v>
      </c>
      <c r="AA293" s="25"/>
      <c r="AB293" s="25"/>
      <c r="AC293" s="25"/>
      <c r="AD293" s="6">
        <f t="shared" si="106"/>
        <v>0</v>
      </c>
      <c r="AE293">
        <f t="shared" si="97"/>
        <v>0</v>
      </c>
      <c r="AF293" s="5">
        <f t="shared" si="114"/>
        <v>45568</v>
      </c>
      <c r="AG293" s="25"/>
      <c r="AH293" s="25"/>
      <c r="AI293" s="25"/>
      <c r="AJ293" s="6">
        <f t="shared" si="107"/>
        <v>0</v>
      </c>
      <c r="AK293">
        <f t="shared" si="98"/>
        <v>0</v>
      </c>
      <c r="AL293" s="5">
        <f t="shared" si="115"/>
        <v>45934</v>
      </c>
      <c r="AM293" s="25"/>
      <c r="AN293" s="25"/>
      <c r="AO293" s="25"/>
      <c r="AP293" s="6">
        <f t="shared" si="108"/>
        <v>0</v>
      </c>
      <c r="AQ293">
        <f t="shared" si="99"/>
        <v>0</v>
      </c>
    </row>
    <row r="294" spans="1:43" x14ac:dyDescent="0.3">
      <c r="A294" s="5">
        <f t="shared" si="109"/>
        <v>43743</v>
      </c>
      <c r="B294" s="25">
        <v>236.52382399988176</v>
      </c>
      <c r="C294" s="25">
        <v>39.610978700000793</v>
      </c>
      <c r="D294" s="25">
        <v>19.228999999999999</v>
      </c>
      <c r="E294" s="6">
        <f t="shared" si="103"/>
        <v>295.36380269988251</v>
      </c>
      <c r="F294">
        <f t="shared" si="100"/>
        <v>0</v>
      </c>
      <c r="G294" s="5">
        <f t="shared" si="110"/>
        <v>44108</v>
      </c>
      <c r="H294" s="25">
        <v>217.46590659999848</v>
      </c>
      <c r="I294" s="25">
        <v>40.04410490000248</v>
      </c>
      <c r="J294" s="25">
        <v>16.901</v>
      </c>
      <c r="K294" s="6">
        <f t="shared" si="104"/>
        <v>274.41101150000094</v>
      </c>
      <c r="L294">
        <f t="shared" si="101"/>
        <v>0</v>
      </c>
      <c r="M294" s="5">
        <f t="shared" si="111"/>
        <v>44474</v>
      </c>
      <c r="N294" s="25">
        <v>223.81149570000173</v>
      </c>
      <c r="O294" s="25">
        <v>51.470471799999473</v>
      </c>
      <c r="P294" s="25">
        <v>21.332888699997973</v>
      </c>
      <c r="Q294" s="6">
        <f t="shared" si="102"/>
        <v>296.61485619999917</v>
      </c>
      <c r="R294">
        <f t="shared" si="95"/>
        <v>0</v>
      </c>
      <c r="S294" s="5">
        <f t="shared" si="112"/>
        <v>44839</v>
      </c>
      <c r="T294" s="25">
        <v>266.55020539999009</v>
      </c>
      <c r="U294" s="25">
        <v>60.335914700001481</v>
      </c>
      <c r="V294" s="25">
        <v>24.826704299999403</v>
      </c>
      <c r="W294" s="6">
        <f t="shared" si="105"/>
        <v>351.71282439999095</v>
      </c>
      <c r="X294">
        <f t="shared" si="96"/>
        <v>0</v>
      </c>
      <c r="Z294" s="5">
        <f t="shared" si="113"/>
        <v>44839</v>
      </c>
      <c r="AA294" s="25"/>
      <c r="AB294" s="25"/>
      <c r="AC294" s="25"/>
      <c r="AD294" s="6">
        <f t="shared" si="106"/>
        <v>0</v>
      </c>
      <c r="AE294">
        <f t="shared" si="97"/>
        <v>0</v>
      </c>
      <c r="AF294" s="5">
        <f t="shared" si="114"/>
        <v>45569</v>
      </c>
      <c r="AG294" s="25"/>
      <c r="AH294" s="25"/>
      <c r="AI294" s="25"/>
      <c r="AJ294" s="6">
        <f t="shared" si="107"/>
        <v>0</v>
      </c>
      <c r="AK294">
        <f t="shared" si="98"/>
        <v>0</v>
      </c>
      <c r="AL294" s="5">
        <f t="shared" si="115"/>
        <v>45935</v>
      </c>
      <c r="AM294" s="25"/>
      <c r="AN294" s="25"/>
      <c r="AO294" s="25"/>
      <c r="AP294" s="6">
        <f t="shared" si="108"/>
        <v>0</v>
      </c>
      <c r="AQ294">
        <f t="shared" si="99"/>
        <v>0</v>
      </c>
    </row>
    <row r="295" spans="1:43" x14ac:dyDescent="0.3">
      <c r="A295" s="5">
        <f t="shared" si="109"/>
        <v>43744</v>
      </c>
      <c r="B295" s="25">
        <v>216.0073468000889</v>
      </c>
      <c r="C295" s="25">
        <v>37.406683299999685</v>
      </c>
      <c r="D295" s="25">
        <v>15.625999999999999</v>
      </c>
      <c r="E295" s="6">
        <f t="shared" si="103"/>
        <v>269.04003010008859</v>
      </c>
      <c r="F295">
        <f t="shared" si="100"/>
        <v>0</v>
      </c>
      <c r="G295" s="5">
        <f t="shared" si="110"/>
        <v>44109</v>
      </c>
      <c r="H295" s="25">
        <v>228.45170109999179</v>
      </c>
      <c r="I295" s="25">
        <v>47.338260999999939</v>
      </c>
      <c r="J295" s="25">
        <v>21.462</v>
      </c>
      <c r="K295" s="6">
        <f t="shared" si="104"/>
        <v>297.25196209999172</v>
      </c>
      <c r="L295">
        <f t="shared" si="101"/>
        <v>0</v>
      </c>
      <c r="M295" s="5">
        <f t="shared" si="111"/>
        <v>44475</v>
      </c>
      <c r="N295" s="25">
        <v>207.74745679998398</v>
      </c>
      <c r="O295" s="25">
        <v>53.686741599999365</v>
      </c>
      <c r="P295" s="25">
        <v>22.919570099999547</v>
      </c>
      <c r="Q295" s="6">
        <f t="shared" si="102"/>
        <v>284.35376849998289</v>
      </c>
      <c r="R295">
        <f t="shared" si="95"/>
        <v>0</v>
      </c>
      <c r="S295" s="5">
        <f t="shared" si="112"/>
        <v>44840</v>
      </c>
      <c r="T295" s="25">
        <v>261.38459669995308</v>
      </c>
      <c r="U295" s="25">
        <v>60.151492799997328</v>
      </c>
      <c r="V295" s="25">
        <v>25.137987499998417</v>
      </c>
      <c r="W295" s="6">
        <f t="shared" si="105"/>
        <v>346.67407699994885</v>
      </c>
      <c r="X295">
        <f t="shared" si="96"/>
        <v>0</v>
      </c>
      <c r="Z295" s="5">
        <f t="shared" si="113"/>
        <v>44840</v>
      </c>
      <c r="AA295" s="25"/>
      <c r="AB295" s="25"/>
      <c r="AC295" s="25"/>
      <c r="AD295" s="6">
        <f t="shared" si="106"/>
        <v>0</v>
      </c>
      <c r="AE295">
        <f t="shared" si="97"/>
        <v>0</v>
      </c>
      <c r="AF295" s="5">
        <f t="shared" si="114"/>
        <v>45570</v>
      </c>
      <c r="AG295" s="25"/>
      <c r="AH295" s="25"/>
      <c r="AI295" s="25"/>
      <c r="AJ295" s="6">
        <f t="shared" si="107"/>
        <v>0</v>
      </c>
      <c r="AK295">
        <f t="shared" si="98"/>
        <v>0</v>
      </c>
      <c r="AL295" s="5">
        <f t="shared" si="115"/>
        <v>45936</v>
      </c>
      <c r="AM295" s="25"/>
      <c r="AN295" s="25"/>
      <c r="AO295" s="25"/>
      <c r="AP295" s="6">
        <f t="shared" si="108"/>
        <v>0</v>
      </c>
      <c r="AQ295">
        <f t="shared" si="99"/>
        <v>0</v>
      </c>
    </row>
    <row r="296" spans="1:43" x14ac:dyDescent="0.3">
      <c r="A296" s="5">
        <f t="shared" si="109"/>
        <v>43745</v>
      </c>
      <c r="B296" s="25">
        <v>250.07318180000783</v>
      </c>
      <c r="C296" s="25">
        <v>48.460897500000897</v>
      </c>
      <c r="D296" s="25">
        <v>19.2</v>
      </c>
      <c r="E296" s="6">
        <f t="shared" si="103"/>
        <v>317.73407930000872</v>
      </c>
      <c r="F296">
        <f t="shared" si="100"/>
        <v>0</v>
      </c>
      <c r="G296" s="5">
        <f t="shared" si="110"/>
        <v>44110</v>
      </c>
      <c r="H296" s="25">
        <v>216.56400679993629</v>
      </c>
      <c r="I296" s="25">
        <v>47.565319499999283</v>
      </c>
      <c r="J296" s="25">
        <v>19.018999999999998</v>
      </c>
      <c r="K296" s="6">
        <f t="shared" si="104"/>
        <v>283.1483262999356</v>
      </c>
      <c r="L296">
        <f t="shared" si="101"/>
        <v>0</v>
      </c>
      <c r="M296" s="5">
        <f t="shared" si="111"/>
        <v>44476</v>
      </c>
      <c r="N296" s="25">
        <v>228.83932450008393</v>
      </c>
      <c r="O296" s="25">
        <v>49.736153400003907</v>
      </c>
      <c r="P296" s="25">
        <v>22.301468900000387</v>
      </c>
      <c r="Q296" s="6">
        <f t="shared" si="102"/>
        <v>300.87694680008821</v>
      </c>
      <c r="R296">
        <f t="shared" si="95"/>
        <v>0</v>
      </c>
      <c r="S296" s="5">
        <f t="shared" si="112"/>
        <v>44841</v>
      </c>
      <c r="T296" s="25">
        <v>251.05216140007974</v>
      </c>
      <c r="U296" s="25">
        <v>61.274784500002859</v>
      </c>
      <c r="V296" s="25">
        <v>24.204267700001132</v>
      </c>
      <c r="W296" s="6">
        <f t="shared" si="105"/>
        <v>336.53121360008373</v>
      </c>
      <c r="X296">
        <f t="shared" si="96"/>
        <v>0</v>
      </c>
      <c r="Z296" s="5">
        <f t="shared" si="113"/>
        <v>44841</v>
      </c>
      <c r="AA296" s="25"/>
      <c r="AB296" s="25"/>
      <c r="AC296" s="25"/>
      <c r="AD296" s="6">
        <f t="shared" si="106"/>
        <v>0</v>
      </c>
      <c r="AE296">
        <f t="shared" si="97"/>
        <v>0</v>
      </c>
      <c r="AF296" s="5">
        <f t="shared" si="114"/>
        <v>45571</v>
      </c>
      <c r="AG296" s="25"/>
      <c r="AH296" s="25"/>
      <c r="AI296" s="25"/>
      <c r="AJ296" s="6">
        <f t="shared" si="107"/>
        <v>0</v>
      </c>
      <c r="AK296">
        <f t="shared" si="98"/>
        <v>0</v>
      </c>
      <c r="AL296" s="5">
        <f t="shared" si="115"/>
        <v>45937</v>
      </c>
      <c r="AM296" s="25"/>
      <c r="AN296" s="25"/>
      <c r="AO296" s="25"/>
      <c r="AP296" s="6">
        <f t="shared" si="108"/>
        <v>0</v>
      </c>
      <c r="AQ296">
        <f t="shared" si="99"/>
        <v>0</v>
      </c>
    </row>
    <row r="297" spans="1:43" x14ac:dyDescent="0.3">
      <c r="A297" s="5">
        <f t="shared" si="109"/>
        <v>43746</v>
      </c>
      <c r="B297" s="25">
        <v>247.35453820002078</v>
      </c>
      <c r="C297" s="25">
        <v>45.921734099999071</v>
      </c>
      <c r="D297" s="25">
        <v>18.829999999999998</v>
      </c>
      <c r="E297" s="6">
        <f t="shared" si="103"/>
        <v>312.10627230001984</v>
      </c>
      <c r="F297">
        <f t="shared" si="100"/>
        <v>0</v>
      </c>
      <c r="G297" s="5">
        <f t="shared" si="110"/>
        <v>44111</v>
      </c>
      <c r="H297" s="25">
        <v>230.19128980004788</v>
      </c>
      <c r="I297" s="25">
        <v>44.712920899994671</v>
      </c>
      <c r="J297" s="25">
        <v>19.809999999999999</v>
      </c>
      <c r="K297" s="6">
        <f t="shared" si="104"/>
        <v>294.71421070004254</v>
      </c>
      <c r="L297">
        <f t="shared" si="101"/>
        <v>0</v>
      </c>
      <c r="M297" s="5">
        <f t="shared" si="111"/>
        <v>44477</v>
      </c>
      <c r="N297" s="25">
        <v>217.90050759994983</v>
      </c>
      <c r="O297" s="25">
        <v>52.76395519999415</v>
      </c>
      <c r="P297" s="25">
        <v>22.138858500001632</v>
      </c>
      <c r="Q297" s="6">
        <f t="shared" si="102"/>
        <v>292.80332129994559</v>
      </c>
      <c r="R297">
        <f t="shared" si="95"/>
        <v>0</v>
      </c>
      <c r="S297" s="5">
        <f t="shared" si="112"/>
        <v>44842</v>
      </c>
      <c r="T297" s="25">
        <v>220.78724039995672</v>
      </c>
      <c r="U297" s="25">
        <v>58.859853300005199</v>
      </c>
      <c r="V297" s="25">
        <v>23.920647199998609</v>
      </c>
      <c r="W297" s="6">
        <f t="shared" si="105"/>
        <v>303.56774089996054</v>
      </c>
      <c r="X297">
        <f t="shared" si="96"/>
        <v>0</v>
      </c>
      <c r="Z297" s="5">
        <f t="shared" si="113"/>
        <v>44842</v>
      </c>
      <c r="AA297" s="25"/>
      <c r="AB297" s="25"/>
      <c r="AC297" s="25"/>
      <c r="AD297" s="6">
        <f t="shared" si="106"/>
        <v>0</v>
      </c>
      <c r="AE297">
        <f t="shared" si="97"/>
        <v>0</v>
      </c>
      <c r="AF297" s="5">
        <f t="shared" si="114"/>
        <v>45572</v>
      </c>
      <c r="AG297" s="25"/>
      <c r="AH297" s="25"/>
      <c r="AI297" s="25"/>
      <c r="AJ297" s="6">
        <f t="shared" si="107"/>
        <v>0</v>
      </c>
      <c r="AK297">
        <f t="shared" si="98"/>
        <v>0</v>
      </c>
      <c r="AL297" s="5">
        <f t="shared" si="115"/>
        <v>45938</v>
      </c>
      <c r="AM297" s="25"/>
      <c r="AN297" s="25"/>
      <c r="AO297" s="25"/>
      <c r="AP297" s="6">
        <f t="shared" si="108"/>
        <v>0</v>
      </c>
      <c r="AQ297">
        <f t="shared" si="99"/>
        <v>0</v>
      </c>
    </row>
    <row r="298" spans="1:43" x14ac:dyDescent="0.3">
      <c r="A298" s="5">
        <f t="shared" si="109"/>
        <v>43747</v>
      </c>
      <c r="B298" s="25">
        <v>246.63038069999217</v>
      </c>
      <c r="C298" s="25">
        <v>45.43548340000212</v>
      </c>
      <c r="D298" s="25">
        <v>18.716000000000001</v>
      </c>
      <c r="E298" s="6">
        <f t="shared" si="103"/>
        <v>310.78186409999432</v>
      </c>
      <c r="F298">
        <f t="shared" si="100"/>
        <v>0</v>
      </c>
      <c r="G298" s="5">
        <f t="shared" si="110"/>
        <v>44112</v>
      </c>
      <c r="H298" s="25">
        <v>226.81600540006161</v>
      </c>
      <c r="I298" s="25">
        <v>48.218456800006329</v>
      </c>
      <c r="J298" s="25">
        <v>21.395800000000001</v>
      </c>
      <c r="K298" s="6">
        <f t="shared" si="104"/>
        <v>296.43026220006794</v>
      </c>
      <c r="L298">
        <f t="shared" si="101"/>
        <v>0</v>
      </c>
      <c r="M298" s="5">
        <f t="shared" si="111"/>
        <v>44478</v>
      </c>
      <c r="N298" s="25">
        <v>194.22338510000705</v>
      </c>
      <c r="O298" s="25">
        <v>52.119457800000909</v>
      </c>
      <c r="P298" s="25">
        <v>21.347691099998308</v>
      </c>
      <c r="Q298" s="6">
        <f t="shared" si="102"/>
        <v>267.69053400000627</v>
      </c>
      <c r="R298">
        <f t="shared" si="95"/>
        <v>0</v>
      </c>
      <c r="S298" s="5">
        <f t="shared" si="112"/>
        <v>44843</v>
      </c>
      <c r="T298" s="25">
        <v>206.44369599997998</v>
      </c>
      <c r="U298" s="25">
        <v>49.309715800002216</v>
      </c>
      <c r="V298" s="25">
        <v>18.013620900001843</v>
      </c>
      <c r="W298" s="6">
        <f t="shared" si="105"/>
        <v>273.76703269998404</v>
      </c>
      <c r="X298">
        <f t="shared" si="96"/>
        <v>0</v>
      </c>
      <c r="Z298" s="5">
        <f t="shared" si="113"/>
        <v>44843</v>
      </c>
      <c r="AA298" s="25"/>
      <c r="AB298" s="25"/>
      <c r="AC298" s="25"/>
      <c r="AD298" s="6">
        <f t="shared" si="106"/>
        <v>0</v>
      </c>
      <c r="AE298">
        <f t="shared" si="97"/>
        <v>0</v>
      </c>
      <c r="AF298" s="5">
        <f t="shared" si="114"/>
        <v>45573</v>
      </c>
      <c r="AG298" s="25"/>
      <c r="AH298" s="25"/>
      <c r="AI298" s="25"/>
      <c r="AJ298" s="6">
        <f t="shared" si="107"/>
        <v>0</v>
      </c>
      <c r="AK298">
        <f t="shared" si="98"/>
        <v>0</v>
      </c>
      <c r="AL298" s="5">
        <f t="shared" si="115"/>
        <v>45939</v>
      </c>
      <c r="AM298" s="25"/>
      <c r="AN298" s="25"/>
      <c r="AO298" s="25"/>
      <c r="AP298" s="6">
        <f t="shared" si="108"/>
        <v>0</v>
      </c>
      <c r="AQ298">
        <f t="shared" si="99"/>
        <v>0</v>
      </c>
    </row>
    <row r="299" spans="1:43" x14ac:dyDescent="0.3">
      <c r="A299" s="5">
        <f t="shared" si="109"/>
        <v>43748</v>
      </c>
      <c r="B299" s="25">
        <v>248.48885689997672</v>
      </c>
      <c r="C299" s="25">
        <v>44.28521069999784</v>
      </c>
      <c r="D299" s="25">
        <v>19.4785</v>
      </c>
      <c r="E299" s="6">
        <f t="shared" si="103"/>
        <v>312.25256759997455</v>
      </c>
      <c r="F299">
        <f t="shared" si="100"/>
        <v>0</v>
      </c>
      <c r="G299" s="5">
        <f t="shared" si="110"/>
        <v>44113</v>
      </c>
      <c r="H299" s="25">
        <v>216.58791509997846</v>
      </c>
      <c r="I299" s="25">
        <v>48.126637499995532</v>
      </c>
      <c r="J299" s="25">
        <v>22.6631</v>
      </c>
      <c r="K299" s="6">
        <f t="shared" si="104"/>
        <v>287.377652599974</v>
      </c>
      <c r="L299">
        <f t="shared" si="101"/>
        <v>0</v>
      </c>
      <c r="M299" s="5">
        <f t="shared" si="111"/>
        <v>44479</v>
      </c>
      <c r="N299" s="25">
        <v>164.78375969994067</v>
      </c>
      <c r="O299" s="25">
        <v>45.862506200000645</v>
      </c>
      <c r="P299" s="25">
        <v>14.174216900000145</v>
      </c>
      <c r="Q299" s="6">
        <f t="shared" si="102"/>
        <v>224.82048279994146</v>
      </c>
      <c r="R299">
        <f t="shared" si="95"/>
        <v>0</v>
      </c>
      <c r="S299" s="5">
        <f t="shared" si="112"/>
        <v>44844</v>
      </c>
      <c r="T299" s="25">
        <v>212.65293369996547</v>
      </c>
      <c r="U299" s="25">
        <v>46.451306400001052</v>
      </c>
      <c r="V299" s="25">
        <v>16.136157100000418</v>
      </c>
      <c r="W299" s="6">
        <f t="shared" si="105"/>
        <v>275.24039719996699</v>
      </c>
      <c r="X299">
        <f t="shared" si="96"/>
        <v>0</v>
      </c>
      <c r="Z299" s="5">
        <f t="shared" si="113"/>
        <v>44844</v>
      </c>
      <c r="AA299" s="25"/>
      <c r="AB299" s="25"/>
      <c r="AC299" s="25"/>
      <c r="AD299" s="6">
        <f t="shared" si="106"/>
        <v>0</v>
      </c>
      <c r="AE299">
        <f t="shared" si="97"/>
        <v>0</v>
      </c>
      <c r="AF299" s="5">
        <f t="shared" si="114"/>
        <v>45574</v>
      </c>
      <c r="AG299" s="25"/>
      <c r="AH299" s="25"/>
      <c r="AI299" s="25"/>
      <c r="AJ299" s="6">
        <f t="shared" si="107"/>
        <v>0</v>
      </c>
      <c r="AK299">
        <f t="shared" si="98"/>
        <v>0</v>
      </c>
      <c r="AL299" s="5">
        <f t="shared" si="115"/>
        <v>45940</v>
      </c>
      <c r="AM299" s="25"/>
      <c r="AN299" s="25"/>
      <c r="AO299" s="25"/>
      <c r="AP299" s="6">
        <f t="shared" si="108"/>
        <v>0</v>
      </c>
      <c r="AQ299">
        <f t="shared" si="99"/>
        <v>0</v>
      </c>
    </row>
    <row r="300" spans="1:43" x14ac:dyDescent="0.3">
      <c r="A300" s="5">
        <f t="shared" si="109"/>
        <v>43749</v>
      </c>
      <c r="B300" s="25">
        <v>247.55960459995271</v>
      </c>
      <c r="C300" s="25">
        <v>42.856287800002846</v>
      </c>
      <c r="D300" s="25">
        <v>18.606999999999999</v>
      </c>
      <c r="E300" s="6">
        <f t="shared" si="103"/>
        <v>309.02289239995559</v>
      </c>
      <c r="F300">
        <f t="shared" si="100"/>
        <v>0</v>
      </c>
      <c r="G300" s="5">
        <f t="shared" si="110"/>
        <v>44114</v>
      </c>
      <c r="H300" s="25">
        <v>208.20710229992866</v>
      </c>
      <c r="I300" s="25">
        <v>43.898821100004014</v>
      </c>
      <c r="J300" s="25">
        <v>20.122400000000003</v>
      </c>
      <c r="K300" s="6">
        <f t="shared" si="104"/>
        <v>272.22832339993272</v>
      </c>
      <c r="L300">
        <f t="shared" si="101"/>
        <v>0</v>
      </c>
      <c r="M300" s="5">
        <f t="shared" si="111"/>
        <v>44480</v>
      </c>
      <c r="N300" s="25">
        <v>174.19664360010623</v>
      </c>
      <c r="O300" s="25">
        <v>44.880606800004841</v>
      </c>
      <c r="P300" s="25">
        <v>14.473315399999905</v>
      </c>
      <c r="Q300" s="6">
        <f t="shared" si="102"/>
        <v>233.55056580011097</v>
      </c>
      <c r="R300">
        <f t="shared" si="95"/>
        <v>0</v>
      </c>
      <c r="S300" s="5">
        <f t="shared" si="112"/>
        <v>44845</v>
      </c>
      <c r="T300" s="25">
        <v>260.48669050002098</v>
      </c>
      <c r="U300" s="25">
        <v>57.416244099989534</v>
      </c>
      <c r="V300" s="25">
        <v>22.630338299999014</v>
      </c>
      <c r="W300" s="6">
        <f t="shared" si="105"/>
        <v>340.53327290000954</v>
      </c>
      <c r="X300">
        <f t="shared" si="96"/>
        <v>0</v>
      </c>
      <c r="Z300" s="5">
        <f t="shared" si="113"/>
        <v>44845</v>
      </c>
      <c r="AA300" s="25"/>
      <c r="AB300" s="25"/>
      <c r="AC300" s="25"/>
      <c r="AD300" s="6">
        <f t="shared" si="106"/>
        <v>0</v>
      </c>
      <c r="AE300">
        <f t="shared" si="97"/>
        <v>0</v>
      </c>
      <c r="AF300" s="5">
        <f t="shared" si="114"/>
        <v>45575</v>
      </c>
      <c r="AG300" s="25"/>
      <c r="AH300" s="25"/>
      <c r="AI300" s="25"/>
      <c r="AJ300" s="6">
        <f t="shared" si="107"/>
        <v>0</v>
      </c>
      <c r="AK300">
        <f t="shared" si="98"/>
        <v>0</v>
      </c>
      <c r="AL300" s="5">
        <f t="shared" si="115"/>
        <v>45941</v>
      </c>
      <c r="AM300" s="25"/>
      <c r="AN300" s="25"/>
      <c r="AO300" s="25"/>
      <c r="AP300" s="6">
        <f t="shared" si="108"/>
        <v>0</v>
      </c>
      <c r="AQ300">
        <f t="shared" si="99"/>
        <v>0</v>
      </c>
    </row>
    <row r="301" spans="1:43" x14ac:dyDescent="0.3">
      <c r="A301" s="5">
        <f t="shared" si="109"/>
        <v>43750</v>
      </c>
      <c r="B301" s="25">
        <v>221.96931749999524</v>
      </c>
      <c r="C301" s="25">
        <v>39.35768569999933</v>
      </c>
      <c r="D301" s="25">
        <v>15.2334</v>
      </c>
      <c r="E301" s="6">
        <f t="shared" si="103"/>
        <v>276.5604031999946</v>
      </c>
      <c r="F301">
        <f t="shared" si="100"/>
        <v>0</v>
      </c>
      <c r="G301" s="5">
        <f t="shared" si="110"/>
        <v>44115</v>
      </c>
      <c r="H301" s="25">
        <v>200.38885549998284</v>
      </c>
      <c r="I301" s="25">
        <v>39.129970499999821</v>
      </c>
      <c r="J301" s="25">
        <v>19.450599999999998</v>
      </c>
      <c r="K301" s="6">
        <f t="shared" si="104"/>
        <v>258.96942599998266</v>
      </c>
      <c r="L301">
        <f t="shared" si="101"/>
        <v>0</v>
      </c>
      <c r="M301" s="5">
        <f t="shared" si="111"/>
        <v>44481</v>
      </c>
      <c r="N301" s="25">
        <v>219.85290019989014</v>
      </c>
      <c r="O301" s="25">
        <v>52.291843199998141</v>
      </c>
      <c r="P301" s="25">
        <v>22.352388000000211</v>
      </c>
      <c r="Q301" s="6">
        <f t="shared" si="102"/>
        <v>294.49713139988847</v>
      </c>
      <c r="R301">
        <f t="shared" si="95"/>
        <v>0</v>
      </c>
      <c r="S301" s="5">
        <f t="shared" si="112"/>
        <v>44846</v>
      </c>
      <c r="T301" s="25">
        <v>259.13751540005205</v>
      </c>
      <c r="U301" s="25">
        <v>62.027606900006532</v>
      </c>
      <c r="V301" s="25">
        <v>21.046350000000558</v>
      </c>
      <c r="W301" s="6">
        <f t="shared" si="105"/>
        <v>342.21147230005909</v>
      </c>
      <c r="X301">
        <f t="shared" si="96"/>
        <v>0</v>
      </c>
      <c r="Z301" s="5">
        <f t="shared" si="113"/>
        <v>44846</v>
      </c>
      <c r="AA301" s="25"/>
      <c r="AB301" s="25"/>
      <c r="AC301" s="25"/>
      <c r="AD301" s="6">
        <f t="shared" si="106"/>
        <v>0</v>
      </c>
      <c r="AE301">
        <f t="shared" si="97"/>
        <v>0</v>
      </c>
      <c r="AF301" s="5">
        <f t="shared" si="114"/>
        <v>45576</v>
      </c>
      <c r="AG301" s="25"/>
      <c r="AH301" s="25"/>
      <c r="AI301" s="25"/>
      <c r="AJ301" s="6">
        <f t="shared" si="107"/>
        <v>0</v>
      </c>
      <c r="AK301">
        <f t="shared" si="98"/>
        <v>0</v>
      </c>
      <c r="AL301" s="5">
        <f t="shared" si="115"/>
        <v>45942</v>
      </c>
      <c r="AM301" s="25"/>
      <c r="AN301" s="25"/>
      <c r="AO301" s="25"/>
      <c r="AP301" s="6">
        <f t="shared" si="108"/>
        <v>0</v>
      </c>
      <c r="AQ301">
        <f t="shared" si="99"/>
        <v>0</v>
      </c>
    </row>
    <row r="302" spans="1:43" x14ac:dyDescent="0.3">
      <c r="A302" s="5">
        <f t="shared" si="109"/>
        <v>43751</v>
      </c>
      <c r="B302" s="25">
        <v>215.90435839998722</v>
      </c>
      <c r="C302" s="25">
        <v>37.413818399999293</v>
      </c>
      <c r="D302" s="25">
        <v>15.070499999999999</v>
      </c>
      <c r="E302" s="6">
        <f t="shared" si="103"/>
        <v>268.38867679998651</v>
      </c>
      <c r="F302">
        <f t="shared" si="100"/>
        <v>0</v>
      </c>
      <c r="G302" s="5">
        <f t="shared" si="110"/>
        <v>44116</v>
      </c>
      <c r="H302" s="25">
        <v>205.88755150008203</v>
      </c>
      <c r="I302" s="25">
        <v>41.718906799994407</v>
      </c>
      <c r="J302" s="25">
        <v>20.225999999999999</v>
      </c>
      <c r="K302" s="6">
        <f t="shared" si="104"/>
        <v>267.83245830007644</v>
      </c>
      <c r="L302">
        <f t="shared" si="101"/>
        <v>0</v>
      </c>
      <c r="M302" s="5">
        <f t="shared" si="111"/>
        <v>44482</v>
      </c>
      <c r="N302" s="25">
        <v>207.89921310007571</v>
      </c>
      <c r="O302" s="25">
        <v>53.940319099999961</v>
      </c>
      <c r="P302" s="25">
        <v>22.986912300002587</v>
      </c>
      <c r="Q302" s="6">
        <f t="shared" si="102"/>
        <v>284.82644450007825</v>
      </c>
      <c r="R302">
        <f t="shared" si="95"/>
        <v>0</v>
      </c>
      <c r="S302" s="5">
        <f t="shared" si="112"/>
        <v>44847</v>
      </c>
      <c r="T302" s="25">
        <v>255.01018180000781</v>
      </c>
      <c r="U302" s="25">
        <v>58.705182499989867</v>
      </c>
      <c r="V302" s="25">
        <v>19.718459499999881</v>
      </c>
      <c r="W302" s="6">
        <f t="shared" si="105"/>
        <v>333.43382379999758</v>
      </c>
      <c r="X302">
        <f t="shared" si="96"/>
        <v>0</v>
      </c>
      <c r="Z302" s="5">
        <f t="shared" si="113"/>
        <v>44847</v>
      </c>
      <c r="AA302" s="25"/>
      <c r="AB302" s="25"/>
      <c r="AC302" s="25"/>
      <c r="AD302" s="6">
        <f t="shared" si="106"/>
        <v>0</v>
      </c>
      <c r="AE302">
        <f t="shared" si="97"/>
        <v>0</v>
      </c>
      <c r="AF302" s="5">
        <f t="shared" si="114"/>
        <v>45577</v>
      </c>
      <c r="AG302" s="25"/>
      <c r="AH302" s="25"/>
      <c r="AI302" s="25"/>
      <c r="AJ302" s="6">
        <f t="shared" si="107"/>
        <v>0</v>
      </c>
      <c r="AK302">
        <f t="shared" si="98"/>
        <v>0</v>
      </c>
      <c r="AL302" s="5">
        <f t="shared" si="115"/>
        <v>45943</v>
      </c>
      <c r="AM302" s="25"/>
      <c r="AN302" s="25"/>
      <c r="AO302" s="25"/>
      <c r="AP302" s="6">
        <f t="shared" si="108"/>
        <v>0</v>
      </c>
      <c r="AQ302">
        <f t="shared" si="99"/>
        <v>0</v>
      </c>
    </row>
    <row r="303" spans="1:43" x14ac:dyDescent="0.3">
      <c r="A303" s="5">
        <f t="shared" si="109"/>
        <v>43752</v>
      </c>
      <c r="B303" s="25">
        <v>247.34934490001203</v>
      </c>
      <c r="C303" s="25">
        <v>42.846904800001532</v>
      </c>
      <c r="D303" s="25">
        <v>20.012</v>
      </c>
      <c r="E303" s="6">
        <f t="shared" si="103"/>
        <v>310.20824970001354</v>
      </c>
      <c r="F303">
        <f t="shared" si="100"/>
        <v>0</v>
      </c>
      <c r="G303" s="5">
        <f t="shared" si="110"/>
        <v>44117</v>
      </c>
      <c r="H303" s="25">
        <v>224.4305745999813</v>
      </c>
      <c r="I303" s="25">
        <v>50.892207000002266</v>
      </c>
      <c r="J303" s="25">
        <v>20.751999999999999</v>
      </c>
      <c r="K303" s="6">
        <f t="shared" si="104"/>
        <v>296.07478159998357</v>
      </c>
      <c r="L303">
        <f t="shared" si="101"/>
        <v>0</v>
      </c>
      <c r="M303" s="5">
        <f t="shared" si="111"/>
        <v>44483</v>
      </c>
      <c r="N303" s="25">
        <v>223.45904180002213</v>
      </c>
      <c r="O303" s="25">
        <v>54.998518299996853</v>
      </c>
      <c r="P303" s="25">
        <v>21.80863299999686</v>
      </c>
      <c r="Q303" s="6">
        <f t="shared" si="102"/>
        <v>300.26619310001587</v>
      </c>
      <c r="R303">
        <f t="shared" si="95"/>
        <v>0</v>
      </c>
      <c r="S303" s="5">
        <f t="shared" si="112"/>
        <v>44848</v>
      </c>
      <c r="T303" s="25">
        <v>258.25858799993989</v>
      </c>
      <c r="U303" s="25">
        <v>58.88576560001075</v>
      </c>
      <c r="V303" s="25">
        <v>24.327055900000502</v>
      </c>
      <c r="W303" s="6">
        <f t="shared" si="105"/>
        <v>341.47140949995116</v>
      </c>
      <c r="X303">
        <f t="shared" si="96"/>
        <v>0</v>
      </c>
      <c r="Z303" s="5">
        <f t="shared" si="113"/>
        <v>44848</v>
      </c>
      <c r="AA303" s="25"/>
      <c r="AB303" s="25"/>
      <c r="AC303" s="25"/>
      <c r="AD303" s="6">
        <f t="shared" si="106"/>
        <v>0</v>
      </c>
      <c r="AE303">
        <f t="shared" si="97"/>
        <v>0</v>
      </c>
      <c r="AF303" s="5">
        <f t="shared" si="114"/>
        <v>45578</v>
      </c>
      <c r="AG303" s="25"/>
      <c r="AH303" s="25"/>
      <c r="AI303" s="25"/>
      <c r="AJ303" s="6">
        <f t="shared" si="107"/>
        <v>0</v>
      </c>
      <c r="AK303">
        <f t="shared" si="98"/>
        <v>0</v>
      </c>
      <c r="AL303" s="5">
        <f t="shared" si="115"/>
        <v>45944</v>
      </c>
      <c r="AM303" s="25"/>
      <c r="AN303" s="25"/>
      <c r="AO303" s="25"/>
      <c r="AP303" s="6">
        <f t="shared" si="108"/>
        <v>0</v>
      </c>
      <c r="AQ303">
        <f t="shared" si="99"/>
        <v>0</v>
      </c>
    </row>
    <row r="304" spans="1:43" x14ac:dyDescent="0.3">
      <c r="A304" s="5">
        <f t="shared" si="109"/>
        <v>43753</v>
      </c>
      <c r="B304" s="25">
        <v>250.54129009997845</v>
      </c>
      <c r="C304" s="25">
        <v>41.323917399998756</v>
      </c>
      <c r="D304" s="25">
        <v>19.146000000000001</v>
      </c>
      <c r="E304" s="6">
        <f t="shared" si="103"/>
        <v>311.01120749997722</v>
      </c>
      <c r="F304">
        <f t="shared" si="100"/>
        <v>0</v>
      </c>
      <c r="G304" s="5">
        <f t="shared" si="110"/>
        <v>44118</v>
      </c>
      <c r="H304" s="25">
        <v>221.96599090003969</v>
      </c>
      <c r="I304" s="25">
        <v>47.414821099996566</v>
      </c>
      <c r="J304" s="25">
        <v>20.116</v>
      </c>
      <c r="K304" s="6">
        <f t="shared" si="104"/>
        <v>289.49681200003624</v>
      </c>
      <c r="L304">
        <f t="shared" si="101"/>
        <v>0</v>
      </c>
      <c r="M304" s="5">
        <f t="shared" si="111"/>
        <v>44484</v>
      </c>
      <c r="N304" s="25">
        <v>209.2130744999647</v>
      </c>
      <c r="O304" s="25">
        <v>55.480869900003078</v>
      </c>
      <c r="P304" s="25">
        <v>22.19402280000088</v>
      </c>
      <c r="Q304" s="6">
        <f t="shared" si="102"/>
        <v>286.88796719996867</v>
      </c>
      <c r="R304">
        <f t="shared" si="95"/>
        <v>0</v>
      </c>
      <c r="S304" s="5">
        <f t="shared" si="112"/>
        <v>44849</v>
      </c>
      <c r="T304" s="25">
        <v>243.0068260999918</v>
      </c>
      <c r="U304" s="25">
        <v>56.706396300002936</v>
      </c>
      <c r="V304" s="25">
        <v>24.945224199998194</v>
      </c>
      <c r="W304" s="6">
        <f t="shared" si="105"/>
        <v>324.65844659999289</v>
      </c>
      <c r="X304">
        <f t="shared" si="96"/>
        <v>0</v>
      </c>
      <c r="Z304" s="5">
        <f t="shared" si="113"/>
        <v>44849</v>
      </c>
      <c r="AA304" s="25"/>
      <c r="AB304" s="25"/>
      <c r="AC304" s="25"/>
      <c r="AD304" s="6">
        <f t="shared" si="106"/>
        <v>0</v>
      </c>
      <c r="AE304">
        <f t="shared" si="97"/>
        <v>0</v>
      </c>
      <c r="AF304" s="5">
        <f t="shared" si="114"/>
        <v>45579</v>
      </c>
      <c r="AG304" s="25"/>
      <c r="AH304" s="25"/>
      <c r="AI304" s="25"/>
      <c r="AJ304" s="6">
        <f t="shared" si="107"/>
        <v>0</v>
      </c>
      <c r="AK304">
        <f t="shared" si="98"/>
        <v>0</v>
      </c>
      <c r="AL304" s="5">
        <f t="shared" si="115"/>
        <v>45945</v>
      </c>
      <c r="AM304" s="25"/>
      <c r="AN304" s="25"/>
      <c r="AO304" s="25"/>
      <c r="AP304" s="6">
        <f t="shared" si="108"/>
        <v>0</v>
      </c>
      <c r="AQ304">
        <f t="shared" si="99"/>
        <v>0</v>
      </c>
    </row>
    <row r="305" spans="1:43" x14ac:dyDescent="0.3">
      <c r="A305" s="5">
        <f t="shared" si="109"/>
        <v>43754</v>
      </c>
      <c r="B305" s="25">
        <v>248.90503340005876</v>
      </c>
      <c r="C305" s="25">
        <v>43.031030600000172</v>
      </c>
      <c r="D305" s="25">
        <v>19.193999999999999</v>
      </c>
      <c r="E305" s="6">
        <f t="shared" si="103"/>
        <v>311.13006400005895</v>
      </c>
      <c r="F305">
        <f t="shared" si="100"/>
        <v>0</v>
      </c>
      <c r="G305" s="5">
        <f t="shared" si="110"/>
        <v>44119</v>
      </c>
      <c r="H305" s="25">
        <v>217.08005709993839</v>
      </c>
      <c r="I305" s="25">
        <v>41.983469600006941</v>
      </c>
      <c r="J305" s="25">
        <v>21.132999999999999</v>
      </c>
      <c r="K305" s="6">
        <f t="shared" si="104"/>
        <v>280.19652669994531</v>
      </c>
      <c r="L305">
        <f t="shared" si="101"/>
        <v>0</v>
      </c>
      <c r="M305" s="5">
        <f t="shared" si="111"/>
        <v>44485</v>
      </c>
      <c r="N305" s="25">
        <v>192.85996299993991</v>
      </c>
      <c r="O305" s="25">
        <v>54.819576300002637</v>
      </c>
      <c r="P305" s="25">
        <v>21.593881500002173</v>
      </c>
      <c r="Q305" s="6">
        <f t="shared" si="102"/>
        <v>269.27342079994474</v>
      </c>
      <c r="R305">
        <f t="shared" si="95"/>
        <v>0</v>
      </c>
      <c r="S305" s="5">
        <f t="shared" si="112"/>
        <v>44850</v>
      </c>
      <c r="T305" s="25">
        <v>219.68102250003815</v>
      </c>
      <c r="U305" s="25">
        <v>46.620415699988605</v>
      </c>
      <c r="V305" s="25">
        <v>19.755452100000344</v>
      </c>
      <c r="W305" s="6">
        <f t="shared" si="105"/>
        <v>286.05689030002713</v>
      </c>
      <c r="X305">
        <f t="shared" si="96"/>
        <v>0</v>
      </c>
      <c r="Z305" s="5">
        <f t="shared" si="113"/>
        <v>44850</v>
      </c>
      <c r="AA305" s="25"/>
      <c r="AB305" s="25"/>
      <c r="AC305" s="25"/>
      <c r="AD305" s="6">
        <f t="shared" si="106"/>
        <v>0</v>
      </c>
      <c r="AE305">
        <f t="shared" si="97"/>
        <v>0</v>
      </c>
      <c r="AF305" s="5">
        <f t="shared" si="114"/>
        <v>45580</v>
      </c>
      <c r="AG305" s="25"/>
      <c r="AH305" s="25"/>
      <c r="AI305" s="25"/>
      <c r="AJ305" s="6">
        <f t="shared" si="107"/>
        <v>0</v>
      </c>
      <c r="AK305">
        <f t="shared" si="98"/>
        <v>0</v>
      </c>
      <c r="AL305" s="5">
        <f t="shared" si="115"/>
        <v>45946</v>
      </c>
      <c r="AM305" s="25"/>
      <c r="AN305" s="25"/>
      <c r="AO305" s="25"/>
      <c r="AP305" s="6">
        <f t="shared" si="108"/>
        <v>0</v>
      </c>
      <c r="AQ305">
        <f t="shared" si="99"/>
        <v>0</v>
      </c>
    </row>
    <row r="306" spans="1:43" x14ac:dyDescent="0.3">
      <c r="A306" s="5">
        <f t="shared" si="109"/>
        <v>43755</v>
      </c>
      <c r="B306" s="25">
        <v>246.58334889996053</v>
      </c>
      <c r="C306" s="25">
        <v>43.418781599998475</v>
      </c>
      <c r="D306" s="25">
        <v>19.824999999999999</v>
      </c>
      <c r="E306" s="6">
        <f t="shared" si="103"/>
        <v>309.82713049995897</v>
      </c>
      <c r="F306">
        <f t="shared" si="100"/>
        <v>0</v>
      </c>
      <c r="G306" s="5">
        <f t="shared" si="110"/>
        <v>44120</v>
      </c>
      <c r="H306" s="25">
        <v>233.99436460006237</v>
      </c>
      <c r="I306" s="25">
        <v>46.130034499995411</v>
      </c>
      <c r="J306" s="25">
        <v>19.373000000000001</v>
      </c>
      <c r="K306" s="6">
        <f t="shared" si="104"/>
        <v>299.49739910005775</v>
      </c>
      <c r="L306">
        <f t="shared" si="101"/>
        <v>0</v>
      </c>
      <c r="M306" s="5">
        <f t="shared" si="111"/>
        <v>44486</v>
      </c>
      <c r="N306" s="25">
        <v>184.78379360008239</v>
      </c>
      <c r="O306" s="25">
        <v>45.010918799996375</v>
      </c>
      <c r="P306" s="25">
        <v>15.414007099999726</v>
      </c>
      <c r="Q306" s="6">
        <f t="shared" si="102"/>
        <v>245.2087195000785</v>
      </c>
      <c r="R306">
        <f t="shared" si="95"/>
        <v>0</v>
      </c>
      <c r="S306" s="5">
        <f t="shared" si="112"/>
        <v>44851</v>
      </c>
      <c r="T306" s="25">
        <v>256.21568099999428</v>
      </c>
      <c r="U306" s="25">
        <v>53.403234500005844</v>
      </c>
      <c r="V306" s="25">
        <v>24.036053400000092</v>
      </c>
      <c r="W306" s="6">
        <f t="shared" si="105"/>
        <v>333.6549689000002</v>
      </c>
      <c r="X306">
        <f t="shared" si="96"/>
        <v>0</v>
      </c>
      <c r="Z306" s="5">
        <f t="shared" si="113"/>
        <v>44851</v>
      </c>
      <c r="AA306" s="25"/>
      <c r="AB306" s="25"/>
      <c r="AC306" s="25"/>
      <c r="AD306" s="6">
        <f t="shared" si="106"/>
        <v>0</v>
      </c>
      <c r="AE306">
        <f t="shared" si="97"/>
        <v>0</v>
      </c>
      <c r="AF306" s="5">
        <f t="shared" si="114"/>
        <v>45581</v>
      </c>
      <c r="AG306" s="25"/>
      <c r="AH306" s="25"/>
      <c r="AI306" s="25"/>
      <c r="AJ306" s="6">
        <f t="shared" si="107"/>
        <v>0</v>
      </c>
      <c r="AK306">
        <f t="shared" si="98"/>
        <v>0</v>
      </c>
      <c r="AL306" s="5">
        <f t="shared" si="115"/>
        <v>45947</v>
      </c>
      <c r="AM306" s="25"/>
      <c r="AN306" s="25"/>
      <c r="AO306" s="25"/>
      <c r="AP306" s="6">
        <f t="shared" si="108"/>
        <v>0</v>
      </c>
      <c r="AQ306">
        <f t="shared" si="99"/>
        <v>0</v>
      </c>
    </row>
    <row r="307" spans="1:43" x14ac:dyDescent="0.3">
      <c r="A307" s="5">
        <f t="shared" si="109"/>
        <v>43756</v>
      </c>
      <c r="B307" s="25">
        <v>247.5382705000639</v>
      </c>
      <c r="C307" s="25">
        <v>41.628514699999243</v>
      </c>
      <c r="D307" s="25">
        <v>19.690000000000001</v>
      </c>
      <c r="E307" s="6">
        <f t="shared" si="103"/>
        <v>308.85678520006314</v>
      </c>
      <c r="F307">
        <f t="shared" si="100"/>
        <v>0</v>
      </c>
      <c r="G307" s="5">
        <f t="shared" si="110"/>
        <v>44121</v>
      </c>
      <c r="H307" s="25">
        <v>230.80086269998552</v>
      </c>
      <c r="I307" s="25">
        <v>46.052816700004044</v>
      </c>
      <c r="J307" s="25">
        <v>20.614999999999998</v>
      </c>
      <c r="K307" s="6">
        <f t="shared" si="104"/>
        <v>297.46867939998958</v>
      </c>
      <c r="L307">
        <f t="shared" si="101"/>
        <v>0</v>
      </c>
      <c r="M307" s="5">
        <f t="shared" si="111"/>
        <v>44487</v>
      </c>
      <c r="N307" s="25">
        <v>204.72312529993059</v>
      </c>
      <c r="O307" s="25">
        <v>51.496206399999558</v>
      </c>
      <c r="P307" s="25">
        <v>21.246880699996634</v>
      </c>
      <c r="Q307" s="6">
        <f t="shared" si="102"/>
        <v>277.46621239992675</v>
      </c>
      <c r="R307">
        <f t="shared" si="95"/>
        <v>0</v>
      </c>
      <c r="S307" s="5">
        <f t="shared" si="112"/>
        <v>44852</v>
      </c>
      <c r="T307" s="25">
        <v>236.60451440000534</v>
      </c>
      <c r="U307" s="25">
        <v>52.885375399991872</v>
      </c>
      <c r="V307" s="25">
        <v>22.204068500000982</v>
      </c>
      <c r="W307" s="6">
        <f t="shared" si="105"/>
        <v>311.6939582999982</v>
      </c>
      <c r="X307">
        <f t="shared" si="96"/>
        <v>0</v>
      </c>
      <c r="Z307" s="5">
        <f t="shared" si="113"/>
        <v>44852</v>
      </c>
      <c r="AA307" s="25"/>
      <c r="AB307" s="25"/>
      <c r="AC307" s="25"/>
      <c r="AD307" s="6">
        <f t="shared" si="106"/>
        <v>0</v>
      </c>
      <c r="AE307">
        <f t="shared" si="97"/>
        <v>0</v>
      </c>
      <c r="AF307" s="5">
        <f t="shared" si="114"/>
        <v>45582</v>
      </c>
      <c r="AG307" s="25"/>
      <c r="AH307" s="25"/>
      <c r="AI307" s="25"/>
      <c r="AJ307" s="6">
        <f t="shared" si="107"/>
        <v>0</v>
      </c>
      <c r="AK307">
        <f t="shared" si="98"/>
        <v>0</v>
      </c>
      <c r="AL307" s="5">
        <f t="shared" si="115"/>
        <v>45948</v>
      </c>
      <c r="AM307" s="25"/>
      <c r="AN307" s="25"/>
      <c r="AO307" s="25"/>
      <c r="AP307" s="6">
        <f t="shared" si="108"/>
        <v>0</v>
      </c>
      <c r="AQ307">
        <f t="shared" si="99"/>
        <v>0</v>
      </c>
    </row>
    <row r="308" spans="1:43" x14ac:dyDescent="0.3">
      <c r="A308" s="5">
        <f t="shared" si="109"/>
        <v>43757</v>
      </c>
      <c r="B308" s="25">
        <v>220.67062529993058</v>
      </c>
      <c r="C308" s="25">
        <v>42.722998900000007</v>
      </c>
      <c r="D308" s="25">
        <v>19.584</v>
      </c>
      <c r="E308" s="6">
        <f t="shared" si="103"/>
        <v>282.97762419993057</v>
      </c>
      <c r="F308">
        <f t="shared" si="100"/>
        <v>0</v>
      </c>
      <c r="G308" s="5">
        <f t="shared" si="110"/>
        <v>44122</v>
      </c>
      <c r="H308" s="25">
        <v>192.9535663999319</v>
      </c>
      <c r="I308" s="25">
        <v>40.745245499998333</v>
      </c>
      <c r="J308" s="25">
        <v>20.741</v>
      </c>
      <c r="K308" s="6">
        <f t="shared" si="104"/>
        <v>254.43981189993025</v>
      </c>
      <c r="L308">
        <f t="shared" si="101"/>
        <v>0</v>
      </c>
      <c r="M308" s="5">
        <f t="shared" si="111"/>
        <v>44488</v>
      </c>
      <c r="N308" s="25">
        <v>231.08685119998455</v>
      </c>
      <c r="O308" s="25">
        <v>53.68723759999871</v>
      </c>
      <c r="P308" s="25">
        <v>20.63319680000248</v>
      </c>
      <c r="Q308" s="6">
        <f t="shared" si="102"/>
        <v>305.4072855999857</v>
      </c>
      <c r="R308">
        <f t="shared" si="95"/>
        <v>0</v>
      </c>
      <c r="S308" s="5">
        <f t="shared" si="112"/>
        <v>44853</v>
      </c>
      <c r="T308" s="25">
        <v>247.70855550003051</v>
      </c>
      <c r="U308" s="25">
        <v>55.1761848000139</v>
      </c>
      <c r="V308" s="25">
        <v>22.633552699998486</v>
      </c>
      <c r="W308" s="6">
        <f t="shared" si="105"/>
        <v>325.51829300004289</v>
      </c>
      <c r="X308">
        <f t="shared" si="96"/>
        <v>0</v>
      </c>
      <c r="Z308" s="5">
        <f t="shared" si="113"/>
        <v>44853</v>
      </c>
      <c r="AA308" s="25"/>
      <c r="AB308" s="25"/>
      <c r="AC308" s="25"/>
      <c r="AD308" s="6">
        <f t="shared" si="106"/>
        <v>0</v>
      </c>
      <c r="AE308">
        <f t="shared" si="97"/>
        <v>0</v>
      </c>
      <c r="AF308" s="5">
        <f t="shared" si="114"/>
        <v>45583</v>
      </c>
      <c r="AG308" s="25"/>
      <c r="AH308" s="25"/>
      <c r="AI308" s="25"/>
      <c r="AJ308" s="6">
        <f t="shared" si="107"/>
        <v>0</v>
      </c>
      <c r="AK308">
        <f t="shared" si="98"/>
        <v>0</v>
      </c>
      <c r="AL308" s="5">
        <f t="shared" si="115"/>
        <v>45949</v>
      </c>
      <c r="AM308" s="25"/>
      <c r="AN308" s="25"/>
      <c r="AO308" s="25"/>
      <c r="AP308" s="6">
        <f t="shared" si="108"/>
        <v>0</v>
      </c>
      <c r="AQ308">
        <f t="shared" si="99"/>
        <v>0</v>
      </c>
    </row>
    <row r="309" spans="1:43" x14ac:dyDescent="0.3">
      <c r="A309" s="5">
        <f t="shared" si="109"/>
        <v>43758</v>
      </c>
      <c r="B309" s="25">
        <v>211.09466360008716</v>
      </c>
      <c r="C309" s="25">
        <v>37.760301600001753</v>
      </c>
      <c r="D309" s="25">
        <v>17.123000000000001</v>
      </c>
      <c r="E309" s="6">
        <f t="shared" si="103"/>
        <v>265.97796520008893</v>
      </c>
      <c r="F309">
        <f t="shared" si="100"/>
        <v>0</v>
      </c>
      <c r="G309" s="5">
        <f t="shared" si="110"/>
        <v>44123</v>
      </c>
      <c r="H309" s="25">
        <v>199.74723020005226</v>
      </c>
      <c r="I309" s="25">
        <v>48.965920499995349</v>
      </c>
      <c r="J309" s="25">
        <v>21.21</v>
      </c>
      <c r="K309" s="6">
        <f t="shared" si="104"/>
        <v>269.92315070004759</v>
      </c>
      <c r="L309">
        <f t="shared" si="101"/>
        <v>0</v>
      </c>
      <c r="M309" s="5">
        <f t="shared" si="111"/>
        <v>44489</v>
      </c>
      <c r="N309" s="25">
        <v>212.74734049999714</v>
      </c>
      <c r="O309" s="25">
        <v>54.691508100003006</v>
      </c>
      <c r="P309" s="25">
        <v>21.841470199999282</v>
      </c>
      <c r="Q309" s="6">
        <f t="shared" si="102"/>
        <v>289.28031879999941</v>
      </c>
      <c r="R309">
        <f t="shared" si="95"/>
        <v>0</v>
      </c>
      <c r="S309" s="5">
        <f t="shared" si="112"/>
        <v>44854</v>
      </c>
      <c r="T309" s="25">
        <v>249.35271840000152</v>
      </c>
      <c r="U309" s="25">
        <v>54.024644999995829</v>
      </c>
      <c r="V309" s="25">
        <v>19.099447000001092</v>
      </c>
      <c r="W309" s="6">
        <f t="shared" si="105"/>
        <v>322.47681039999844</v>
      </c>
      <c r="X309">
        <f t="shared" si="96"/>
        <v>0</v>
      </c>
      <c r="Z309" s="5">
        <f t="shared" si="113"/>
        <v>44854</v>
      </c>
      <c r="AA309" s="25"/>
      <c r="AB309" s="25"/>
      <c r="AC309" s="25"/>
      <c r="AD309" s="6">
        <f t="shared" si="106"/>
        <v>0</v>
      </c>
      <c r="AE309">
        <f t="shared" si="97"/>
        <v>0</v>
      </c>
      <c r="AF309" s="5">
        <f t="shared" si="114"/>
        <v>45584</v>
      </c>
      <c r="AG309" s="25"/>
      <c r="AH309" s="25"/>
      <c r="AI309" s="25"/>
      <c r="AJ309" s="6">
        <f t="shared" si="107"/>
        <v>0</v>
      </c>
      <c r="AK309">
        <f t="shared" si="98"/>
        <v>0</v>
      </c>
      <c r="AL309" s="5">
        <f t="shared" si="115"/>
        <v>45950</v>
      </c>
      <c r="AM309" s="25"/>
      <c r="AN309" s="25"/>
      <c r="AO309" s="25"/>
      <c r="AP309" s="6">
        <f t="shared" si="108"/>
        <v>0</v>
      </c>
      <c r="AQ309">
        <f t="shared" si="99"/>
        <v>0</v>
      </c>
    </row>
    <row r="310" spans="1:43" x14ac:dyDescent="0.3">
      <c r="A310" s="5">
        <f t="shared" si="109"/>
        <v>43759</v>
      </c>
      <c r="B310" s="25">
        <v>231.78630939996242</v>
      </c>
      <c r="C310" s="25">
        <v>42.911956799998876</v>
      </c>
      <c r="D310" s="25">
        <v>19.565000000000001</v>
      </c>
      <c r="E310" s="6">
        <f t="shared" si="103"/>
        <v>294.26326619996127</v>
      </c>
      <c r="F310">
        <f t="shared" si="100"/>
        <v>0</v>
      </c>
      <c r="G310" s="5">
        <f t="shared" si="110"/>
        <v>44124</v>
      </c>
      <c r="H310" s="25">
        <v>226.3925214999914</v>
      </c>
      <c r="I310" s="25">
        <v>50.212424200005827</v>
      </c>
      <c r="J310" s="25">
        <v>19.756</v>
      </c>
      <c r="K310" s="6">
        <f t="shared" si="104"/>
        <v>296.36094569999727</v>
      </c>
      <c r="L310">
        <f t="shared" si="101"/>
        <v>0</v>
      </c>
      <c r="M310" s="5">
        <f t="shared" si="111"/>
        <v>44490</v>
      </c>
      <c r="N310" s="25">
        <v>206.81573700010776</v>
      </c>
      <c r="O310" s="25">
        <v>54.292689899995921</v>
      </c>
      <c r="P310" s="25">
        <v>21.529747000000381</v>
      </c>
      <c r="Q310" s="6">
        <f t="shared" si="102"/>
        <v>282.63817390010405</v>
      </c>
      <c r="R310">
        <f t="shared" si="95"/>
        <v>0</v>
      </c>
      <c r="S310" s="5">
        <f t="shared" si="112"/>
        <v>44855</v>
      </c>
      <c r="T310" s="25">
        <v>224.17011349999905</v>
      </c>
      <c r="U310" s="25">
        <v>49.997462699994443</v>
      </c>
      <c r="V310" s="25">
        <v>19.060506200001576</v>
      </c>
      <c r="W310" s="6">
        <f t="shared" si="105"/>
        <v>293.22808239999506</v>
      </c>
      <c r="X310">
        <f t="shared" si="96"/>
        <v>0</v>
      </c>
      <c r="Z310" s="5">
        <f t="shared" si="113"/>
        <v>44855</v>
      </c>
      <c r="AA310" s="25"/>
      <c r="AB310" s="25"/>
      <c r="AC310" s="25"/>
      <c r="AD310" s="6">
        <f t="shared" si="106"/>
        <v>0</v>
      </c>
      <c r="AE310">
        <f t="shared" si="97"/>
        <v>0</v>
      </c>
      <c r="AF310" s="5">
        <f t="shared" si="114"/>
        <v>45585</v>
      </c>
      <c r="AG310" s="25"/>
      <c r="AH310" s="25"/>
      <c r="AI310" s="25"/>
      <c r="AJ310" s="6">
        <f t="shared" si="107"/>
        <v>0</v>
      </c>
      <c r="AK310">
        <f t="shared" si="98"/>
        <v>0</v>
      </c>
      <c r="AL310" s="5">
        <f t="shared" si="115"/>
        <v>45951</v>
      </c>
      <c r="AM310" s="25"/>
      <c r="AN310" s="25"/>
      <c r="AO310" s="25"/>
      <c r="AP310" s="6">
        <f t="shared" si="108"/>
        <v>0</v>
      </c>
      <c r="AQ310">
        <f t="shared" si="99"/>
        <v>0</v>
      </c>
    </row>
    <row r="311" spans="1:43" x14ac:dyDescent="0.3">
      <c r="A311" s="5">
        <f t="shared" si="109"/>
        <v>43760</v>
      </c>
      <c r="B311" s="25">
        <v>239.09109060001373</v>
      </c>
      <c r="C311" s="25">
        <v>45.972511600002647</v>
      </c>
      <c r="D311" s="25">
        <v>19.594999999999999</v>
      </c>
      <c r="E311" s="6">
        <f t="shared" si="103"/>
        <v>304.65860220001639</v>
      </c>
      <c r="F311">
        <f t="shared" si="100"/>
        <v>0</v>
      </c>
      <c r="G311" s="5">
        <f t="shared" si="110"/>
        <v>44125</v>
      </c>
      <c r="H311" s="25">
        <v>239.38143830001354</v>
      </c>
      <c r="I311" s="25">
        <v>49.845882899999616</v>
      </c>
      <c r="J311" s="25">
        <v>19.742999999999999</v>
      </c>
      <c r="K311" s="6">
        <f t="shared" si="104"/>
        <v>308.97032120001313</v>
      </c>
      <c r="L311">
        <f t="shared" si="101"/>
        <v>0</v>
      </c>
      <c r="M311" s="5">
        <f t="shared" si="111"/>
        <v>44491</v>
      </c>
      <c r="N311" s="25">
        <v>214.72161869990825</v>
      </c>
      <c r="O311" s="25">
        <v>55.134085500001909</v>
      </c>
      <c r="P311" s="25">
        <v>24.005155799999834</v>
      </c>
      <c r="Q311" s="6">
        <f t="shared" si="102"/>
        <v>293.86085999991002</v>
      </c>
      <c r="R311">
        <f t="shared" si="95"/>
        <v>0</v>
      </c>
      <c r="S311" s="5">
        <f t="shared" si="112"/>
        <v>44856</v>
      </c>
      <c r="T311" s="25">
        <v>225.13668980002404</v>
      </c>
      <c r="U311" s="25">
        <v>51.469039000004528</v>
      </c>
      <c r="V311" s="25">
        <v>19.120619999996851</v>
      </c>
      <c r="W311" s="6">
        <f t="shared" si="105"/>
        <v>295.72634880002545</v>
      </c>
      <c r="X311">
        <f t="shared" si="96"/>
        <v>0</v>
      </c>
      <c r="Z311" s="5">
        <f t="shared" si="113"/>
        <v>44856</v>
      </c>
      <c r="AA311" s="25"/>
      <c r="AB311" s="25"/>
      <c r="AC311" s="25"/>
      <c r="AD311" s="6">
        <f t="shared" si="106"/>
        <v>0</v>
      </c>
      <c r="AE311">
        <f t="shared" si="97"/>
        <v>0</v>
      </c>
      <c r="AF311" s="5">
        <f t="shared" si="114"/>
        <v>45586</v>
      </c>
      <c r="AG311" s="25"/>
      <c r="AH311" s="25"/>
      <c r="AI311" s="25"/>
      <c r="AJ311" s="6">
        <f t="shared" si="107"/>
        <v>0</v>
      </c>
      <c r="AK311">
        <f t="shared" si="98"/>
        <v>0</v>
      </c>
      <c r="AL311" s="5">
        <f t="shared" si="115"/>
        <v>45952</v>
      </c>
      <c r="AM311" s="25"/>
      <c r="AN311" s="25"/>
      <c r="AO311" s="25"/>
      <c r="AP311" s="6">
        <f t="shared" si="108"/>
        <v>0</v>
      </c>
      <c r="AQ311">
        <f t="shared" si="99"/>
        <v>0</v>
      </c>
    </row>
    <row r="312" spans="1:43" x14ac:dyDescent="0.3">
      <c r="A312" s="5">
        <f t="shared" si="109"/>
        <v>43761</v>
      </c>
      <c r="B312" s="25">
        <v>238.58683809995651</v>
      </c>
      <c r="C312" s="25">
        <v>47.936525100000203</v>
      </c>
      <c r="D312" s="25">
        <v>18.018000000000001</v>
      </c>
      <c r="E312" s="6">
        <f t="shared" si="103"/>
        <v>304.54136319995666</v>
      </c>
      <c r="F312">
        <f t="shared" si="100"/>
        <v>0</v>
      </c>
      <c r="G312" s="5">
        <f t="shared" si="110"/>
        <v>44126</v>
      </c>
      <c r="H312" s="25">
        <v>229.11420690000057</v>
      </c>
      <c r="I312" s="25">
        <v>49.327219200000165</v>
      </c>
      <c r="J312" s="25">
        <v>20.954999999999998</v>
      </c>
      <c r="K312" s="6">
        <f t="shared" si="104"/>
        <v>299.39642610000072</v>
      </c>
      <c r="L312">
        <f t="shared" si="101"/>
        <v>0</v>
      </c>
      <c r="M312" s="5">
        <f t="shared" si="111"/>
        <v>44492</v>
      </c>
      <c r="N312" s="25">
        <v>196.27451789999009</v>
      </c>
      <c r="O312" s="25">
        <v>53.502269100002941</v>
      </c>
      <c r="P312" s="25">
        <v>21.720418799999052</v>
      </c>
      <c r="Q312" s="6">
        <f t="shared" si="102"/>
        <v>271.49720579999206</v>
      </c>
      <c r="R312">
        <f t="shared" si="95"/>
        <v>0</v>
      </c>
      <c r="S312" s="5">
        <f t="shared" si="112"/>
        <v>44857</v>
      </c>
      <c r="T312" s="25">
        <v>213.83884809994697</v>
      </c>
      <c r="U312" s="25">
        <v>44.666761700004336</v>
      </c>
      <c r="V312" s="25">
        <v>18.692533500002231</v>
      </c>
      <c r="W312" s="6">
        <f t="shared" si="105"/>
        <v>277.19814329995353</v>
      </c>
      <c r="X312">
        <f t="shared" si="96"/>
        <v>0</v>
      </c>
      <c r="Z312" s="5">
        <f t="shared" si="113"/>
        <v>44857</v>
      </c>
      <c r="AA312" s="25"/>
      <c r="AB312" s="25"/>
      <c r="AC312" s="25"/>
      <c r="AD312" s="6">
        <f t="shared" si="106"/>
        <v>0</v>
      </c>
      <c r="AE312">
        <f t="shared" si="97"/>
        <v>0</v>
      </c>
      <c r="AF312" s="5">
        <f t="shared" si="114"/>
        <v>45587</v>
      </c>
      <c r="AG312" s="25"/>
      <c r="AH312" s="25"/>
      <c r="AI312" s="25"/>
      <c r="AJ312" s="6">
        <f t="shared" si="107"/>
        <v>0</v>
      </c>
      <c r="AK312">
        <f t="shared" si="98"/>
        <v>0</v>
      </c>
      <c r="AL312" s="5">
        <f t="shared" si="115"/>
        <v>45953</v>
      </c>
      <c r="AM312" s="25"/>
      <c r="AN312" s="25"/>
      <c r="AO312" s="25"/>
      <c r="AP312" s="6">
        <f t="shared" si="108"/>
        <v>0</v>
      </c>
      <c r="AQ312">
        <f t="shared" si="99"/>
        <v>0</v>
      </c>
    </row>
    <row r="313" spans="1:43" x14ac:dyDescent="0.3">
      <c r="A313" s="5">
        <f t="shared" si="109"/>
        <v>43762</v>
      </c>
      <c r="B313" s="25">
        <v>236.989902099967</v>
      </c>
      <c r="C313" s="25">
        <v>43.904041499998421</v>
      </c>
      <c r="D313" s="25">
        <v>17.923999999999999</v>
      </c>
      <c r="E313" s="6">
        <f t="shared" si="103"/>
        <v>298.81794359996542</v>
      </c>
      <c r="F313">
        <f t="shared" si="100"/>
        <v>0</v>
      </c>
      <c r="G313" s="5">
        <f t="shared" si="110"/>
        <v>44127</v>
      </c>
      <c r="H313" s="25">
        <v>243.7027228000164</v>
      </c>
      <c r="I313" s="25">
        <v>48.984126199997959</v>
      </c>
      <c r="J313" s="25">
        <v>20.643999999999998</v>
      </c>
      <c r="K313" s="6">
        <f t="shared" si="104"/>
        <v>313.33084900001438</v>
      </c>
      <c r="L313">
        <f t="shared" si="101"/>
        <v>0</v>
      </c>
      <c r="M313" s="5">
        <f t="shared" si="111"/>
        <v>44493</v>
      </c>
      <c r="N313" s="25">
        <v>190.32779970002176</v>
      </c>
      <c r="O313" s="25">
        <v>47.389765900000931</v>
      </c>
      <c r="P313" s="25">
        <v>12.561137000002432</v>
      </c>
      <c r="Q313" s="6">
        <f t="shared" si="102"/>
        <v>250.2787026000251</v>
      </c>
      <c r="R313">
        <f t="shared" si="95"/>
        <v>0</v>
      </c>
      <c r="S313" s="5">
        <f t="shared" si="112"/>
        <v>44858</v>
      </c>
      <c r="T313" s="25">
        <v>262.11028960001471</v>
      </c>
      <c r="U313" s="25">
        <v>52.47040809999406</v>
      </c>
      <c r="V313" s="25">
        <v>23.315939699998125</v>
      </c>
      <c r="W313" s="6">
        <f t="shared" si="105"/>
        <v>337.89663740000691</v>
      </c>
      <c r="X313">
        <f t="shared" si="96"/>
        <v>0</v>
      </c>
      <c r="Z313" s="5">
        <f t="shared" si="113"/>
        <v>44858</v>
      </c>
      <c r="AA313" s="25"/>
      <c r="AB313" s="25"/>
      <c r="AC313" s="25"/>
      <c r="AD313" s="6">
        <f t="shared" si="106"/>
        <v>0</v>
      </c>
      <c r="AE313">
        <f t="shared" si="97"/>
        <v>0</v>
      </c>
      <c r="AF313" s="5">
        <f t="shared" si="114"/>
        <v>45588</v>
      </c>
      <c r="AG313" s="25"/>
      <c r="AH313" s="25"/>
      <c r="AI313" s="25"/>
      <c r="AJ313" s="6">
        <f t="shared" si="107"/>
        <v>0</v>
      </c>
      <c r="AK313">
        <f t="shared" si="98"/>
        <v>0</v>
      </c>
      <c r="AL313" s="5">
        <f t="shared" si="115"/>
        <v>45954</v>
      </c>
      <c r="AM313" s="25"/>
      <c r="AN313" s="25"/>
      <c r="AO313" s="25"/>
      <c r="AP313" s="6">
        <f t="shared" si="108"/>
        <v>0</v>
      </c>
      <c r="AQ313">
        <f t="shared" si="99"/>
        <v>0</v>
      </c>
    </row>
    <row r="314" spans="1:43" x14ac:dyDescent="0.3">
      <c r="A314" s="5">
        <f t="shared" si="109"/>
        <v>43763</v>
      </c>
      <c r="B314" s="25">
        <v>241.07521759998798</v>
      </c>
      <c r="C314" s="25">
        <v>43.281962200000883</v>
      </c>
      <c r="D314" s="25">
        <v>20.433</v>
      </c>
      <c r="E314" s="6">
        <f t="shared" si="103"/>
        <v>304.79017979998883</v>
      </c>
      <c r="F314">
        <f t="shared" si="100"/>
        <v>0</v>
      </c>
      <c r="G314" s="5">
        <f t="shared" si="110"/>
        <v>44128</v>
      </c>
      <c r="H314" s="25">
        <v>225.49190929996968</v>
      </c>
      <c r="I314" s="25">
        <v>48.301928599998355</v>
      </c>
      <c r="J314" s="25">
        <v>20.126999999999999</v>
      </c>
      <c r="K314" s="6">
        <f t="shared" si="104"/>
        <v>293.92083789996803</v>
      </c>
      <c r="L314">
        <f t="shared" si="101"/>
        <v>0</v>
      </c>
      <c r="M314" s="5">
        <f t="shared" si="111"/>
        <v>44494</v>
      </c>
      <c r="N314" s="25">
        <v>225.31729990005493</v>
      </c>
      <c r="O314" s="25">
        <v>53.333881599999962</v>
      </c>
      <c r="P314" s="25">
        <v>18.209764299998234</v>
      </c>
      <c r="Q314" s="6">
        <f t="shared" si="102"/>
        <v>296.86094580005317</v>
      </c>
      <c r="R314">
        <f t="shared" si="95"/>
        <v>0</v>
      </c>
      <c r="S314" s="5">
        <f t="shared" si="112"/>
        <v>44859</v>
      </c>
      <c r="T314" s="25">
        <v>266.95163310003278</v>
      </c>
      <c r="U314" s="25">
        <v>52.485321400001645</v>
      </c>
      <c r="V314" s="25">
        <v>24.113265899999998</v>
      </c>
      <c r="W314" s="6">
        <f t="shared" si="105"/>
        <v>343.55022040003439</v>
      </c>
      <c r="X314">
        <f t="shared" si="96"/>
        <v>0</v>
      </c>
      <c r="Z314" s="5">
        <f t="shared" si="113"/>
        <v>44859</v>
      </c>
      <c r="AA314" s="25"/>
      <c r="AB314" s="25"/>
      <c r="AC314" s="25"/>
      <c r="AD314" s="6">
        <f t="shared" si="106"/>
        <v>0</v>
      </c>
      <c r="AE314">
        <f t="shared" si="97"/>
        <v>0</v>
      </c>
      <c r="AF314" s="5">
        <f t="shared" si="114"/>
        <v>45589</v>
      </c>
      <c r="AG314" s="25"/>
      <c r="AH314" s="25"/>
      <c r="AI314" s="25"/>
      <c r="AJ314" s="6">
        <f t="shared" si="107"/>
        <v>0</v>
      </c>
      <c r="AK314">
        <f t="shared" si="98"/>
        <v>0</v>
      </c>
      <c r="AL314" s="5">
        <f t="shared" si="115"/>
        <v>45955</v>
      </c>
      <c r="AM314" s="25"/>
      <c r="AN314" s="25"/>
      <c r="AO314" s="25"/>
      <c r="AP314" s="6">
        <f t="shared" si="108"/>
        <v>0</v>
      </c>
      <c r="AQ314">
        <f t="shared" si="99"/>
        <v>0</v>
      </c>
    </row>
    <row r="315" spans="1:43" x14ac:dyDescent="0.3">
      <c r="A315" s="5">
        <f t="shared" si="109"/>
        <v>43764</v>
      </c>
      <c r="B315" s="25">
        <v>226.31195340001582</v>
      </c>
      <c r="C315" s="25">
        <v>42.086076600000261</v>
      </c>
      <c r="D315" s="25">
        <v>20.393999999999998</v>
      </c>
      <c r="E315" s="6">
        <f t="shared" si="103"/>
        <v>288.7920300000161</v>
      </c>
      <c r="F315">
        <f t="shared" si="100"/>
        <v>0</v>
      </c>
      <c r="G315" s="5">
        <f t="shared" si="110"/>
        <v>44129</v>
      </c>
      <c r="H315" s="25">
        <v>218.13745089995862</v>
      </c>
      <c r="I315" s="25">
        <v>42.311833500005307</v>
      </c>
      <c r="J315" s="25">
        <v>17.126000000000001</v>
      </c>
      <c r="K315" s="6">
        <f t="shared" si="104"/>
        <v>277.57528439996389</v>
      </c>
      <c r="L315">
        <f t="shared" si="101"/>
        <v>0</v>
      </c>
      <c r="M315" s="5">
        <f t="shared" si="111"/>
        <v>44495</v>
      </c>
      <c r="N315" s="25">
        <v>220.00865709996222</v>
      </c>
      <c r="O315" s="25">
        <v>54.100525899998843</v>
      </c>
      <c r="P315" s="25">
        <v>20.33167090000148</v>
      </c>
      <c r="Q315" s="6">
        <f t="shared" si="102"/>
        <v>294.44085389996252</v>
      </c>
      <c r="R315">
        <f t="shared" si="95"/>
        <v>0</v>
      </c>
      <c r="S315" s="5">
        <f t="shared" si="112"/>
        <v>44860</v>
      </c>
      <c r="T315" s="25">
        <v>239.72200299990178</v>
      </c>
      <c r="U315" s="25">
        <v>52.697019099995494</v>
      </c>
      <c r="V315" s="25">
        <v>24.673178400000559</v>
      </c>
      <c r="W315" s="6">
        <f t="shared" si="105"/>
        <v>317.09220049989784</v>
      </c>
      <c r="X315">
        <f t="shared" si="96"/>
        <v>0</v>
      </c>
      <c r="Z315" s="5">
        <f t="shared" si="113"/>
        <v>44860</v>
      </c>
      <c r="AA315" s="25"/>
      <c r="AB315" s="25"/>
      <c r="AC315" s="25"/>
      <c r="AD315" s="6">
        <f t="shared" si="106"/>
        <v>0</v>
      </c>
      <c r="AE315">
        <f t="shared" si="97"/>
        <v>0</v>
      </c>
      <c r="AF315" s="5">
        <f t="shared" si="114"/>
        <v>45590</v>
      </c>
      <c r="AG315" s="25"/>
      <c r="AH315" s="25"/>
      <c r="AI315" s="25"/>
      <c r="AJ315" s="6">
        <f t="shared" si="107"/>
        <v>0</v>
      </c>
      <c r="AK315">
        <f t="shared" si="98"/>
        <v>0</v>
      </c>
      <c r="AL315" s="5">
        <f t="shared" si="115"/>
        <v>45956</v>
      </c>
      <c r="AM315" s="25"/>
      <c r="AN315" s="25"/>
      <c r="AO315" s="25"/>
      <c r="AP315" s="6">
        <f t="shared" si="108"/>
        <v>0</v>
      </c>
      <c r="AQ315">
        <f t="shared" si="99"/>
        <v>0</v>
      </c>
    </row>
    <row r="316" spans="1:43" x14ac:dyDescent="0.3">
      <c r="A316" s="5">
        <f t="shared" si="109"/>
        <v>43765</v>
      </c>
      <c r="B316" s="25">
        <v>213.51940240001679</v>
      </c>
      <c r="C316" s="25">
        <v>40.556635199997572</v>
      </c>
      <c r="D316" s="25">
        <v>17.196999999999999</v>
      </c>
      <c r="E316" s="6">
        <f t="shared" si="103"/>
        <v>271.27303760001433</v>
      </c>
      <c r="F316">
        <f t="shared" si="100"/>
        <v>0</v>
      </c>
      <c r="G316" s="5">
        <f t="shared" si="110"/>
        <v>44130</v>
      </c>
      <c r="H316" s="25">
        <v>195.97968920004368</v>
      </c>
      <c r="I316" s="25">
        <v>49.761021899998191</v>
      </c>
      <c r="J316" s="25">
        <v>17.423099999999998</v>
      </c>
      <c r="K316" s="6">
        <f t="shared" si="104"/>
        <v>263.16381110004187</v>
      </c>
      <c r="L316">
        <f t="shared" si="101"/>
        <v>0</v>
      </c>
      <c r="M316" s="5">
        <f t="shared" si="111"/>
        <v>44496</v>
      </c>
      <c r="N316" s="25">
        <v>234.74438499999047</v>
      </c>
      <c r="O316" s="25">
        <v>53.517254099994901</v>
      </c>
      <c r="P316" s="25">
        <v>20.095827699998104</v>
      </c>
      <c r="Q316" s="6">
        <f t="shared" si="102"/>
        <v>308.35746679998346</v>
      </c>
      <c r="R316">
        <f t="shared" si="95"/>
        <v>0</v>
      </c>
      <c r="S316" s="5">
        <f t="shared" si="112"/>
        <v>44861</v>
      </c>
      <c r="T316" s="25">
        <v>259.33211220002175</v>
      </c>
      <c r="U316" s="25">
        <v>56.779391499996187</v>
      </c>
      <c r="V316" s="25">
        <v>23.568812900000253</v>
      </c>
      <c r="W316" s="6">
        <f t="shared" si="105"/>
        <v>339.68031660001816</v>
      </c>
      <c r="X316">
        <f t="shared" si="96"/>
        <v>0</v>
      </c>
      <c r="Z316" s="5">
        <f t="shared" si="113"/>
        <v>44861</v>
      </c>
      <c r="AA316" s="25"/>
      <c r="AB316" s="25"/>
      <c r="AC316" s="25"/>
      <c r="AD316" s="6">
        <f t="shared" si="106"/>
        <v>0</v>
      </c>
      <c r="AE316">
        <f t="shared" si="97"/>
        <v>0</v>
      </c>
      <c r="AF316" s="5">
        <f t="shared" si="114"/>
        <v>45591</v>
      </c>
      <c r="AG316" s="25"/>
      <c r="AH316" s="25"/>
      <c r="AI316" s="25"/>
      <c r="AJ316" s="6">
        <f t="shared" si="107"/>
        <v>0</v>
      </c>
      <c r="AK316">
        <f t="shared" si="98"/>
        <v>0</v>
      </c>
      <c r="AL316" s="5">
        <f t="shared" si="115"/>
        <v>45957</v>
      </c>
      <c r="AM316" s="25"/>
      <c r="AN316" s="25"/>
      <c r="AO316" s="25"/>
      <c r="AP316" s="6">
        <f t="shared" si="108"/>
        <v>0</v>
      </c>
      <c r="AQ316">
        <f t="shared" si="99"/>
        <v>0</v>
      </c>
    </row>
    <row r="317" spans="1:43" x14ac:dyDescent="0.3">
      <c r="A317" s="5">
        <f t="shared" si="109"/>
        <v>43766</v>
      </c>
      <c r="B317" s="25">
        <v>239.02558550000191</v>
      </c>
      <c r="C317" s="25">
        <v>46.859082400001583</v>
      </c>
      <c r="D317" s="25">
        <v>18.763000000000002</v>
      </c>
      <c r="E317" s="6">
        <f t="shared" si="103"/>
        <v>304.64766790000346</v>
      </c>
      <c r="F317">
        <f t="shared" si="100"/>
        <v>0</v>
      </c>
      <c r="G317" s="5">
        <f t="shared" si="110"/>
        <v>44131</v>
      </c>
      <c r="H317" s="25">
        <v>210.63356770002841</v>
      </c>
      <c r="I317" s="25">
        <v>48.195939199998975</v>
      </c>
      <c r="J317" s="25">
        <v>18.5929</v>
      </c>
      <c r="K317" s="6">
        <f t="shared" si="104"/>
        <v>277.42240690002734</v>
      </c>
      <c r="L317">
        <f t="shared" si="101"/>
        <v>0</v>
      </c>
      <c r="M317" s="5">
        <f t="shared" si="111"/>
        <v>44497</v>
      </c>
      <c r="N317" s="25">
        <v>233.90220440006257</v>
      </c>
      <c r="O317" s="25">
        <v>53.77248060000688</v>
      </c>
      <c r="P317" s="25">
        <v>20.267009600000399</v>
      </c>
      <c r="Q317" s="6">
        <f t="shared" si="102"/>
        <v>307.94169460006987</v>
      </c>
      <c r="R317">
        <f t="shared" si="95"/>
        <v>0</v>
      </c>
      <c r="S317" s="5">
        <f t="shared" si="112"/>
        <v>44862</v>
      </c>
      <c r="T317" s="25">
        <v>242.70380930006505</v>
      </c>
      <c r="U317" s="25">
        <v>52.939670600011944</v>
      </c>
      <c r="V317" s="25">
        <v>24.567152300001123</v>
      </c>
      <c r="W317" s="6">
        <f t="shared" si="105"/>
        <v>320.21063220007812</v>
      </c>
      <c r="X317">
        <f t="shared" si="96"/>
        <v>0</v>
      </c>
      <c r="Z317" s="5">
        <f t="shared" si="113"/>
        <v>44862</v>
      </c>
      <c r="AA317" s="25"/>
      <c r="AB317" s="25"/>
      <c r="AC317" s="25"/>
      <c r="AD317" s="6">
        <f t="shared" si="106"/>
        <v>0</v>
      </c>
      <c r="AE317">
        <f t="shared" si="97"/>
        <v>0</v>
      </c>
      <c r="AF317" s="5">
        <f t="shared" si="114"/>
        <v>45592</v>
      </c>
      <c r="AG317" s="25"/>
      <c r="AH317" s="25"/>
      <c r="AI317" s="25"/>
      <c r="AJ317" s="6">
        <f t="shared" si="107"/>
        <v>0</v>
      </c>
      <c r="AK317">
        <f t="shared" si="98"/>
        <v>0</v>
      </c>
      <c r="AL317" s="5">
        <f t="shared" si="115"/>
        <v>45958</v>
      </c>
      <c r="AM317" s="25"/>
      <c r="AN317" s="25"/>
      <c r="AO317" s="25"/>
      <c r="AP317" s="6">
        <f t="shared" si="108"/>
        <v>0</v>
      </c>
      <c r="AQ317">
        <f t="shared" si="99"/>
        <v>0</v>
      </c>
    </row>
    <row r="318" spans="1:43" x14ac:dyDescent="0.3">
      <c r="A318" s="5">
        <f t="shared" si="109"/>
        <v>43767</v>
      </c>
      <c r="B318" s="25">
        <v>238.12861629998685</v>
      </c>
      <c r="C318" s="25">
        <v>42.825396999999882</v>
      </c>
      <c r="D318" s="25">
        <v>20.624500000000001</v>
      </c>
      <c r="E318" s="6">
        <f t="shared" si="103"/>
        <v>301.57851329998675</v>
      </c>
      <c r="F318">
        <f t="shared" si="100"/>
        <v>0</v>
      </c>
      <c r="G318" s="5">
        <f t="shared" si="110"/>
        <v>44132</v>
      </c>
      <c r="H318" s="25">
        <v>186.5048574999571</v>
      </c>
      <c r="I318" s="25">
        <v>50.549641499996184</v>
      </c>
      <c r="J318" s="25">
        <v>18.206900000000001</v>
      </c>
      <c r="K318" s="6">
        <f t="shared" si="104"/>
        <v>255.26139899995329</v>
      </c>
      <c r="L318">
        <f t="shared" si="101"/>
        <v>0</v>
      </c>
      <c r="M318" s="5">
        <f t="shared" si="111"/>
        <v>44498</v>
      </c>
      <c r="N318" s="25">
        <v>205.28780030000209</v>
      </c>
      <c r="O318" s="25">
        <v>52.860428199999035</v>
      </c>
      <c r="P318" s="25">
        <v>21.039731899998383</v>
      </c>
      <c r="Q318" s="6">
        <f t="shared" si="102"/>
        <v>279.1879603999995</v>
      </c>
      <c r="R318">
        <f t="shared" si="95"/>
        <v>0</v>
      </c>
      <c r="S318" s="5">
        <f t="shared" si="112"/>
        <v>44863</v>
      </c>
      <c r="T318" s="25">
        <v>207.17992900002002</v>
      </c>
      <c r="U318" s="25">
        <v>51.350819099992513</v>
      </c>
      <c r="V318" s="25">
        <v>24.669954499999527</v>
      </c>
      <c r="W318" s="6">
        <f t="shared" si="105"/>
        <v>283.20070260001205</v>
      </c>
      <c r="X318">
        <f t="shared" si="96"/>
        <v>0</v>
      </c>
      <c r="Z318" s="5">
        <f t="shared" si="113"/>
        <v>44863</v>
      </c>
      <c r="AA318" s="25"/>
      <c r="AB318" s="25"/>
      <c r="AC318" s="25"/>
      <c r="AD318" s="6">
        <f t="shared" si="106"/>
        <v>0</v>
      </c>
      <c r="AE318">
        <f t="shared" si="97"/>
        <v>0</v>
      </c>
      <c r="AF318" s="5">
        <f t="shared" si="114"/>
        <v>45593</v>
      </c>
      <c r="AG318" s="25"/>
      <c r="AH318" s="25"/>
      <c r="AI318" s="25"/>
      <c r="AJ318" s="6">
        <f t="shared" si="107"/>
        <v>0</v>
      </c>
      <c r="AK318">
        <f t="shared" si="98"/>
        <v>0</v>
      </c>
      <c r="AL318" s="5">
        <f t="shared" si="115"/>
        <v>45959</v>
      </c>
      <c r="AM318" s="25"/>
      <c r="AN318" s="25"/>
      <c r="AO318" s="25"/>
      <c r="AP318" s="6">
        <f t="shared" si="108"/>
        <v>0</v>
      </c>
      <c r="AQ318">
        <f t="shared" si="99"/>
        <v>0</v>
      </c>
    </row>
    <row r="319" spans="1:43" x14ac:dyDescent="0.3">
      <c r="A319" s="5">
        <f t="shared" si="109"/>
        <v>43768</v>
      </c>
      <c r="B319" s="25">
        <v>237.40200999999047</v>
      </c>
      <c r="C319" s="25">
        <v>40.65387939999998</v>
      </c>
      <c r="D319" s="25">
        <v>19.85735</v>
      </c>
      <c r="E319" s="6">
        <f t="shared" si="103"/>
        <v>297.91323939999046</v>
      </c>
      <c r="F319">
        <f t="shared" si="100"/>
        <v>0</v>
      </c>
      <c r="G319" s="5">
        <f t="shared" si="110"/>
        <v>44133</v>
      </c>
      <c r="H319" s="25">
        <v>183.62891009998322</v>
      </c>
      <c r="I319" s="25">
        <v>47.499935500003396</v>
      </c>
      <c r="J319" s="25">
        <v>18.54</v>
      </c>
      <c r="K319" s="6">
        <f t="shared" si="104"/>
        <v>249.66884559998661</v>
      </c>
      <c r="L319">
        <f t="shared" si="101"/>
        <v>0</v>
      </c>
      <c r="M319" s="5">
        <f t="shared" si="111"/>
        <v>44499</v>
      </c>
      <c r="N319" s="25">
        <v>223.46543389999866</v>
      </c>
      <c r="O319" s="25">
        <v>52.639915299996737</v>
      </c>
      <c r="P319" s="25">
        <v>20.950879000000889</v>
      </c>
      <c r="Q319" s="6">
        <f t="shared" si="102"/>
        <v>297.05622819999627</v>
      </c>
      <c r="R319">
        <f t="shared" si="95"/>
        <v>0</v>
      </c>
      <c r="S319" s="5">
        <f t="shared" si="112"/>
        <v>44864</v>
      </c>
      <c r="T319" s="25">
        <v>181.99782699990271</v>
      </c>
      <c r="U319" s="25">
        <v>45.91961239999533</v>
      </c>
      <c r="V319" s="25">
        <v>19.513235599999316</v>
      </c>
      <c r="W319" s="6">
        <f t="shared" si="105"/>
        <v>247.43067499989738</v>
      </c>
      <c r="X319">
        <f t="shared" si="96"/>
        <v>0</v>
      </c>
      <c r="Z319" s="5">
        <f t="shared" si="113"/>
        <v>44864</v>
      </c>
      <c r="AA319" s="25"/>
      <c r="AB319" s="25"/>
      <c r="AC319" s="25"/>
      <c r="AD319" s="6">
        <f t="shared" si="106"/>
        <v>0</v>
      </c>
      <c r="AE319">
        <f t="shared" si="97"/>
        <v>0</v>
      </c>
      <c r="AF319" s="5">
        <f t="shared" si="114"/>
        <v>45594</v>
      </c>
      <c r="AG319" s="25"/>
      <c r="AH319" s="25"/>
      <c r="AI319" s="25"/>
      <c r="AJ319" s="6">
        <f t="shared" si="107"/>
        <v>0</v>
      </c>
      <c r="AK319">
        <f t="shared" si="98"/>
        <v>0</v>
      </c>
      <c r="AL319" s="5">
        <f t="shared" si="115"/>
        <v>45960</v>
      </c>
      <c r="AM319" s="25"/>
      <c r="AN319" s="25"/>
      <c r="AO319" s="25"/>
      <c r="AP319" s="6">
        <f t="shared" si="108"/>
        <v>0</v>
      </c>
      <c r="AQ319">
        <f t="shared" si="99"/>
        <v>0</v>
      </c>
    </row>
    <row r="320" spans="1:43" x14ac:dyDescent="0.3">
      <c r="A320" s="21">
        <f t="shared" si="109"/>
        <v>43769</v>
      </c>
      <c r="B320" s="25">
        <v>204.61029050004481</v>
      </c>
      <c r="C320" s="25">
        <v>36.724052600000057</v>
      </c>
      <c r="D320" s="25">
        <v>18.170999999999999</v>
      </c>
      <c r="E320" s="6">
        <f t="shared" si="103"/>
        <v>259.50534310004485</v>
      </c>
      <c r="F320">
        <f t="shared" si="100"/>
        <v>0</v>
      </c>
      <c r="G320" s="5">
        <f t="shared" si="110"/>
        <v>44134</v>
      </c>
      <c r="H320" s="25">
        <v>178.09202480006218</v>
      </c>
      <c r="I320" s="25">
        <v>47.144687299996612</v>
      </c>
      <c r="J320" s="25">
        <v>18.265999999999998</v>
      </c>
      <c r="K320" s="6">
        <f t="shared" si="104"/>
        <v>243.50271210005877</v>
      </c>
      <c r="L320">
        <f t="shared" si="101"/>
        <v>0</v>
      </c>
      <c r="M320" s="21">
        <f t="shared" si="111"/>
        <v>44500</v>
      </c>
      <c r="N320" s="25">
        <v>212.43158029997349</v>
      </c>
      <c r="O320" s="25">
        <v>45.559802900001408</v>
      </c>
      <c r="P320" s="25">
        <v>17.451602799999179</v>
      </c>
      <c r="Q320" s="6">
        <f t="shared" si="102"/>
        <v>275.4429859999741</v>
      </c>
      <c r="R320">
        <f t="shared" si="95"/>
        <v>0</v>
      </c>
      <c r="S320" s="21">
        <f t="shared" si="112"/>
        <v>44865</v>
      </c>
      <c r="T320" s="25">
        <v>186.71595070004463</v>
      </c>
      <c r="U320" s="25">
        <v>44.577062100008128</v>
      </c>
      <c r="V320" s="25">
        <v>18.713614200001583</v>
      </c>
      <c r="W320" s="6">
        <f t="shared" si="105"/>
        <v>250.00662700005435</v>
      </c>
      <c r="X320">
        <f t="shared" si="96"/>
        <v>0</v>
      </c>
      <c r="Z320" s="21">
        <f t="shared" si="113"/>
        <v>44865</v>
      </c>
      <c r="AA320" s="25"/>
      <c r="AB320" s="25"/>
      <c r="AC320" s="25"/>
      <c r="AD320" s="6">
        <f t="shared" si="106"/>
        <v>0</v>
      </c>
      <c r="AE320">
        <f t="shared" si="97"/>
        <v>0</v>
      </c>
      <c r="AF320" s="21">
        <f t="shared" si="114"/>
        <v>45595</v>
      </c>
      <c r="AG320" s="25"/>
      <c r="AH320" s="25"/>
      <c r="AI320" s="25"/>
      <c r="AJ320" s="6">
        <f t="shared" si="107"/>
        <v>0</v>
      </c>
      <c r="AK320">
        <f t="shared" si="98"/>
        <v>0</v>
      </c>
      <c r="AL320" s="21">
        <f t="shared" si="115"/>
        <v>45961</v>
      </c>
      <c r="AM320" s="25"/>
      <c r="AN320" s="25"/>
      <c r="AO320" s="25"/>
      <c r="AP320" s="6">
        <f t="shared" si="108"/>
        <v>0</v>
      </c>
      <c r="AQ320">
        <f t="shared" si="99"/>
        <v>0</v>
      </c>
    </row>
    <row r="321" spans="1:43" x14ac:dyDescent="0.3">
      <c r="A321" s="5">
        <f t="shared" si="109"/>
        <v>43770</v>
      </c>
      <c r="B321" s="25">
        <v>206.30306500005722</v>
      </c>
      <c r="C321" s="25">
        <v>36.064255300000312</v>
      </c>
      <c r="D321" s="25">
        <v>16.63</v>
      </c>
      <c r="E321" s="6">
        <f t="shared" si="103"/>
        <v>258.99732030005754</v>
      </c>
      <c r="F321">
        <f t="shared" si="100"/>
        <v>0</v>
      </c>
      <c r="G321" s="21">
        <f t="shared" si="110"/>
        <v>44135</v>
      </c>
      <c r="H321" s="25">
        <v>192.76931429994107</v>
      </c>
      <c r="I321" s="25">
        <v>43.319814200006427</v>
      </c>
      <c r="J321" s="25">
        <v>16.884</v>
      </c>
      <c r="K321" s="6">
        <f t="shared" si="104"/>
        <v>252.97312849994751</v>
      </c>
      <c r="L321">
        <f t="shared" si="101"/>
        <v>0</v>
      </c>
      <c r="M321" s="5">
        <f t="shared" si="111"/>
        <v>44501</v>
      </c>
      <c r="N321" s="25">
        <v>214.62121809995173</v>
      </c>
      <c r="O321" s="25">
        <v>43.910324199996886</v>
      </c>
      <c r="P321" s="25">
        <v>15.573296600001632</v>
      </c>
      <c r="Q321" s="6">
        <f t="shared" si="102"/>
        <v>274.10483889995027</v>
      </c>
      <c r="R321">
        <f t="shared" si="95"/>
        <v>0</v>
      </c>
      <c r="S321" s="5">
        <f t="shared" si="112"/>
        <v>44866</v>
      </c>
      <c r="T321" s="25">
        <v>189.88058259999752</v>
      </c>
      <c r="U321" s="25">
        <v>46.984758000001314</v>
      </c>
      <c r="V321" s="25">
        <v>17.378284299998544</v>
      </c>
      <c r="W321" s="6">
        <f t="shared" si="105"/>
        <v>254.24362489999737</v>
      </c>
      <c r="X321">
        <f t="shared" si="96"/>
        <v>0</v>
      </c>
      <c r="Z321" s="5">
        <f t="shared" si="113"/>
        <v>44866</v>
      </c>
      <c r="AA321" s="25"/>
      <c r="AB321" s="25"/>
      <c r="AC321" s="25"/>
      <c r="AD321" s="6">
        <f t="shared" si="106"/>
        <v>0</v>
      </c>
      <c r="AE321">
        <f t="shared" si="97"/>
        <v>0</v>
      </c>
      <c r="AF321" s="5">
        <f t="shared" si="114"/>
        <v>45596</v>
      </c>
      <c r="AG321" s="25"/>
      <c r="AH321" s="25"/>
      <c r="AI321" s="25"/>
      <c r="AJ321" s="6">
        <f t="shared" si="107"/>
        <v>0</v>
      </c>
      <c r="AK321">
        <f t="shared" si="98"/>
        <v>0</v>
      </c>
      <c r="AL321" s="5">
        <f t="shared" si="115"/>
        <v>45962</v>
      </c>
      <c r="AM321" s="25"/>
      <c r="AN321" s="25"/>
      <c r="AO321" s="25"/>
      <c r="AP321" s="6">
        <f t="shared" si="108"/>
        <v>0</v>
      </c>
      <c r="AQ321">
        <f t="shared" si="99"/>
        <v>0</v>
      </c>
    </row>
    <row r="322" spans="1:43" x14ac:dyDescent="0.3">
      <c r="A322" s="5">
        <f t="shared" si="109"/>
        <v>43771</v>
      </c>
      <c r="B322" s="25">
        <v>213.48276999998092</v>
      </c>
      <c r="C322" s="25">
        <v>38.439017499998215</v>
      </c>
      <c r="D322" s="25">
        <v>18.73</v>
      </c>
      <c r="E322" s="6">
        <f t="shared" si="103"/>
        <v>270.65178749997915</v>
      </c>
      <c r="F322">
        <f t="shared" si="100"/>
        <v>0</v>
      </c>
      <c r="G322" s="5">
        <f t="shared" si="110"/>
        <v>44136</v>
      </c>
      <c r="H322" s="25">
        <v>187.59424140000343</v>
      </c>
      <c r="I322" s="25">
        <v>40.504167999997733</v>
      </c>
      <c r="J322" s="25">
        <v>16.381</v>
      </c>
      <c r="K322" s="6">
        <f t="shared" si="104"/>
        <v>244.47940940000117</v>
      </c>
      <c r="L322">
        <f t="shared" si="101"/>
        <v>0</v>
      </c>
      <c r="M322" s="5">
        <f t="shared" si="111"/>
        <v>44502</v>
      </c>
      <c r="N322" s="25">
        <v>249.49067250001431</v>
      </c>
      <c r="O322" s="25">
        <v>51.736358300000433</v>
      </c>
      <c r="P322" s="25">
        <v>17.351683699999935</v>
      </c>
      <c r="Q322" s="6">
        <f t="shared" si="102"/>
        <v>318.57871450001466</v>
      </c>
      <c r="R322">
        <f t="shared" si="95"/>
        <v>0</v>
      </c>
      <c r="S322" s="5">
        <f t="shared" si="112"/>
        <v>44867</v>
      </c>
      <c r="T322" s="25">
        <v>224.7843166999817</v>
      </c>
      <c r="U322" s="25">
        <v>55.388911300003528</v>
      </c>
      <c r="V322" s="25">
        <v>20.556787000000941</v>
      </c>
      <c r="W322" s="6">
        <f t="shared" si="105"/>
        <v>300.73001499998617</v>
      </c>
      <c r="X322">
        <f t="shared" si="96"/>
        <v>0</v>
      </c>
      <c r="Z322" s="5">
        <f t="shared" si="113"/>
        <v>44867</v>
      </c>
      <c r="AA322" s="25"/>
      <c r="AB322" s="25"/>
      <c r="AC322" s="25"/>
      <c r="AD322" s="6">
        <f t="shared" si="106"/>
        <v>0</v>
      </c>
      <c r="AE322">
        <f t="shared" si="97"/>
        <v>0</v>
      </c>
      <c r="AF322" s="5">
        <f t="shared" si="114"/>
        <v>45597</v>
      </c>
      <c r="AG322" s="25"/>
      <c r="AH322" s="25"/>
      <c r="AI322" s="25"/>
      <c r="AJ322" s="6">
        <f t="shared" si="107"/>
        <v>0</v>
      </c>
      <c r="AK322">
        <f t="shared" si="98"/>
        <v>0</v>
      </c>
      <c r="AL322" s="5">
        <f t="shared" si="115"/>
        <v>45963</v>
      </c>
      <c r="AM322" s="25"/>
      <c r="AN322" s="25"/>
      <c r="AO322" s="25"/>
      <c r="AP322" s="6">
        <f t="shared" si="108"/>
        <v>0</v>
      </c>
      <c r="AQ322">
        <f t="shared" si="99"/>
        <v>0</v>
      </c>
    </row>
    <row r="323" spans="1:43" x14ac:dyDescent="0.3">
      <c r="A323" s="5">
        <f t="shared" si="109"/>
        <v>43772</v>
      </c>
      <c r="B323" s="25">
        <v>207.76588769996167</v>
      </c>
      <c r="C323" s="25">
        <v>37.988174400001768</v>
      </c>
      <c r="D323" s="25">
        <v>15.853999999999999</v>
      </c>
      <c r="E323" s="6">
        <f t="shared" si="103"/>
        <v>261.60806209996343</v>
      </c>
      <c r="F323">
        <f t="shared" si="100"/>
        <v>0</v>
      </c>
      <c r="G323" s="5">
        <f t="shared" si="110"/>
        <v>44137</v>
      </c>
      <c r="H323" s="25">
        <v>205.57541610002517</v>
      </c>
      <c r="I323" s="25">
        <v>49.838464699998497</v>
      </c>
      <c r="J323" s="25">
        <v>19.437000000000001</v>
      </c>
      <c r="K323" s="6">
        <f t="shared" si="104"/>
        <v>274.85088080002367</v>
      </c>
      <c r="L323">
        <f t="shared" si="101"/>
        <v>0</v>
      </c>
      <c r="M323" s="5">
        <f t="shared" si="111"/>
        <v>44503</v>
      </c>
      <c r="N323" s="25">
        <v>227.88164590001105</v>
      </c>
      <c r="O323" s="25">
        <v>53.765822800002994</v>
      </c>
      <c r="P323" s="25">
        <v>17.943293800001207</v>
      </c>
      <c r="Q323" s="6">
        <f t="shared" si="102"/>
        <v>299.59076250001522</v>
      </c>
      <c r="R323">
        <f t="shared" si="95"/>
        <v>0</v>
      </c>
      <c r="S323" s="5">
        <f t="shared" si="112"/>
        <v>44868</v>
      </c>
      <c r="T323" s="25">
        <v>225.28354400002956</v>
      </c>
      <c r="U323" s="25">
        <v>53.873303700000051</v>
      </c>
      <c r="V323" s="25">
        <v>22.098838399998844</v>
      </c>
      <c r="W323" s="6">
        <f t="shared" si="105"/>
        <v>301.25568610002847</v>
      </c>
      <c r="X323">
        <f t="shared" si="96"/>
        <v>0</v>
      </c>
      <c r="Z323" s="5">
        <f t="shared" si="113"/>
        <v>44868</v>
      </c>
      <c r="AA323" s="25"/>
      <c r="AB323" s="25"/>
      <c r="AC323" s="25"/>
      <c r="AD323" s="6">
        <f t="shared" si="106"/>
        <v>0</v>
      </c>
      <c r="AE323">
        <f t="shared" si="97"/>
        <v>0</v>
      </c>
      <c r="AF323" s="5">
        <f t="shared" si="114"/>
        <v>45598</v>
      </c>
      <c r="AG323" s="25"/>
      <c r="AH323" s="25"/>
      <c r="AI323" s="25"/>
      <c r="AJ323" s="6">
        <f t="shared" si="107"/>
        <v>0</v>
      </c>
      <c r="AK323">
        <f t="shared" si="98"/>
        <v>0</v>
      </c>
      <c r="AL323" s="5">
        <f t="shared" si="115"/>
        <v>45964</v>
      </c>
      <c r="AM323" s="25"/>
      <c r="AN323" s="25"/>
      <c r="AO323" s="25"/>
      <c r="AP323" s="6">
        <f t="shared" si="108"/>
        <v>0</v>
      </c>
      <c r="AQ323">
        <f t="shared" si="99"/>
        <v>0</v>
      </c>
    </row>
    <row r="324" spans="1:43" x14ac:dyDescent="0.3">
      <c r="A324" s="5">
        <f t="shared" si="109"/>
        <v>43773</v>
      </c>
      <c r="B324" s="25">
        <v>233.77486520004271</v>
      </c>
      <c r="C324" s="25">
        <v>44.147438999999316</v>
      </c>
      <c r="D324" s="25">
        <v>18.920000000000002</v>
      </c>
      <c r="E324" s="6">
        <f t="shared" si="103"/>
        <v>296.84230420004207</v>
      </c>
      <c r="F324">
        <f t="shared" si="100"/>
        <v>0</v>
      </c>
      <c r="G324" s="5">
        <f t="shared" si="110"/>
        <v>44138</v>
      </c>
      <c r="H324" s="25">
        <v>203.95256679999829</v>
      </c>
      <c r="I324" s="25">
        <v>50.282574100002648</v>
      </c>
      <c r="J324" s="25">
        <v>21.073</v>
      </c>
      <c r="K324" s="6">
        <f t="shared" si="104"/>
        <v>275.30814090000092</v>
      </c>
      <c r="L324">
        <f t="shared" si="101"/>
        <v>0</v>
      </c>
      <c r="M324" s="5">
        <f t="shared" si="111"/>
        <v>44504</v>
      </c>
      <c r="N324" s="25">
        <v>215.14321099996567</v>
      </c>
      <c r="O324" s="25">
        <v>50.88301730000228</v>
      </c>
      <c r="P324" s="25">
        <v>18.119987400000799</v>
      </c>
      <c r="Q324" s="6">
        <f t="shared" si="102"/>
        <v>284.14621569996876</v>
      </c>
      <c r="R324">
        <f t="shared" ref="R324:R381" si="116">IF(Q324&gt;321500,1,0)</f>
        <v>0</v>
      </c>
      <c r="S324" s="5">
        <f t="shared" si="112"/>
        <v>44869</v>
      </c>
      <c r="T324" s="25">
        <v>236.90377779996396</v>
      </c>
      <c r="U324" s="25">
        <v>53.879814199998975</v>
      </c>
      <c r="V324" s="25">
        <v>24.25500060000131</v>
      </c>
      <c r="W324" s="6">
        <f t="shared" si="105"/>
        <v>315.03859259996426</v>
      </c>
      <c r="X324">
        <f t="shared" ref="X324:X381" si="117">IF(W324&gt;321500,1,0)</f>
        <v>0</v>
      </c>
      <c r="Z324" s="5">
        <f t="shared" si="113"/>
        <v>44869</v>
      </c>
      <c r="AA324" s="25"/>
      <c r="AB324" s="25"/>
      <c r="AC324" s="25"/>
      <c r="AD324" s="6">
        <f t="shared" si="106"/>
        <v>0</v>
      </c>
      <c r="AE324">
        <f t="shared" ref="AE324:AE381" si="118">IF(AD324&gt;321500,1,0)</f>
        <v>0</v>
      </c>
      <c r="AF324" s="5">
        <f t="shared" si="114"/>
        <v>45599</v>
      </c>
      <c r="AG324" s="25"/>
      <c r="AH324" s="25"/>
      <c r="AI324" s="25"/>
      <c r="AJ324" s="6">
        <f t="shared" si="107"/>
        <v>0</v>
      </c>
      <c r="AK324">
        <f t="shared" ref="AK324:AK381" si="119">IF(AJ324&gt;321500,1,0)</f>
        <v>0</v>
      </c>
      <c r="AL324" s="5">
        <f t="shared" si="115"/>
        <v>45965</v>
      </c>
      <c r="AM324" s="25"/>
      <c r="AN324" s="25"/>
      <c r="AO324" s="25"/>
      <c r="AP324" s="6">
        <f t="shared" si="108"/>
        <v>0</v>
      </c>
      <c r="AQ324">
        <f t="shared" ref="AQ324:AQ382" si="120">IF(AP324&gt;321500,1,0)</f>
        <v>0</v>
      </c>
    </row>
    <row r="325" spans="1:43" x14ac:dyDescent="0.3">
      <c r="A325" s="5">
        <f t="shared" si="109"/>
        <v>43774</v>
      </c>
      <c r="B325" s="25">
        <v>243.88180750000475</v>
      </c>
      <c r="C325" s="25">
        <v>47.100959499999881</v>
      </c>
      <c r="D325" s="25">
        <v>18.527000000000001</v>
      </c>
      <c r="E325" s="6">
        <f t="shared" si="103"/>
        <v>309.50976700000462</v>
      </c>
      <c r="F325">
        <f t="shared" ref="F325:F381" si="121">IF(E325&gt;321500,1,0)</f>
        <v>0</v>
      </c>
      <c r="G325" s="5">
        <f t="shared" si="110"/>
        <v>44139</v>
      </c>
      <c r="H325" s="25">
        <v>208.42306369996072</v>
      </c>
      <c r="I325" s="25">
        <v>51.941733199998737</v>
      </c>
      <c r="J325" s="25">
        <v>20.033999999999999</v>
      </c>
      <c r="K325" s="6">
        <f t="shared" si="104"/>
        <v>280.39879689995945</v>
      </c>
      <c r="L325">
        <f t="shared" ref="L325:L381" si="122">IF(K325&gt;321500,1,0)</f>
        <v>0</v>
      </c>
      <c r="M325" s="5">
        <f t="shared" si="111"/>
        <v>44505</v>
      </c>
      <c r="N325" s="25">
        <v>209.26158100008965</v>
      </c>
      <c r="O325" s="25">
        <v>51.464638199999925</v>
      </c>
      <c r="P325" s="25">
        <v>18.616495999997365</v>
      </c>
      <c r="Q325" s="6">
        <f t="shared" si="102"/>
        <v>279.34271520008696</v>
      </c>
      <c r="R325">
        <f t="shared" si="116"/>
        <v>0</v>
      </c>
      <c r="S325" s="5">
        <f t="shared" si="112"/>
        <v>44870</v>
      </c>
      <c r="T325" s="25">
        <v>232.13596010005475</v>
      </c>
      <c r="U325" s="25">
        <v>52.345468199998137</v>
      </c>
      <c r="V325" s="25">
        <v>24.015141499997583</v>
      </c>
      <c r="W325" s="6">
        <f t="shared" si="105"/>
        <v>308.49656980005045</v>
      </c>
      <c r="X325">
        <f t="shared" si="117"/>
        <v>0</v>
      </c>
      <c r="Z325" s="5">
        <f t="shared" si="113"/>
        <v>44870</v>
      </c>
      <c r="AA325" s="25"/>
      <c r="AB325" s="25"/>
      <c r="AC325" s="25"/>
      <c r="AD325" s="6">
        <f t="shared" si="106"/>
        <v>0</v>
      </c>
      <c r="AE325">
        <f t="shared" si="118"/>
        <v>0</v>
      </c>
      <c r="AF325" s="5">
        <f t="shared" si="114"/>
        <v>45600</v>
      </c>
      <c r="AG325" s="25"/>
      <c r="AH325" s="25"/>
      <c r="AI325" s="25"/>
      <c r="AJ325" s="6">
        <f t="shared" si="107"/>
        <v>0</v>
      </c>
      <c r="AK325">
        <f t="shared" si="119"/>
        <v>0</v>
      </c>
      <c r="AL325" s="5">
        <f t="shared" si="115"/>
        <v>45966</v>
      </c>
      <c r="AM325" s="25"/>
      <c r="AN325" s="25"/>
      <c r="AO325" s="25"/>
      <c r="AP325" s="6">
        <f t="shared" si="108"/>
        <v>0</v>
      </c>
      <c r="AQ325">
        <f t="shared" si="120"/>
        <v>0</v>
      </c>
    </row>
    <row r="326" spans="1:43" x14ac:dyDescent="0.3">
      <c r="A326" s="5">
        <f t="shared" si="109"/>
        <v>43775</v>
      </c>
      <c r="B326" s="25">
        <v>237.57641559994221</v>
      </c>
      <c r="C326" s="25">
        <v>43.537015599999577</v>
      </c>
      <c r="D326" s="25">
        <v>18.138000000000002</v>
      </c>
      <c r="E326" s="6">
        <f t="shared" si="103"/>
        <v>299.25143119994175</v>
      </c>
      <c r="F326">
        <f t="shared" si="121"/>
        <v>0</v>
      </c>
      <c r="G326" s="5">
        <f t="shared" si="110"/>
        <v>44140</v>
      </c>
      <c r="H326" s="25">
        <v>181.6885965000391</v>
      </c>
      <c r="I326" s="25">
        <v>52.156884899996221</v>
      </c>
      <c r="J326" s="25">
        <v>18.39865</v>
      </c>
      <c r="K326" s="6">
        <f t="shared" si="104"/>
        <v>252.24413140003531</v>
      </c>
      <c r="L326">
        <f t="shared" si="122"/>
        <v>0</v>
      </c>
      <c r="M326" s="5">
        <f t="shared" si="111"/>
        <v>44506</v>
      </c>
      <c r="N326" s="25">
        <v>236.04359959995747</v>
      </c>
      <c r="O326" s="25">
        <v>53.389552499994636</v>
      </c>
      <c r="P326" s="25">
        <v>20.603071299998962</v>
      </c>
      <c r="Q326" s="6">
        <f t="shared" si="102"/>
        <v>310.0362233999511</v>
      </c>
      <c r="R326">
        <f t="shared" si="116"/>
        <v>0</v>
      </c>
      <c r="S326" s="5">
        <f t="shared" si="112"/>
        <v>44871</v>
      </c>
      <c r="T326" s="25">
        <v>205.73214569997788</v>
      </c>
      <c r="U326" s="25">
        <v>50.975754600003363</v>
      </c>
      <c r="V326" s="25">
        <v>19.264323200003709</v>
      </c>
      <c r="W326" s="6">
        <f t="shared" si="105"/>
        <v>275.97222349998498</v>
      </c>
      <c r="X326">
        <f t="shared" si="117"/>
        <v>0</v>
      </c>
      <c r="Z326" s="5">
        <f t="shared" si="113"/>
        <v>44871</v>
      </c>
      <c r="AA326" s="25"/>
      <c r="AB326" s="25"/>
      <c r="AC326" s="25"/>
      <c r="AD326" s="6">
        <f t="shared" si="106"/>
        <v>0</v>
      </c>
      <c r="AE326">
        <f t="shared" si="118"/>
        <v>0</v>
      </c>
      <c r="AF326" s="5">
        <f t="shared" si="114"/>
        <v>45601</v>
      </c>
      <c r="AG326" s="25"/>
      <c r="AH326" s="25"/>
      <c r="AI326" s="25"/>
      <c r="AJ326" s="6">
        <f t="shared" si="107"/>
        <v>0</v>
      </c>
      <c r="AK326">
        <f t="shared" si="119"/>
        <v>0</v>
      </c>
      <c r="AL326" s="5">
        <f t="shared" si="115"/>
        <v>45967</v>
      </c>
      <c r="AM326" s="25"/>
      <c r="AN326" s="25"/>
      <c r="AO326" s="25"/>
      <c r="AP326" s="6">
        <f t="shared" si="108"/>
        <v>0</v>
      </c>
      <c r="AQ326">
        <f t="shared" si="120"/>
        <v>0</v>
      </c>
    </row>
    <row r="327" spans="1:43" x14ac:dyDescent="0.3">
      <c r="A327" s="5">
        <f t="shared" si="109"/>
        <v>43776</v>
      </c>
      <c r="B327" s="25">
        <v>237.18411870002745</v>
      </c>
      <c r="C327" s="25">
        <v>42.001669700000434</v>
      </c>
      <c r="D327" s="25">
        <v>19.567400000000003</v>
      </c>
      <c r="E327" s="6">
        <f t="shared" si="103"/>
        <v>298.75318840002791</v>
      </c>
      <c r="F327">
        <f t="shared" si="121"/>
        <v>0</v>
      </c>
      <c r="G327" s="5">
        <f t="shared" si="110"/>
        <v>44141</v>
      </c>
      <c r="H327" s="25">
        <v>189.11502799999715</v>
      </c>
      <c r="I327" s="25">
        <v>49.679713500000538</v>
      </c>
      <c r="J327" s="25">
        <v>22.4909</v>
      </c>
      <c r="K327" s="6">
        <f t="shared" si="104"/>
        <v>261.28564149999767</v>
      </c>
      <c r="L327">
        <f t="shared" si="122"/>
        <v>0</v>
      </c>
      <c r="M327" s="5">
        <f t="shared" si="111"/>
        <v>44507</v>
      </c>
      <c r="N327" s="25">
        <v>204.87828519999982</v>
      </c>
      <c r="O327" s="25">
        <v>43.336226500004528</v>
      </c>
      <c r="P327" s="25">
        <v>17.965224900002649</v>
      </c>
      <c r="Q327" s="6">
        <f t="shared" si="102"/>
        <v>266.179736600007</v>
      </c>
      <c r="R327">
        <f t="shared" si="116"/>
        <v>0</v>
      </c>
      <c r="S327" s="5">
        <f t="shared" si="112"/>
        <v>44872</v>
      </c>
      <c r="T327" s="25">
        <v>235.85462619996071</v>
      </c>
      <c r="U327" s="25">
        <v>54.313902099996803</v>
      </c>
      <c r="V327" s="25">
        <v>23.915452699998394</v>
      </c>
      <c r="W327" s="6">
        <f t="shared" si="105"/>
        <v>314.08398099995594</v>
      </c>
      <c r="X327">
        <f t="shared" si="117"/>
        <v>0</v>
      </c>
      <c r="Z327" s="5">
        <f t="shared" si="113"/>
        <v>44872</v>
      </c>
      <c r="AA327" s="25"/>
      <c r="AB327" s="25"/>
      <c r="AC327" s="25"/>
      <c r="AD327" s="6">
        <f t="shared" si="106"/>
        <v>0</v>
      </c>
      <c r="AE327">
        <f t="shared" si="118"/>
        <v>0</v>
      </c>
      <c r="AF327" s="5">
        <f t="shared" si="114"/>
        <v>45602</v>
      </c>
      <c r="AG327" s="25"/>
      <c r="AH327" s="25"/>
      <c r="AI327" s="25"/>
      <c r="AJ327" s="6">
        <f t="shared" si="107"/>
        <v>0</v>
      </c>
      <c r="AK327">
        <f t="shared" si="119"/>
        <v>0</v>
      </c>
      <c r="AL327" s="5">
        <f t="shared" si="115"/>
        <v>45968</v>
      </c>
      <c r="AM327" s="25"/>
      <c r="AN327" s="25"/>
      <c r="AO327" s="25"/>
      <c r="AP327" s="6">
        <f t="shared" si="108"/>
        <v>0</v>
      </c>
      <c r="AQ327">
        <f t="shared" si="120"/>
        <v>0</v>
      </c>
    </row>
    <row r="328" spans="1:43" x14ac:dyDescent="0.3">
      <c r="A328" s="5">
        <f t="shared" si="109"/>
        <v>43777</v>
      </c>
      <c r="B328" s="25">
        <v>237.73150209999085</v>
      </c>
      <c r="C328" s="25">
        <v>42.40747529999912</v>
      </c>
      <c r="D328" s="25">
        <v>19.435800000000004</v>
      </c>
      <c r="E328" s="6">
        <f t="shared" si="103"/>
        <v>299.57477739999001</v>
      </c>
      <c r="F328">
        <f t="shared" si="121"/>
        <v>0</v>
      </c>
      <c r="G328" s="5">
        <f t="shared" si="110"/>
        <v>44142</v>
      </c>
      <c r="H328" s="25">
        <v>167.9329184000492</v>
      </c>
      <c r="I328" s="25">
        <v>47.632507200002671</v>
      </c>
      <c r="J328" s="25">
        <v>22.151299999999999</v>
      </c>
      <c r="K328" s="6">
        <f t="shared" si="104"/>
        <v>237.71672560005186</v>
      </c>
      <c r="L328">
        <f t="shared" si="122"/>
        <v>0</v>
      </c>
      <c r="M328" s="5">
        <f t="shared" si="111"/>
        <v>44508</v>
      </c>
      <c r="N328" s="25">
        <v>229.30914300000669</v>
      </c>
      <c r="O328" s="25">
        <v>53.90989419999719</v>
      </c>
      <c r="P328" s="25">
        <v>21.011732799999649</v>
      </c>
      <c r="Q328" s="6">
        <f t="shared" si="102"/>
        <v>304.23077000000353</v>
      </c>
      <c r="R328">
        <f t="shared" si="116"/>
        <v>0</v>
      </c>
      <c r="S328" s="5">
        <f t="shared" si="112"/>
        <v>44873</v>
      </c>
      <c r="T328" s="25">
        <v>225.24481550002099</v>
      </c>
      <c r="U328" s="25">
        <v>54.274972900003192</v>
      </c>
      <c r="V328" s="25">
        <v>24.379008899997455</v>
      </c>
      <c r="W328" s="6">
        <f t="shared" si="105"/>
        <v>303.89879730002167</v>
      </c>
      <c r="X328">
        <f t="shared" si="117"/>
        <v>0</v>
      </c>
      <c r="Z328" s="5">
        <f t="shared" si="113"/>
        <v>44873</v>
      </c>
      <c r="AA328" s="25"/>
      <c r="AB328" s="25"/>
      <c r="AC328" s="25"/>
      <c r="AD328" s="6">
        <f t="shared" si="106"/>
        <v>0</v>
      </c>
      <c r="AE328">
        <f t="shared" si="118"/>
        <v>0</v>
      </c>
      <c r="AF328" s="5">
        <f t="shared" si="114"/>
        <v>45603</v>
      </c>
      <c r="AG328" s="25"/>
      <c r="AH328" s="25"/>
      <c r="AI328" s="25"/>
      <c r="AJ328" s="6">
        <f t="shared" si="107"/>
        <v>0</v>
      </c>
      <c r="AK328">
        <f t="shared" si="119"/>
        <v>0</v>
      </c>
      <c r="AL328" s="5">
        <f t="shared" si="115"/>
        <v>45969</v>
      </c>
      <c r="AM328" s="25"/>
      <c r="AN328" s="25"/>
      <c r="AO328" s="25"/>
      <c r="AP328" s="6">
        <f t="shared" si="108"/>
        <v>0</v>
      </c>
      <c r="AQ328">
        <f t="shared" si="120"/>
        <v>0</v>
      </c>
    </row>
    <row r="329" spans="1:43" x14ac:dyDescent="0.3">
      <c r="A329" s="5">
        <f t="shared" si="109"/>
        <v>43778</v>
      </c>
      <c r="B329" s="25">
        <v>220.6940518000126</v>
      </c>
      <c r="C329" s="25">
        <v>41.673182399999348</v>
      </c>
      <c r="D329" s="25">
        <v>19.3233</v>
      </c>
      <c r="E329" s="6">
        <f t="shared" si="103"/>
        <v>281.69053420001194</v>
      </c>
      <c r="F329">
        <f t="shared" si="121"/>
        <v>0</v>
      </c>
      <c r="G329" s="5">
        <f t="shared" si="110"/>
        <v>44143</v>
      </c>
      <c r="H329" s="25">
        <v>158.29390909993649</v>
      </c>
      <c r="I329" s="25">
        <v>42.837612899996337</v>
      </c>
      <c r="J329" s="25">
        <v>20.40925</v>
      </c>
      <c r="K329" s="6">
        <f t="shared" si="104"/>
        <v>221.54077199993282</v>
      </c>
      <c r="L329">
        <f t="shared" si="122"/>
        <v>0</v>
      </c>
      <c r="M329" s="5">
        <f t="shared" si="111"/>
        <v>44509</v>
      </c>
      <c r="N329" s="25">
        <v>230.8573978999853</v>
      </c>
      <c r="O329" s="25">
        <v>54.510981100000443</v>
      </c>
      <c r="P329" s="25">
        <v>19.667692900000024</v>
      </c>
      <c r="Q329" s="6">
        <f t="shared" si="102"/>
        <v>305.03607189998576</v>
      </c>
      <c r="R329">
        <f t="shared" si="116"/>
        <v>0</v>
      </c>
      <c r="S329" s="5">
        <f t="shared" si="112"/>
        <v>44874</v>
      </c>
      <c r="T329" s="25">
        <v>248.01957959997654</v>
      </c>
      <c r="U329" s="25">
        <v>54.746486299991609</v>
      </c>
      <c r="V329" s="25">
        <v>24.936571500002874</v>
      </c>
      <c r="W329" s="6">
        <f t="shared" si="105"/>
        <v>327.70263739997102</v>
      </c>
      <c r="X329">
        <f t="shared" si="117"/>
        <v>0</v>
      </c>
      <c r="Z329" s="5">
        <f t="shared" si="113"/>
        <v>44874</v>
      </c>
      <c r="AA329" s="25"/>
      <c r="AB329" s="25"/>
      <c r="AC329" s="25"/>
      <c r="AD329" s="6">
        <f t="shared" si="106"/>
        <v>0</v>
      </c>
      <c r="AE329">
        <f t="shared" si="118"/>
        <v>0</v>
      </c>
      <c r="AF329" s="5">
        <f t="shared" si="114"/>
        <v>45604</v>
      </c>
      <c r="AG329" s="25"/>
      <c r="AH329" s="25"/>
      <c r="AI329" s="25"/>
      <c r="AJ329" s="6">
        <f t="shared" si="107"/>
        <v>0</v>
      </c>
      <c r="AK329">
        <f t="shared" si="119"/>
        <v>0</v>
      </c>
      <c r="AL329" s="5">
        <f t="shared" si="115"/>
        <v>45970</v>
      </c>
      <c r="AM329" s="25"/>
      <c r="AN329" s="25"/>
      <c r="AO329" s="25"/>
      <c r="AP329" s="6">
        <f t="shared" si="108"/>
        <v>0</v>
      </c>
      <c r="AQ329">
        <f t="shared" si="120"/>
        <v>0</v>
      </c>
    </row>
    <row r="330" spans="1:43" x14ac:dyDescent="0.3">
      <c r="A330" s="5">
        <f t="shared" si="109"/>
        <v>43779</v>
      </c>
      <c r="B330" s="25">
        <v>209.74183280003072</v>
      </c>
      <c r="C330" s="25">
        <v>38.882943400003015</v>
      </c>
      <c r="D330" s="25">
        <v>15.634</v>
      </c>
      <c r="E330" s="6">
        <f t="shared" si="103"/>
        <v>264.25877620003376</v>
      </c>
      <c r="F330">
        <f t="shared" si="121"/>
        <v>0</v>
      </c>
      <c r="G330" s="5">
        <f t="shared" si="110"/>
        <v>44144</v>
      </c>
      <c r="H330" s="25">
        <v>197.75759819996358</v>
      </c>
      <c r="I330" s="25">
        <v>51.845495500005782</v>
      </c>
      <c r="J330" s="25">
        <v>21.318000000000001</v>
      </c>
      <c r="K330" s="6">
        <f t="shared" si="104"/>
        <v>270.92109369996933</v>
      </c>
      <c r="L330">
        <f t="shared" si="122"/>
        <v>0</v>
      </c>
      <c r="M330" s="5">
        <f t="shared" si="111"/>
        <v>44510</v>
      </c>
      <c r="N330" s="25">
        <v>221.02985169994832</v>
      </c>
      <c r="O330" s="25">
        <v>54.927183100000022</v>
      </c>
      <c r="P330" s="25">
        <v>13.69626959999802</v>
      </c>
      <c r="Q330" s="6">
        <f t="shared" si="102"/>
        <v>289.65330439994636</v>
      </c>
      <c r="R330">
        <f t="shared" si="116"/>
        <v>0</v>
      </c>
      <c r="S330" s="5">
        <f t="shared" si="112"/>
        <v>44875</v>
      </c>
      <c r="T330" s="25">
        <v>254.62799010002612</v>
      </c>
      <c r="U330" s="25">
        <v>52.540081900000573</v>
      </c>
      <c r="V330" s="25">
        <v>24.563586200000717</v>
      </c>
      <c r="W330" s="6">
        <f t="shared" si="105"/>
        <v>331.73165820002743</v>
      </c>
      <c r="X330">
        <f t="shared" si="117"/>
        <v>0</v>
      </c>
      <c r="Z330" s="5">
        <f t="shared" si="113"/>
        <v>44875</v>
      </c>
      <c r="AA330" s="25"/>
      <c r="AB330" s="25"/>
      <c r="AC330" s="25"/>
      <c r="AD330" s="6">
        <f t="shared" si="106"/>
        <v>0</v>
      </c>
      <c r="AE330">
        <f t="shared" si="118"/>
        <v>0</v>
      </c>
      <c r="AF330" s="5">
        <f t="shared" si="114"/>
        <v>45605</v>
      </c>
      <c r="AG330" s="25"/>
      <c r="AH330" s="25"/>
      <c r="AI330" s="25"/>
      <c r="AJ330" s="6">
        <f t="shared" si="107"/>
        <v>0</v>
      </c>
      <c r="AK330">
        <f t="shared" si="119"/>
        <v>0</v>
      </c>
      <c r="AL330" s="5">
        <f t="shared" si="115"/>
        <v>45971</v>
      </c>
      <c r="AM330" s="25"/>
      <c r="AN330" s="25"/>
      <c r="AO330" s="25"/>
      <c r="AP330" s="6">
        <f t="shared" si="108"/>
        <v>0</v>
      </c>
      <c r="AQ330">
        <f t="shared" si="120"/>
        <v>0</v>
      </c>
    </row>
    <row r="331" spans="1:43" x14ac:dyDescent="0.3">
      <c r="A331" s="5">
        <f t="shared" si="109"/>
        <v>43780</v>
      </c>
      <c r="B331" s="25">
        <v>235.03774869990349</v>
      </c>
      <c r="C331" s="25">
        <v>42.979113699998706</v>
      </c>
      <c r="D331" s="25">
        <v>20.097000000000001</v>
      </c>
      <c r="E331" s="6">
        <f t="shared" si="103"/>
        <v>298.11386239990219</v>
      </c>
      <c r="F331">
        <f t="shared" si="121"/>
        <v>0</v>
      </c>
      <c r="G331" s="5">
        <f t="shared" si="110"/>
        <v>44145</v>
      </c>
      <c r="H331" s="25">
        <v>189.21906900000573</v>
      </c>
      <c r="I331" s="25">
        <v>50.828111899994312</v>
      </c>
      <c r="J331" s="25">
        <v>18.497</v>
      </c>
      <c r="K331" s="6">
        <f t="shared" si="104"/>
        <v>258.54418090000007</v>
      </c>
      <c r="L331">
        <f t="shared" si="122"/>
        <v>0</v>
      </c>
      <c r="M331" s="5">
        <f t="shared" si="111"/>
        <v>44511</v>
      </c>
      <c r="N331" s="25">
        <v>212.7204022001028</v>
      </c>
      <c r="O331" s="25">
        <v>54.294971400000158</v>
      </c>
      <c r="P331" s="25">
        <v>16.817548000001292</v>
      </c>
      <c r="Q331" s="6">
        <f t="shared" si="102"/>
        <v>283.83292160010427</v>
      </c>
      <c r="R331">
        <f t="shared" si="116"/>
        <v>0</v>
      </c>
      <c r="S331" s="5">
        <f t="shared" si="112"/>
        <v>44876</v>
      </c>
      <c r="T331" s="25">
        <v>248.33948699998857</v>
      </c>
      <c r="U331" s="25">
        <v>56.060927599996326</v>
      </c>
      <c r="V331" s="25">
        <v>24.429986899998969</v>
      </c>
      <c r="W331" s="6">
        <f t="shared" si="105"/>
        <v>328.83040149998391</v>
      </c>
      <c r="X331">
        <f t="shared" si="117"/>
        <v>0</v>
      </c>
      <c r="Z331" s="5">
        <f t="shared" si="113"/>
        <v>44876</v>
      </c>
      <c r="AA331" s="25"/>
      <c r="AB331" s="25"/>
      <c r="AC331" s="25"/>
      <c r="AD331" s="6">
        <f t="shared" si="106"/>
        <v>0</v>
      </c>
      <c r="AE331">
        <f t="shared" si="118"/>
        <v>0</v>
      </c>
      <c r="AF331" s="5">
        <f t="shared" si="114"/>
        <v>45606</v>
      </c>
      <c r="AG331" s="25"/>
      <c r="AH331" s="25"/>
      <c r="AI331" s="25"/>
      <c r="AJ331" s="6">
        <f t="shared" si="107"/>
        <v>0</v>
      </c>
      <c r="AK331">
        <f t="shared" si="119"/>
        <v>0</v>
      </c>
      <c r="AL331" s="5">
        <f t="shared" si="115"/>
        <v>45972</v>
      </c>
      <c r="AM331" s="25"/>
      <c r="AN331" s="25"/>
      <c r="AO331" s="25"/>
      <c r="AP331" s="6">
        <f t="shared" si="108"/>
        <v>0</v>
      </c>
      <c r="AQ331">
        <f t="shared" si="120"/>
        <v>0</v>
      </c>
    </row>
    <row r="332" spans="1:43" x14ac:dyDescent="0.3">
      <c r="A332" s="5">
        <f t="shared" si="109"/>
        <v>43781</v>
      </c>
      <c r="B332" s="25">
        <v>235.20656270003317</v>
      </c>
      <c r="C332" s="25">
        <v>44.682235199999063</v>
      </c>
      <c r="D332" s="25">
        <v>19.872</v>
      </c>
      <c r="E332" s="6">
        <f t="shared" si="103"/>
        <v>299.76079790003223</v>
      </c>
      <c r="F332">
        <f t="shared" si="121"/>
        <v>0</v>
      </c>
      <c r="G332" s="5">
        <f t="shared" si="110"/>
        <v>44146</v>
      </c>
      <c r="H332" s="25">
        <v>201.05873170006276</v>
      </c>
      <c r="I332" s="25">
        <v>57.808625700004399</v>
      </c>
      <c r="J332" s="25">
        <v>19.259</v>
      </c>
      <c r="K332" s="6">
        <f t="shared" si="104"/>
        <v>278.12635740006715</v>
      </c>
      <c r="L332">
        <f t="shared" si="122"/>
        <v>0</v>
      </c>
      <c r="M332" s="5">
        <f t="shared" si="111"/>
        <v>44512</v>
      </c>
      <c r="N332" s="25">
        <v>219.74188059997559</v>
      </c>
      <c r="O332" s="25">
        <v>54.993124999999999</v>
      </c>
      <c r="P332" s="25">
        <v>17.095313399999462</v>
      </c>
      <c r="Q332" s="6">
        <f t="shared" si="102"/>
        <v>291.83031899997502</v>
      </c>
      <c r="R332">
        <f t="shared" si="116"/>
        <v>0</v>
      </c>
      <c r="S332" s="5">
        <f t="shared" si="112"/>
        <v>44877</v>
      </c>
      <c r="T332" s="25">
        <v>229.57414670002461</v>
      </c>
      <c r="U332" s="25">
        <v>51.474577200010415</v>
      </c>
      <c r="V332" s="25">
        <v>24.135901500000152</v>
      </c>
      <c r="W332" s="6">
        <f t="shared" si="105"/>
        <v>305.1846254000352</v>
      </c>
      <c r="X332">
        <f t="shared" si="117"/>
        <v>0</v>
      </c>
      <c r="Z332" s="5">
        <f t="shared" si="113"/>
        <v>44877</v>
      </c>
      <c r="AA332" s="25"/>
      <c r="AB332" s="25"/>
      <c r="AC332" s="25"/>
      <c r="AD332" s="6">
        <f t="shared" si="106"/>
        <v>0</v>
      </c>
      <c r="AE332">
        <f t="shared" si="118"/>
        <v>0</v>
      </c>
      <c r="AF332" s="5">
        <f t="shared" si="114"/>
        <v>45607</v>
      </c>
      <c r="AG332" s="25"/>
      <c r="AH332" s="25"/>
      <c r="AI332" s="25"/>
      <c r="AJ332" s="6">
        <f t="shared" si="107"/>
        <v>0</v>
      </c>
      <c r="AK332">
        <f t="shared" si="119"/>
        <v>0</v>
      </c>
      <c r="AL332" s="5">
        <f t="shared" si="115"/>
        <v>45973</v>
      </c>
      <c r="AM332" s="25"/>
      <c r="AN332" s="25"/>
      <c r="AO332" s="25"/>
      <c r="AP332" s="6">
        <f t="shared" si="108"/>
        <v>0</v>
      </c>
      <c r="AQ332">
        <f t="shared" si="120"/>
        <v>0</v>
      </c>
    </row>
    <row r="333" spans="1:43" x14ac:dyDescent="0.3">
      <c r="A333" s="5">
        <f t="shared" si="109"/>
        <v>43782</v>
      </c>
      <c r="B333" s="25">
        <v>226.0391780999899</v>
      </c>
      <c r="C333" s="25">
        <v>45.131615600001069</v>
      </c>
      <c r="D333" s="25">
        <v>18.933</v>
      </c>
      <c r="E333" s="6">
        <f t="shared" si="103"/>
        <v>290.10379369999094</v>
      </c>
      <c r="F333">
        <f t="shared" si="121"/>
        <v>0</v>
      </c>
      <c r="G333" s="5">
        <f t="shared" si="110"/>
        <v>44147</v>
      </c>
      <c r="H333" s="25">
        <v>196.37505359995365</v>
      </c>
      <c r="I333" s="25">
        <v>52.046374399997291</v>
      </c>
      <c r="J333" s="25">
        <v>19.675999999999998</v>
      </c>
      <c r="K333" s="6">
        <f t="shared" si="104"/>
        <v>268.09742799995092</v>
      </c>
      <c r="L333">
        <f t="shared" si="122"/>
        <v>0</v>
      </c>
      <c r="M333" s="5">
        <f t="shared" si="111"/>
        <v>44513</v>
      </c>
      <c r="N333" s="25">
        <v>210.51171089994907</v>
      </c>
      <c r="O333" s="25">
        <v>55.67150680000335</v>
      </c>
      <c r="P333" s="25">
        <v>19.048664900000265</v>
      </c>
      <c r="Q333" s="6">
        <f t="shared" si="102"/>
        <v>285.23188259995271</v>
      </c>
      <c r="R333">
        <f t="shared" si="116"/>
        <v>0</v>
      </c>
      <c r="S333" s="5">
        <f t="shared" si="112"/>
        <v>44878</v>
      </c>
      <c r="T333" s="25">
        <v>207.89672109997272</v>
      </c>
      <c r="U333" s="25">
        <v>44.840255099996924</v>
      </c>
      <c r="V333" s="25">
        <v>19.255756499999201</v>
      </c>
      <c r="W333" s="6">
        <f t="shared" si="105"/>
        <v>271.99273269996888</v>
      </c>
      <c r="X333">
        <f t="shared" si="117"/>
        <v>0</v>
      </c>
      <c r="Z333" s="5">
        <f t="shared" si="113"/>
        <v>44878</v>
      </c>
      <c r="AA333" s="25"/>
      <c r="AB333" s="25"/>
      <c r="AC333" s="25"/>
      <c r="AD333" s="6">
        <f t="shared" si="106"/>
        <v>0</v>
      </c>
      <c r="AE333">
        <f t="shared" si="118"/>
        <v>0</v>
      </c>
      <c r="AF333" s="5">
        <f t="shared" si="114"/>
        <v>45608</v>
      </c>
      <c r="AG333" s="25"/>
      <c r="AH333" s="25"/>
      <c r="AI333" s="25"/>
      <c r="AJ333" s="6">
        <f t="shared" si="107"/>
        <v>0</v>
      </c>
      <c r="AK333">
        <f t="shared" si="119"/>
        <v>0</v>
      </c>
      <c r="AL333" s="5">
        <f t="shared" si="115"/>
        <v>45974</v>
      </c>
      <c r="AM333" s="25"/>
      <c r="AN333" s="25"/>
      <c r="AO333" s="25"/>
      <c r="AP333" s="6">
        <f t="shared" si="108"/>
        <v>0</v>
      </c>
      <c r="AQ333">
        <f t="shared" si="120"/>
        <v>0</v>
      </c>
    </row>
    <row r="334" spans="1:43" x14ac:dyDescent="0.3">
      <c r="A334" s="5">
        <f t="shared" si="109"/>
        <v>43783</v>
      </c>
      <c r="B334" s="25">
        <v>236.95731970000267</v>
      </c>
      <c r="C334" s="25">
        <v>44.596816500000656</v>
      </c>
      <c r="D334" s="25">
        <v>19.788</v>
      </c>
      <c r="E334" s="6">
        <f t="shared" si="103"/>
        <v>301.34213620000332</v>
      </c>
      <c r="F334">
        <f t="shared" si="121"/>
        <v>0</v>
      </c>
      <c r="G334" s="5">
        <f t="shared" si="110"/>
        <v>44148</v>
      </c>
      <c r="H334" s="25">
        <v>190.96843589997292</v>
      </c>
      <c r="I334" s="25">
        <v>50.009605099998417</v>
      </c>
      <c r="J334" s="25">
        <v>19.286999999999999</v>
      </c>
      <c r="K334" s="6">
        <f t="shared" si="104"/>
        <v>260.26504099997135</v>
      </c>
      <c r="L334">
        <f t="shared" si="122"/>
        <v>0</v>
      </c>
      <c r="M334" s="5">
        <f t="shared" si="111"/>
        <v>44514</v>
      </c>
      <c r="N334" s="25">
        <v>176.72394169998168</v>
      </c>
      <c r="O334" s="25">
        <v>46.532737999998034</v>
      </c>
      <c r="P334" s="25">
        <v>19.608115799999446</v>
      </c>
      <c r="Q334" s="6">
        <f t="shared" si="102"/>
        <v>242.86479549997915</v>
      </c>
      <c r="R334">
        <f t="shared" si="116"/>
        <v>0</v>
      </c>
      <c r="S334" s="5">
        <f t="shared" si="112"/>
        <v>44879</v>
      </c>
      <c r="T334" s="25">
        <v>250.41200020003319</v>
      </c>
      <c r="U334" s="25">
        <v>53.621311000004411</v>
      </c>
      <c r="V334" s="25">
        <v>24.482256300002337</v>
      </c>
      <c r="W334" s="6">
        <f t="shared" si="105"/>
        <v>328.51556750003994</v>
      </c>
      <c r="X334">
        <f t="shared" si="117"/>
        <v>0</v>
      </c>
      <c r="Z334" s="5">
        <f t="shared" si="113"/>
        <v>44879</v>
      </c>
      <c r="AA334" s="25"/>
      <c r="AB334" s="25"/>
      <c r="AC334" s="25"/>
      <c r="AD334" s="6">
        <f t="shared" si="106"/>
        <v>0</v>
      </c>
      <c r="AE334">
        <f t="shared" si="118"/>
        <v>0</v>
      </c>
      <c r="AF334" s="5">
        <f t="shared" si="114"/>
        <v>45609</v>
      </c>
      <c r="AG334" s="25"/>
      <c r="AH334" s="25"/>
      <c r="AI334" s="25"/>
      <c r="AJ334" s="6">
        <f t="shared" si="107"/>
        <v>0</v>
      </c>
      <c r="AK334">
        <f t="shared" si="119"/>
        <v>0</v>
      </c>
      <c r="AL334" s="5">
        <f t="shared" si="115"/>
        <v>45975</v>
      </c>
      <c r="AM334" s="25"/>
      <c r="AN334" s="25"/>
      <c r="AO334" s="25"/>
      <c r="AP334" s="6">
        <f t="shared" si="108"/>
        <v>0</v>
      </c>
      <c r="AQ334">
        <f t="shared" si="120"/>
        <v>0</v>
      </c>
    </row>
    <row r="335" spans="1:43" x14ac:dyDescent="0.3">
      <c r="A335" s="5">
        <f t="shared" si="109"/>
        <v>43784</v>
      </c>
      <c r="B335" s="25">
        <v>235.3527894999981</v>
      </c>
      <c r="C335" s="25">
        <v>45.388163799997422</v>
      </c>
      <c r="D335" s="25">
        <v>20.599</v>
      </c>
      <c r="E335" s="6">
        <f t="shared" si="103"/>
        <v>301.3399532999955</v>
      </c>
      <c r="F335">
        <f t="shared" si="121"/>
        <v>0</v>
      </c>
      <c r="G335" s="5">
        <f t="shared" si="110"/>
        <v>44149</v>
      </c>
      <c r="H335" s="25">
        <v>165.14884510004521</v>
      </c>
      <c r="I335" s="25">
        <v>45.708322700001297</v>
      </c>
      <c r="J335" s="25">
        <v>21.158000000000001</v>
      </c>
      <c r="K335" s="6">
        <f t="shared" si="104"/>
        <v>232.01516780004653</v>
      </c>
      <c r="L335">
        <f t="shared" si="122"/>
        <v>0</v>
      </c>
      <c r="M335" s="5">
        <f t="shared" si="111"/>
        <v>44515</v>
      </c>
      <c r="N335" s="25">
        <v>208.70738789999484</v>
      </c>
      <c r="O335" s="25">
        <v>54.010131200000643</v>
      </c>
      <c r="P335" s="25">
        <v>20.735554600000555</v>
      </c>
      <c r="Q335" s="6">
        <f t="shared" si="102"/>
        <v>283.45307369999603</v>
      </c>
      <c r="R335">
        <f t="shared" si="116"/>
        <v>0</v>
      </c>
      <c r="S335" s="5">
        <f t="shared" si="112"/>
        <v>44880</v>
      </c>
      <c r="T335" s="25">
        <v>222.79424679994582</v>
      </c>
      <c r="U335" s="25">
        <v>53.354715999990702</v>
      </c>
      <c r="V335" s="25">
        <v>24.435553499999457</v>
      </c>
      <c r="W335" s="6">
        <f t="shared" si="105"/>
        <v>300.58451629993596</v>
      </c>
      <c r="X335">
        <f t="shared" si="117"/>
        <v>0</v>
      </c>
      <c r="Z335" s="5">
        <f t="shared" si="113"/>
        <v>44880</v>
      </c>
      <c r="AA335" s="25"/>
      <c r="AB335" s="25"/>
      <c r="AC335" s="25"/>
      <c r="AD335" s="6">
        <f t="shared" si="106"/>
        <v>0</v>
      </c>
      <c r="AE335">
        <f t="shared" si="118"/>
        <v>0</v>
      </c>
      <c r="AF335" s="5">
        <f t="shared" si="114"/>
        <v>45610</v>
      </c>
      <c r="AG335" s="25"/>
      <c r="AH335" s="25"/>
      <c r="AI335" s="25"/>
      <c r="AJ335" s="6">
        <f t="shared" si="107"/>
        <v>0</v>
      </c>
      <c r="AK335">
        <f t="shared" si="119"/>
        <v>0</v>
      </c>
      <c r="AL335" s="5">
        <f t="shared" si="115"/>
        <v>45976</v>
      </c>
      <c r="AM335" s="25"/>
      <c r="AN335" s="25"/>
      <c r="AO335" s="25"/>
      <c r="AP335" s="6">
        <f t="shared" si="108"/>
        <v>0</v>
      </c>
      <c r="AQ335">
        <f t="shared" si="120"/>
        <v>0</v>
      </c>
    </row>
    <row r="336" spans="1:43" x14ac:dyDescent="0.3">
      <c r="A336" s="5">
        <f t="shared" si="109"/>
        <v>43785</v>
      </c>
      <c r="B336" s="25">
        <v>200.95777530002593</v>
      </c>
      <c r="C336" s="25">
        <v>42.422643100000919</v>
      </c>
      <c r="D336" s="25">
        <v>20.439</v>
      </c>
      <c r="E336" s="6">
        <f t="shared" si="103"/>
        <v>263.81941840002685</v>
      </c>
      <c r="F336">
        <f t="shared" si="121"/>
        <v>0</v>
      </c>
      <c r="G336" s="5">
        <f t="shared" si="110"/>
        <v>44150</v>
      </c>
      <c r="H336" s="25">
        <v>147.72089250004291</v>
      </c>
      <c r="I336" s="25">
        <v>38.896873700000349</v>
      </c>
      <c r="J336" s="25">
        <v>19.73</v>
      </c>
      <c r="K336" s="6">
        <f t="shared" si="104"/>
        <v>206.34776620004325</v>
      </c>
      <c r="L336">
        <f t="shared" si="122"/>
        <v>0</v>
      </c>
      <c r="M336" s="5">
        <f t="shared" si="111"/>
        <v>44516</v>
      </c>
      <c r="N336" s="25">
        <v>218.73286670005322</v>
      </c>
      <c r="O336" s="25">
        <v>55.492089899994433</v>
      </c>
      <c r="P336" s="25">
        <v>20.187020300001954</v>
      </c>
      <c r="Q336" s="6">
        <f t="shared" si="102"/>
        <v>294.41197690004964</v>
      </c>
      <c r="R336">
        <f t="shared" si="116"/>
        <v>0</v>
      </c>
      <c r="S336" s="5">
        <f t="shared" si="112"/>
        <v>44881</v>
      </c>
      <c r="T336" s="25">
        <v>236.95654449999333</v>
      </c>
      <c r="U336" s="25">
        <v>53.452897200003264</v>
      </c>
      <c r="V336" s="25">
        <v>24.978840099998749</v>
      </c>
      <c r="W336" s="6">
        <f t="shared" si="105"/>
        <v>315.38828179999535</v>
      </c>
      <c r="X336">
        <f t="shared" si="117"/>
        <v>0</v>
      </c>
      <c r="Z336" s="5">
        <f t="shared" si="113"/>
        <v>44881</v>
      </c>
      <c r="AA336" s="25"/>
      <c r="AB336" s="25"/>
      <c r="AC336" s="25"/>
      <c r="AD336" s="6">
        <f t="shared" si="106"/>
        <v>0</v>
      </c>
      <c r="AE336">
        <f t="shared" si="118"/>
        <v>0</v>
      </c>
      <c r="AF336" s="5">
        <f t="shared" si="114"/>
        <v>45611</v>
      </c>
      <c r="AG336" s="25"/>
      <c r="AH336" s="25"/>
      <c r="AI336" s="25"/>
      <c r="AJ336" s="6">
        <f t="shared" si="107"/>
        <v>0</v>
      </c>
      <c r="AK336">
        <f t="shared" si="119"/>
        <v>0</v>
      </c>
      <c r="AL336" s="5">
        <f t="shared" si="115"/>
        <v>45977</v>
      </c>
      <c r="AM336" s="25"/>
      <c r="AN336" s="25"/>
      <c r="AO336" s="25"/>
      <c r="AP336" s="6">
        <f t="shared" si="108"/>
        <v>0</v>
      </c>
      <c r="AQ336">
        <f t="shared" si="120"/>
        <v>0</v>
      </c>
    </row>
    <row r="337" spans="1:43" x14ac:dyDescent="0.3">
      <c r="A337" s="5">
        <f t="shared" si="109"/>
        <v>43786</v>
      </c>
      <c r="B337" s="25">
        <v>187.73260950005056</v>
      </c>
      <c r="C337" s="25">
        <v>37.416175400000064</v>
      </c>
      <c r="D337" s="25">
        <v>17.414000000000001</v>
      </c>
      <c r="E337" s="6">
        <f t="shared" si="103"/>
        <v>242.56278490005064</v>
      </c>
      <c r="F337">
        <f t="shared" si="121"/>
        <v>0</v>
      </c>
      <c r="G337" s="5">
        <f t="shared" si="110"/>
        <v>44151</v>
      </c>
      <c r="H337" s="25">
        <v>178.89358949995042</v>
      </c>
      <c r="I337" s="25">
        <v>46.538282700002192</v>
      </c>
      <c r="J337" s="25">
        <v>20.177</v>
      </c>
      <c r="K337" s="6">
        <f t="shared" si="104"/>
        <v>245.6088721999526</v>
      </c>
      <c r="L337">
        <f t="shared" si="122"/>
        <v>0</v>
      </c>
      <c r="M337" s="5">
        <f t="shared" si="111"/>
        <v>44517</v>
      </c>
      <c r="N337" s="25">
        <v>195.19849109995366</v>
      </c>
      <c r="O337" s="25">
        <v>52.686409200005237</v>
      </c>
      <c r="P337" s="25">
        <v>18.932823099996895</v>
      </c>
      <c r="Q337" s="6">
        <f t="shared" ref="Q337:Q381" si="123">SUM(N337:P337)</f>
        <v>266.81772339995581</v>
      </c>
      <c r="R337">
        <f t="shared" si="116"/>
        <v>0</v>
      </c>
      <c r="S337" s="5">
        <f t="shared" si="112"/>
        <v>44882</v>
      </c>
      <c r="T337" s="25">
        <v>220.65549060010909</v>
      </c>
      <c r="U337" s="25">
        <v>52.693817900002003</v>
      </c>
      <c r="V337" s="25">
        <v>24.925214599998668</v>
      </c>
      <c r="W337" s="6">
        <f t="shared" si="105"/>
        <v>298.27452310010972</v>
      </c>
      <c r="X337">
        <f t="shared" si="117"/>
        <v>0</v>
      </c>
      <c r="Z337" s="5">
        <f t="shared" si="113"/>
        <v>44882</v>
      </c>
      <c r="AA337" s="25"/>
      <c r="AB337" s="25"/>
      <c r="AC337" s="25"/>
      <c r="AD337" s="6">
        <f t="shared" si="106"/>
        <v>0</v>
      </c>
      <c r="AE337">
        <f t="shared" si="118"/>
        <v>0</v>
      </c>
      <c r="AF337" s="5">
        <f t="shared" si="114"/>
        <v>45612</v>
      </c>
      <c r="AG337" s="25"/>
      <c r="AH337" s="25"/>
      <c r="AI337" s="25"/>
      <c r="AJ337" s="6">
        <f t="shared" si="107"/>
        <v>0</v>
      </c>
      <c r="AK337">
        <f t="shared" si="119"/>
        <v>0</v>
      </c>
      <c r="AL337" s="5">
        <f t="shared" si="115"/>
        <v>45978</v>
      </c>
      <c r="AM337" s="25"/>
      <c r="AN337" s="25"/>
      <c r="AO337" s="25"/>
      <c r="AP337" s="6">
        <f t="shared" si="108"/>
        <v>0</v>
      </c>
      <c r="AQ337">
        <f t="shared" si="120"/>
        <v>0</v>
      </c>
    </row>
    <row r="338" spans="1:43" x14ac:dyDescent="0.3">
      <c r="A338" s="5">
        <f t="shared" si="109"/>
        <v>43787</v>
      </c>
      <c r="B338" s="25">
        <v>226.11697339999677</v>
      </c>
      <c r="C338" s="25">
        <v>40.882225299999121</v>
      </c>
      <c r="D338" s="25">
        <v>20.326000000000001</v>
      </c>
      <c r="E338" s="6">
        <f t="shared" ref="E338:E381" si="124">SUM(B338:D338)</f>
        <v>287.32519869999589</v>
      </c>
      <c r="F338">
        <f t="shared" si="121"/>
        <v>0</v>
      </c>
      <c r="G338" s="5">
        <f t="shared" si="110"/>
        <v>44152</v>
      </c>
      <c r="H338" s="25">
        <v>174.21305939996242</v>
      </c>
      <c r="I338" s="25">
        <v>49.877246500000361</v>
      </c>
      <c r="J338" s="25">
        <v>20.440000000000001</v>
      </c>
      <c r="K338" s="6">
        <f t="shared" ref="K338:K381" si="125">SUM(H338:J338)</f>
        <v>244.53030589996277</v>
      </c>
      <c r="L338">
        <f t="shared" si="122"/>
        <v>0</v>
      </c>
      <c r="M338" s="5">
        <f t="shared" si="111"/>
        <v>44518</v>
      </c>
      <c r="N338" s="25">
        <v>205.59355210006237</v>
      </c>
      <c r="O338" s="25">
        <v>51.084996599994597</v>
      </c>
      <c r="P338" s="25">
        <v>17.33238810000196</v>
      </c>
      <c r="Q338" s="6">
        <f t="shared" si="123"/>
        <v>274.01093680005891</v>
      </c>
      <c r="R338">
        <f t="shared" si="116"/>
        <v>0</v>
      </c>
      <c r="S338" s="5">
        <f t="shared" si="112"/>
        <v>44883</v>
      </c>
      <c r="T338" s="25">
        <v>221.21058029997349</v>
      </c>
      <c r="U338" s="25">
        <v>52.546461899995805</v>
      </c>
      <c r="V338" s="25">
        <v>24.352198199999986</v>
      </c>
      <c r="W338" s="6">
        <f t="shared" ref="W338:W382" si="126">SUM(T338:V338)</f>
        <v>298.10924039996928</v>
      </c>
      <c r="X338">
        <f t="shared" si="117"/>
        <v>0</v>
      </c>
      <c r="Z338" s="5">
        <f t="shared" si="113"/>
        <v>44883</v>
      </c>
      <c r="AA338" s="25"/>
      <c r="AB338" s="25"/>
      <c r="AC338" s="25"/>
      <c r="AD338" s="6">
        <f t="shared" ref="AD338:AD382" si="127">SUM(AA338:AC338)</f>
        <v>0</v>
      </c>
      <c r="AE338">
        <f t="shared" si="118"/>
        <v>0</v>
      </c>
      <c r="AF338" s="5">
        <f t="shared" si="114"/>
        <v>45613</v>
      </c>
      <c r="AG338" s="25"/>
      <c r="AH338" s="25"/>
      <c r="AI338" s="25"/>
      <c r="AJ338" s="6">
        <f t="shared" ref="AJ338:AJ381" si="128">SUM(AG338:AI338)</f>
        <v>0</v>
      </c>
      <c r="AK338">
        <f t="shared" si="119"/>
        <v>0</v>
      </c>
      <c r="AL338" s="5">
        <f t="shared" si="115"/>
        <v>45979</v>
      </c>
      <c r="AM338" s="25"/>
      <c r="AN338" s="25"/>
      <c r="AO338" s="25"/>
      <c r="AP338" s="6">
        <f t="shared" ref="AP338:AP382" si="129">SUM(AM338:AO338)</f>
        <v>0</v>
      </c>
      <c r="AQ338">
        <f t="shared" si="120"/>
        <v>0</v>
      </c>
    </row>
    <row r="339" spans="1:43" x14ac:dyDescent="0.3">
      <c r="A339" s="5">
        <f t="shared" ref="A339:A381" si="130">A338+1</f>
        <v>43788</v>
      </c>
      <c r="B339" s="25">
        <v>212.03077899992465</v>
      </c>
      <c r="C339" s="25">
        <v>46.288426600001749</v>
      </c>
      <c r="D339" s="25">
        <v>20.087</v>
      </c>
      <c r="E339" s="6">
        <f t="shared" si="124"/>
        <v>278.40620559992641</v>
      </c>
      <c r="F339">
        <f t="shared" si="121"/>
        <v>0</v>
      </c>
      <c r="G339" s="5">
        <f t="shared" ref="G339:G382" si="131">G338+1</f>
        <v>44153</v>
      </c>
      <c r="H339" s="25">
        <v>191.65449620008468</v>
      </c>
      <c r="I339" s="25">
        <v>50.080918700002137</v>
      </c>
      <c r="J339" s="25">
        <v>19.977</v>
      </c>
      <c r="K339" s="6">
        <f t="shared" si="125"/>
        <v>261.7124149000868</v>
      </c>
      <c r="L339">
        <f t="shared" si="122"/>
        <v>0</v>
      </c>
      <c r="M339" s="5">
        <f t="shared" ref="M339:M381" si="132">M338+1</f>
        <v>44519</v>
      </c>
      <c r="N339" s="25">
        <v>199.5899987000227</v>
      </c>
      <c r="O339" s="25">
        <v>51.587993200004099</v>
      </c>
      <c r="P339" s="25">
        <v>17.055165100000043</v>
      </c>
      <c r="Q339" s="6">
        <f t="shared" si="123"/>
        <v>268.23315700002684</v>
      </c>
      <c r="R339">
        <f t="shared" si="116"/>
        <v>0</v>
      </c>
      <c r="S339" s="5">
        <f t="shared" ref="S339:S381" si="133">S338+1</f>
        <v>44884</v>
      </c>
      <c r="T339" s="25">
        <v>188.66855089998245</v>
      </c>
      <c r="U339" s="25">
        <v>50.493366099998354</v>
      </c>
      <c r="V339" s="25">
        <v>24.458312200001906</v>
      </c>
      <c r="W339" s="6">
        <f t="shared" si="126"/>
        <v>263.6202291999827</v>
      </c>
      <c r="X339">
        <f t="shared" si="117"/>
        <v>0</v>
      </c>
      <c r="Z339" s="5">
        <f t="shared" ref="Z339:Z381" si="134">Z338+1</f>
        <v>44884</v>
      </c>
      <c r="AA339" s="25"/>
      <c r="AB339" s="25"/>
      <c r="AC339" s="25"/>
      <c r="AD339" s="6">
        <f t="shared" si="127"/>
        <v>0</v>
      </c>
      <c r="AE339">
        <f t="shared" si="118"/>
        <v>0</v>
      </c>
      <c r="AF339" s="5">
        <f t="shared" ref="AF339:AF382" si="135">AF338+1</f>
        <v>45614</v>
      </c>
      <c r="AG339" s="25"/>
      <c r="AH339" s="25"/>
      <c r="AI339" s="25"/>
      <c r="AJ339" s="6">
        <f t="shared" si="128"/>
        <v>0</v>
      </c>
      <c r="AK339">
        <f t="shared" si="119"/>
        <v>0</v>
      </c>
      <c r="AL339" s="5">
        <f t="shared" ref="AL339:AL381" si="136">AL338+1</f>
        <v>45980</v>
      </c>
      <c r="AM339" s="25"/>
      <c r="AN339" s="25"/>
      <c r="AO339" s="25"/>
      <c r="AP339" s="6">
        <f t="shared" si="129"/>
        <v>0</v>
      </c>
      <c r="AQ339">
        <f t="shared" si="120"/>
        <v>0</v>
      </c>
    </row>
    <row r="340" spans="1:43" x14ac:dyDescent="0.3">
      <c r="A340" s="5">
        <f t="shared" si="130"/>
        <v>43789</v>
      </c>
      <c r="B340" s="25">
        <v>208.079608700037</v>
      </c>
      <c r="C340" s="25">
        <v>44.356320900000632</v>
      </c>
      <c r="D340" s="25">
        <v>20.192</v>
      </c>
      <c r="E340" s="6">
        <f t="shared" si="124"/>
        <v>272.62792960003765</v>
      </c>
      <c r="F340">
        <f t="shared" si="121"/>
        <v>0</v>
      </c>
      <c r="G340" s="5">
        <f t="shared" si="131"/>
        <v>44154</v>
      </c>
      <c r="H340" s="25">
        <v>180.99279279994965</v>
      </c>
      <c r="I340" s="25">
        <v>49.294377399995923</v>
      </c>
      <c r="J340" s="25">
        <v>21.102</v>
      </c>
      <c r="K340" s="6">
        <f t="shared" si="125"/>
        <v>251.3891701999456</v>
      </c>
      <c r="L340">
        <f t="shared" si="122"/>
        <v>0</v>
      </c>
      <c r="M340" s="5">
        <f t="shared" si="132"/>
        <v>44520</v>
      </c>
      <c r="N340" s="25">
        <v>166.79636219990255</v>
      </c>
      <c r="O340" s="25">
        <v>52.370477700002489</v>
      </c>
      <c r="P340" s="25">
        <v>16.591141199998557</v>
      </c>
      <c r="Q340" s="6">
        <f t="shared" si="123"/>
        <v>235.75798109990359</v>
      </c>
      <c r="R340">
        <f t="shared" si="116"/>
        <v>0</v>
      </c>
      <c r="S340" s="5">
        <f t="shared" si="133"/>
        <v>44885</v>
      </c>
      <c r="T340" s="25">
        <v>176.23593980002403</v>
      </c>
      <c r="U340" s="25">
        <v>43.753890900000933</v>
      </c>
      <c r="V340" s="25">
        <v>17.198598799997477</v>
      </c>
      <c r="W340" s="6">
        <f t="shared" si="126"/>
        <v>237.18842950002244</v>
      </c>
      <c r="X340">
        <f t="shared" si="117"/>
        <v>0</v>
      </c>
      <c r="Z340" s="5">
        <f t="shared" si="134"/>
        <v>44885</v>
      </c>
      <c r="AA340" s="25"/>
      <c r="AB340" s="25"/>
      <c r="AC340" s="25"/>
      <c r="AD340" s="6">
        <f t="shared" si="127"/>
        <v>0</v>
      </c>
      <c r="AE340">
        <f t="shared" si="118"/>
        <v>0</v>
      </c>
      <c r="AF340" s="5">
        <f t="shared" si="135"/>
        <v>45615</v>
      </c>
      <c r="AG340" s="25"/>
      <c r="AH340" s="25"/>
      <c r="AI340" s="25"/>
      <c r="AJ340" s="6">
        <f t="shared" si="128"/>
        <v>0</v>
      </c>
      <c r="AK340">
        <f t="shared" si="119"/>
        <v>0</v>
      </c>
      <c r="AL340" s="5">
        <f t="shared" si="136"/>
        <v>45981</v>
      </c>
      <c r="AM340" s="25"/>
      <c r="AN340" s="25"/>
      <c r="AO340" s="25"/>
      <c r="AP340" s="6">
        <f t="shared" si="129"/>
        <v>0</v>
      </c>
      <c r="AQ340">
        <f t="shared" si="120"/>
        <v>0</v>
      </c>
    </row>
    <row r="341" spans="1:43" x14ac:dyDescent="0.3">
      <c r="A341" s="5">
        <f t="shared" si="130"/>
        <v>43790</v>
      </c>
      <c r="B341" s="25">
        <v>207.10489590001106</v>
      </c>
      <c r="C341" s="25">
        <v>44.074604499999431</v>
      </c>
      <c r="D341" s="25">
        <v>20.343</v>
      </c>
      <c r="E341" s="6">
        <f t="shared" si="124"/>
        <v>271.52250040001047</v>
      </c>
      <c r="F341">
        <f t="shared" si="121"/>
        <v>0</v>
      </c>
      <c r="G341" s="5">
        <f t="shared" si="131"/>
        <v>44155</v>
      </c>
      <c r="H341" s="25">
        <v>197.46205620002746</v>
      </c>
      <c r="I341" s="25">
        <v>50.265722999997436</v>
      </c>
      <c r="J341" s="25">
        <v>21.076000000000001</v>
      </c>
      <c r="K341" s="6">
        <f t="shared" si="125"/>
        <v>268.80377920002491</v>
      </c>
      <c r="L341">
        <f t="shared" si="122"/>
        <v>0</v>
      </c>
      <c r="M341" s="5">
        <f t="shared" si="132"/>
        <v>44521</v>
      </c>
      <c r="N341" s="25">
        <v>167.44462010002135</v>
      </c>
      <c r="O341" s="25">
        <v>43.914324499994514</v>
      </c>
      <c r="P341" s="25">
        <v>15.919739300002577</v>
      </c>
      <c r="Q341" s="6">
        <f t="shared" si="123"/>
        <v>227.27868390001845</v>
      </c>
      <c r="R341">
        <f t="shared" si="116"/>
        <v>0</v>
      </c>
      <c r="S341" s="5">
        <f t="shared" si="133"/>
        <v>44886</v>
      </c>
      <c r="T341" s="25">
        <v>246.35590399992466</v>
      </c>
      <c r="U341" s="25">
        <v>53.795422499999404</v>
      </c>
      <c r="V341" s="25">
        <v>24.004924300000535</v>
      </c>
      <c r="W341" s="6">
        <f t="shared" si="126"/>
        <v>324.15625079992458</v>
      </c>
      <c r="X341">
        <f t="shared" si="117"/>
        <v>0</v>
      </c>
      <c r="Z341" s="5">
        <f t="shared" si="134"/>
        <v>44886</v>
      </c>
      <c r="AA341" s="25"/>
      <c r="AB341" s="25"/>
      <c r="AC341" s="25"/>
      <c r="AD341" s="6">
        <f t="shared" si="127"/>
        <v>0</v>
      </c>
      <c r="AE341">
        <f t="shared" si="118"/>
        <v>0</v>
      </c>
      <c r="AF341" s="5">
        <f t="shared" si="135"/>
        <v>45616</v>
      </c>
      <c r="AG341" s="25"/>
      <c r="AH341" s="25"/>
      <c r="AI341" s="25"/>
      <c r="AJ341" s="6">
        <f t="shared" si="128"/>
        <v>0</v>
      </c>
      <c r="AK341">
        <f t="shared" si="119"/>
        <v>0</v>
      </c>
      <c r="AL341" s="5">
        <f t="shared" si="136"/>
        <v>45982</v>
      </c>
      <c r="AM341" s="25"/>
      <c r="AN341" s="25"/>
      <c r="AO341" s="25"/>
      <c r="AP341" s="6">
        <f t="shared" si="129"/>
        <v>0</v>
      </c>
      <c r="AQ341">
        <f t="shared" si="120"/>
        <v>0</v>
      </c>
    </row>
    <row r="342" spans="1:43" x14ac:dyDescent="0.3">
      <c r="A342" s="5">
        <f t="shared" si="130"/>
        <v>43791</v>
      </c>
      <c r="B342" s="25">
        <v>206.13808640003205</v>
      </c>
      <c r="C342" s="25">
        <v>43.376197200000284</v>
      </c>
      <c r="D342" s="25">
        <v>20.54</v>
      </c>
      <c r="E342" s="6">
        <f t="shared" si="124"/>
        <v>270.05428360003236</v>
      </c>
      <c r="F342">
        <f t="shared" si="121"/>
        <v>0</v>
      </c>
      <c r="G342" s="5">
        <f t="shared" si="131"/>
        <v>44156</v>
      </c>
      <c r="H342" s="25">
        <v>197.54226339995861</v>
      </c>
      <c r="I342" s="25">
        <v>47.656868500001728</v>
      </c>
      <c r="J342" s="25">
        <v>20.314</v>
      </c>
      <c r="K342" s="6">
        <f t="shared" si="125"/>
        <v>265.51313189996034</v>
      </c>
      <c r="L342">
        <f t="shared" si="122"/>
        <v>0</v>
      </c>
      <c r="M342" s="5">
        <f t="shared" si="132"/>
        <v>44522</v>
      </c>
      <c r="N342" s="25">
        <v>219.51717379999161</v>
      </c>
      <c r="O342" s="25">
        <v>51.226979500003161</v>
      </c>
      <c r="P342" s="30">
        <v>17.44612379999808</v>
      </c>
      <c r="Q342" s="6">
        <f t="shared" si="123"/>
        <v>288.19027709999284</v>
      </c>
      <c r="R342">
        <f t="shared" si="116"/>
        <v>0</v>
      </c>
      <c r="S342" s="5">
        <f t="shared" si="133"/>
        <v>44887</v>
      </c>
      <c r="T342" s="25">
        <v>234.41617449998856</v>
      </c>
      <c r="U342" s="25">
        <v>52.016684200003745</v>
      </c>
      <c r="V342" s="30">
        <v>23.21981820000196</v>
      </c>
      <c r="W342" s="6">
        <f t="shared" si="126"/>
        <v>309.65267689999428</v>
      </c>
      <c r="X342">
        <f t="shared" si="117"/>
        <v>0</v>
      </c>
      <c r="Z342" s="5">
        <f t="shared" si="134"/>
        <v>44887</v>
      </c>
      <c r="AA342" s="25"/>
      <c r="AB342" s="25"/>
      <c r="AC342" s="30"/>
      <c r="AD342" s="6">
        <f t="shared" si="127"/>
        <v>0</v>
      </c>
      <c r="AE342">
        <f t="shared" si="118"/>
        <v>0</v>
      </c>
      <c r="AF342" s="5">
        <f t="shared" si="135"/>
        <v>45617</v>
      </c>
      <c r="AG342" s="25"/>
      <c r="AH342" s="25"/>
      <c r="AI342" s="30"/>
      <c r="AJ342" s="6">
        <f t="shared" si="128"/>
        <v>0</v>
      </c>
      <c r="AK342">
        <f t="shared" si="119"/>
        <v>0</v>
      </c>
      <c r="AL342" s="5">
        <f t="shared" si="136"/>
        <v>45983</v>
      </c>
      <c r="AM342" s="25"/>
      <c r="AN342" s="25"/>
      <c r="AO342" s="30"/>
      <c r="AP342" s="6">
        <f t="shared" si="129"/>
        <v>0</v>
      </c>
      <c r="AQ342">
        <f t="shared" si="120"/>
        <v>0</v>
      </c>
    </row>
    <row r="343" spans="1:43" x14ac:dyDescent="0.3">
      <c r="A343" s="5">
        <f t="shared" si="130"/>
        <v>43792</v>
      </c>
      <c r="B343" s="30">
        <v>199.80335269999503</v>
      </c>
      <c r="C343" s="30">
        <v>41.275392499998212</v>
      </c>
      <c r="D343" s="30">
        <v>19.128</v>
      </c>
      <c r="E343" s="6">
        <f t="shared" si="124"/>
        <v>260.20674519999324</v>
      </c>
      <c r="F343">
        <f t="shared" si="121"/>
        <v>0</v>
      </c>
      <c r="G343" s="5">
        <f t="shared" si="131"/>
        <v>44157</v>
      </c>
      <c r="H343" s="25">
        <v>175.04659320008756</v>
      </c>
      <c r="I343" s="25">
        <v>39.271861400000752</v>
      </c>
      <c r="J343" s="30">
        <v>17.582000000000001</v>
      </c>
      <c r="K343" s="6">
        <f t="shared" si="125"/>
        <v>231.9004546000883</v>
      </c>
      <c r="L343">
        <f t="shared" si="122"/>
        <v>0</v>
      </c>
      <c r="M343" s="5">
        <f t="shared" si="132"/>
        <v>44523</v>
      </c>
      <c r="N343" s="25">
        <v>240.99597040009499</v>
      </c>
      <c r="O343" s="25">
        <v>53.855940200001001</v>
      </c>
      <c r="P343" s="25">
        <v>17.459208700000367</v>
      </c>
      <c r="Q343" s="6">
        <f t="shared" si="123"/>
        <v>312.31111930009638</v>
      </c>
      <c r="R343">
        <f t="shared" si="116"/>
        <v>0</v>
      </c>
      <c r="S343" s="5">
        <f t="shared" si="133"/>
        <v>44888</v>
      </c>
      <c r="T343" s="25">
        <v>214.91256819999219</v>
      </c>
      <c r="U343" s="25">
        <v>51.030197999998926</v>
      </c>
      <c r="V343" s="25">
        <v>23.077923800000921</v>
      </c>
      <c r="W343" s="6">
        <f t="shared" si="126"/>
        <v>289.02068999999204</v>
      </c>
      <c r="X343">
        <f t="shared" si="117"/>
        <v>0</v>
      </c>
      <c r="Z343" s="5">
        <f t="shared" si="134"/>
        <v>44888</v>
      </c>
      <c r="AA343" s="25"/>
      <c r="AB343" s="25"/>
      <c r="AC343" s="25"/>
      <c r="AD343" s="6">
        <f t="shared" si="127"/>
        <v>0</v>
      </c>
      <c r="AE343">
        <f t="shared" si="118"/>
        <v>0</v>
      </c>
      <c r="AF343" s="5">
        <f t="shared" si="135"/>
        <v>45618</v>
      </c>
      <c r="AG343" s="25"/>
      <c r="AH343" s="25"/>
      <c r="AI343" s="25"/>
      <c r="AJ343" s="6">
        <f t="shared" si="128"/>
        <v>0</v>
      </c>
      <c r="AK343">
        <f t="shared" si="119"/>
        <v>0</v>
      </c>
      <c r="AL343" s="5">
        <f t="shared" si="136"/>
        <v>45984</v>
      </c>
      <c r="AM343" s="25"/>
      <c r="AN343" s="25"/>
      <c r="AO343" s="25"/>
      <c r="AP343" s="6">
        <f t="shared" si="129"/>
        <v>0</v>
      </c>
      <c r="AQ343">
        <f t="shared" si="120"/>
        <v>0</v>
      </c>
    </row>
    <row r="344" spans="1:43" x14ac:dyDescent="0.3">
      <c r="A344" s="5">
        <f t="shared" si="130"/>
        <v>43793</v>
      </c>
      <c r="B344" s="25">
        <v>187.19619069993496</v>
      </c>
      <c r="C344" s="25">
        <v>36.779102900002151</v>
      </c>
      <c r="D344" s="25">
        <v>17.722000000000001</v>
      </c>
      <c r="E344" s="6">
        <f t="shared" si="124"/>
        <v>241.69729359993713</v>
      </c>
      <c r="F344">
        <f t="shared" si="121"/>
        <v>0</v>
      </c>
      <c r="G344" s="5">
        <f t="shared" si="131"/>
        <v>44158</v>
      </c>
      <c r="H344" s="25">
        <v>201.58248139989377</v>
      </c>
      <c r="I344" s="25">
        <v>49.649817699998614</v>
      </c>
      <c r="J344" s="25">
        <v>16.037200000000002</v>
      </c>
      <c r="K344" s="6">
        <f t="shared" si="125"/>
        <v>267.26949909989236</v>
      </c>
      <c r="L344">
        <f t="shared" si="122"/>
        <v>0</v>
      </c>
      <c r="M344" s="5">
        <f t="shared" si="132"/>
        <v>44524</v>
      </c>
      <c r="N344" s="25">
        <v>258.80203009998797</v>
      </c>
      <c r="O344" s="25">
        <v>52.811209799997506</v>
      </c>
      <c r="P344" s="25">
        <v>17.334828599998904</v>
      </c>
      <c r="Q344" s="6">
        <f t="shared" si="123"/>
        <v>328.9480684999844</v>
      </c>
      <c r="R344">
        <f t="shared" si="116"/>
        <v>0</v>
      </c>
      <c r="S344" s="5">
        <f t="shared" si="133"/>
        <v>44889</v>
      </c>
      <c r="T344" s="25">
        <v>210.00821040010453</v>
      </c>
      <c r="U344" s="25">
        <v>49.118422600001097</v>
      </c>
      <c r="V344" s="25">
        <v>22.32898589999834</v>
      </c>
      <c r="W344" s="6">
        <f t="shared" si="126"/>
        <v>281.45561890010396</v>
      </c>
      <c r="X344">
        <f t="shared" si="117"/>
        <v>0</v>
      </c>
      <c r="Z344" s="5">
        <f t="shared" si="134"/>
        <v>44889</v>
      </c>
      <c r="AA344" s="25"/>
      <c r="AB344" s="25"/>
      <c r="AC344" s="25"/>
      <c r="AD344" s="6">
        <f t="shared" si="127"/>
        <v>0</v>
      </c>
      <c r="AE344">
        <f t="shared" si="118"/>
        <v>0</v>
      </c>
      <c r="AF344" s="5">
        <f t="shared" si="135"/>
        <v>45619</v>
      </c>
      <c r="AG344" s="25"/>
      <c r="AH344" s="25"/>
      <c r="AI344" s="25"/>
      <c r="AJ344" s="6">
        <f t="shared" si="128"/>
        <v>0</v>
      </c>
      <c r="AK344">
        <f t="shared" si="119"/>
        <v>0</v>
      </c>
      <c r="AL344" s="5">
        <f t="shared" si="136"/>
        <v>45985</v>
      </c>
      <c r="AM344" s="25"/>
      <c r="AN344" s="25"/>
      <c r="AO344" s="25"/>
      <c r="AP344" s="6">
        <f t="shared" si="129"/>
        <v>0</v>
      </c>
      <c r="AQ344">
        <f t="shared" si="120"/>
        <v>0</v>
      </c>
    </row>
    <row r="345" spans="1:43" x14ac:dyDescent="0.3">
      <c r="A345" s="5">
        <f t="shared" si="130"/>
        <v>43794</v>
      </c>
      <c r="B345" s="25">
        <v>212.49061360001565</v>
      </c>
      <c r="C345" s="25">
        <v>45.972861699998376</v>
      </c>
      <c r="D345" s="25">
        <v>19.879199999999997</v>
      </c>
      <c r="E345" s="6">
        <f t="shared" si="124"/>
        <v>278.34267530001398</v>
      </c>
      <c r="F345">
        <f t="shared" si="121"/>
        <v>0</v>
      </c>
      <c r="G345" s="5">
        <f t="shared" si="131"/>
        <v>44159</v>
      </c>
      <c r="H345" s="25">
        <v>193.90649150002002</v>
      </c>
      <c r="I345" s="25">
        <v>49.682973999999462</v>
      </c>
      <c r="J345" s="25">
        <v>16.829999999999998</v>
      </c>
      <c r="K345" s="6">
        <f t="shared" si="125"/>
        <v>260.4194655000195</v>
      </c>
      <c r="L345">
        <f t="shared" si="122"/>
        <v>0</v>
      </c>
      <c r="M345" s="5">
        <f t="shared" si="132"/>
        <v>44525</v>
      </c>
      <c r="N345" s="25">
        <v>247.30637169992923</v>
      </c>
      <c r="O345" s="25">
        <v>52.54850730000436</v>
      </c>
      <c r="P345" s="25">
        <v>19.293272500000661</v>
      </c>
      <c r="Q345" s="6">
        <f t="shared" si="123"/>
        <v>319.14815149993427</v>
      </c>
      <c r="R345">
        <f t="shared" si="116"/>
        <v>0</v>
      </c>
      <c r="S345" s="5">
        <f t="shared" si="133"/>
        <v>44890</v>
      </c>
      <c r="T345" s="25">
        <v>205.08186269998549</v>
      </c>
      <c r="U345" s="25">
        <v>48.488148499995468</v>
      </c>
      <c r="V345" s="25">
        <v>23.009452600000426</v>
      </c>
      <c r="W345" s="6">
        <f t="shared" si="126"/>
        <v>276.5794637999814</v>
      </c>
      <c r="X345">
        <f t="shared" si="117"/>
        <v>0</v>
      </c>
      <c r="Z345" s="5">
        <f t="shared" si="134"/>
        <v>44890</v>
      </c>
      <c r="AA345" s="25"/>
      <c r="AB345" s="25"/>
      <c r="AC345" s="25"/>
      <c r="AD345" s="6">
        <f t="shared" si="127"/>
        <v>0</v>
      </c>
      <c r="AE345">
        <f t="shared" si="118"/>
        <v>0</v>
      </c>
      <c r="AF345" s="5">
        <f t="shared" si="135"/>
        <v>45620</v>
      </c>
      <c r="AG345" s="25"/>
      <c r="AH345" s="25"/>
      <c r="AI345" s="25"/>
      <c r="AJ345" s="6">
        <f t="shared" si="128"/>
        <v>0</v>
      </c>
      <c r="AK345">
        <f t="shared" si="119"/>
        <v>0</v>
      </c>
      <c r="AL345" s="5">
        <f t="shared" si="136"/>
        <v>45986</v>
      </c>
      <c r="AM345" s="25"/>
      <c r="AN345" s="25"/>
      <c r="AO345" s="25"/>
      <c r="AP345" s="6">
        <f t="shared" si="129"/>
        <v>0</v>
      </c>
      <c r="AQ345">
        <f t="shared" si="120"/>
        <v>0</v>
      </c>
    </row>
    <row r="346" spans="1:43" x14ac:dyDescent="0.3">
      <c r="A346" s="5">
        <f t="shared" si="130"/>
        <v>43795</v>
      </c>
      <c r="B346" s="25">
        <v>207.32760269999505</v>
      </c>
      <c r="C346" s="25">
        <v>45.529878600001332</v>
      </c>
      <c r="D346" s="25">
        <v>20.260400000000001</v>
      </c>
      <c r="E346" s="6">
        <f t="shared" si="124"/>
        <v>273.11788129999638</v>
      </c>
      <c r="F346">
        <f t="shared" si="121"/>
        <v>0</v>
      </c>
      <c r="G346" s="5">
        <f t="shared" si="131"/>
        <v>44160</v>
      </c>
      <c r="H346" s="25">
        <v>204.83561049997806</v>
      </c>
      <c r="I346" s="25">
        <v>49.894094200000168</v>
      </c>
      <c r="J346" s="25">
        <v>20.994599999999998</v>
      </c>
      <c r="K346" s="6">
        <f t="shared" si="125"/>
        <v>275.72430469997823</v>
      </c>
      <c r="L346">
        <f t="shared" si="122"/>
        <v>0</v>
      </c>
      <c r="M346" s="5">
        <f t="shared" si="132"/>
        <v>44526</v>
      </c>
      <c r="N346" s="25">
        <v>230.56457169997691</v>
      </c>
      <c r="O346" s="25">
        <v>52.926376599997283</v>
      </c>
      <c r="P346" s="25">
        <v>19.277742199999921</v>
      </c>
      <c r="Q346" s="6">
        <f t="shared" si="123"/>
        <v>302.76869049997413</v>
      </c>
      <c r="R346">
        <f t="shared" si="116"/>
        <v>0</v>
      </c>
      <c r="S346" s="5">
        <f t="shared" si="133"/>
        <v>44891</v>
      </c>
      <c r="T346" s="25">
        <v>198.49050859999656</v>
      </c>
      <c r="U346" s="25">
        <v>47.159438400000333</v>
      </c>
      <c r="V346" s="25">
        <v>23.429010400000493</v>
      </c>
      <c r="W346" s="6">
        <f t="shared" si="126"/>
        <v>269.07895739999742</v>
      </c>
      <c r="X346">
        <f t="shared" si="117"/>
        <v>0</v>
      </c>
      <c r="Z346" s="5">
        <f t="shared" si="134"/>
        <v>44891</v>
      </c>
      <c r="AA346" s="25"/>
      <c r="AB346" s="25"/>
      <c r="AC346" s="25"/>
      <c r="AD346" s="6">
        <f t="shared" si="127"/>
        <v>0</v>
      </c>
      <c r="AE346">
        <f t="shared" si="118"/>
        <v>0</v>
      </c>
      <c r="AF346" s="5">
        <f t="shared" si="135"/>
        <v>45621</v>
      </c>
      <c r="AG346" s="25"/>
      <c r="AH346" s="25"/>
      <c r="AI346" s="25"/>
      <c r="AJ346" s="6">
        <f t="shared" si="128"/>
        <v>0</v>
      </c>
      <c r="AK346">
        <f t="shared" si="119"/>
        <v>0</v>
      </c>
      <c r="AL346" s="5">
        <f t="shared" si="136"/>
        <v>45987</v>
      </c>
      <c r="AM346" s="25"/>
      <c r="AN346" s="25"/>
      <c r="AO346" s="25"/>
      <c r="AP346" s="6">
        <f t="shared" si="129"/>
        <v>0</v>
      </c>
      <c r="AQ346">
        <f t="shared" si="120"/>
        <v>0</v>
      </c>
    </row>
    <row r="347" spans="1:43" x14ac:dyDescent="0.3">
      <c r="A347" s="5">
        <f t="shared" si="130"/>
        <v>43796</v>
      </c>
      <c r="B347" s="25">
        <v>206.18961930000782</v>
      </c>
      <c r="C347" s="25">
        <v>46.122765900000928</v>
      </c>
      <c r="D347" s="25">
        <v>19.737749999999998</v>
      </c>
      <c r="E347" s="6">
        <f t="shared" si="124"/>
        <v>272.05013520000875</v>
      </c>
      <c r="F347">
        <f t="shared" si="121"/>
        <v>0</v>
      </c>
      <c r="G347" s="5">
        <f t="shared" si="131"/>
        <v>44161</v>
      </c>
      <c r="H347" s="25">
        <v>219.08254890000819</v>
      </c>
      <c r="I347" s="25">
        <v>52.690597200006245</v>
      </c>
      <c r="J347" s="25">
        <v>22.466000000000001</v>
      </c>
      <c r="K347" s="6">
        <f t="shared" si="125"/>
        <v>294.23914610001447</v>
      </c>
      <c r="L347">
        <f t="shared" si="122"/>
        <v>0</v>
      </c>
      <c r="M347" s="5">
        <f t="shared" si="132"/>
        <v>44527</v>
      </c>
      <c r="N347" s="25">
        <v>239.3306591000557</v>
      </c>
      <c r="O347" s="25">
        <v>53.968255999997261</v>
      </c>
      <c r="P347" s="25">
        <v>17.257764499999759</v>
      </c>
      <c r="Q347" s="6">
        <f t="shared" si="123"/>
        <v>310.55667960005275</v>
      </c>
      <c r="R347">
        <f t="shared" si="116"/>
        <v>0</v>
      </c>
      <c r="S347" s="5">
        <f t="shared" si="133"/>
        <v>44892</v>
      </c>
      <c r="T347" s="25">
        <v>212.55365039992333</v>
      </c>
      <c r="U347" s="25">
        <v>41.922180700004098</v>
      </c>
      <c r="V347" s="25">
        <v>18.075333299999127</v>
      </c>
      <c r="W347" s="6">
        <f t="shared" si="126"/>
        <v>272.55116439992656</v>
      </c>
      <c r="X347">
        <f t="shared" si="117"/>
        <v>0</v>
      </c>
      <c r="Z347" s="5">
        <f t="shared" si="134"/>
        <v>44892</v>
      </c>
      <c r="AA347" s="25"/>
      <c r="AB347" s="25"/>
      <c r="AC347" s="25"/>
      <c r="AD347" s="6">
        <f t="shared" si="127"/>
        <v>0</v>
      </c>
      <c r="AE347">
        <f t="shared" si="118"/>
        <v>0</v>
      </c>
      <c r="AF347" s="5">
        <f t="shared" si="135"/>
        <v>45622</v>
      </c>
      <c r="AG347" s="25"/>
      <c r="AH347" s="25"/>
      <c r="AI347" s="25"/>
      <c r="AJ347" s="6">
        <f t="shared" si="128"/>
        <v>0</v>
      </c>
      <c r="AK347">
        <f t="shared" si="119"/>
        <v>0</v>
      </c>
      <c r="AL347" s="5">
        <f t="shared" si="136"/>
        <v>45988</v>
      </c>
      <c r="AM347" s="25"/>
      <c r="AN347" s="25"/>
      <c r="AO347" s="25"/>
      <c r="AP347" s="6">
        <f t="shared" si="129"/>
        <v>0</v>
      </c>
      <c r="AQ347">
        <f t="shared" si="120"/>
        <v>0</v>
      </c>
    </row>
    <row r="348" spans="1:43" x14ac:dyDescent="0.3">
      <c r="A348" s="5">
        <f t="shared" si="130"/>
        <v>43797</v>
      </c>
      <c r="B348" s="25">
        <v>210.85915670001506</v>
      </c>
      <c r="C348" s="25">
        <v>45.56172639999911</v>
      </c>
      <c r="D348" s="25">
        <v>20.620999999999999</v>
      </c>
      <c r="E348" s="6">
        <f t="shared" si="124"/>
        <v>277.04188310001416</v>
      </c>
      <c r="F348">
        <f t="shared" si="121"/>
        <v>0</v>
      </c>
      <c r="G348" s="5">
        <f t="shared" si="131"/>
        <v>44162</v>
      </c>
      <c r="H348" s="25">
        <v>215.59843270003796</v>
      </c>
      <c r="I348" s="25">
        <v>48.293083199992779</v>
      </c>
      <c r="J348" s="25">
        <v>21.939</v>
      </c>
      <c r="K348" s="6">
        <f t="shared" si="125"/>
        <v>285.83051590003078</v>
      </c>
      <c r="L348">
        <f t="shared" si="122"/>
        <v>0</v>
      </c>
      <c r="M348" s="5">
        <f t="shared" si="132"/>
        <v>44528</v>
      </c>
      <c r="N348" s="25">
        <v>190.72224539995193</v>
      </c>
      <c r="O348" s="25">
        <v>48.222287299998108</v>
      </c>
      <c r="P348" s="25">
        <v>14.757931100000686</v>
      </c>
      <c r="Q348" s="6">
        <f t="shared" si="123"/>
        <v>253.70246379995072</v>
      </c>
      <c r="R348">
        <f t="shared" si="116"/>
        <v>0</v>
      </c>
      <c r="S348" s="5">
        <f t="shared" si="133"/>
        <v>44893</v>
      </c>
      <c r="T348" s="25">
        <v>223.43431350004673</v>
      </c>
      <c r="U348" s="25">
        <v>55.719155900001525</v>
      </c>
      <c r="V348" s="25">
        <v>23.755650899997914</v>
      </c>
      <c r="W348" s="6">
        <f t="shared" si="126"/>
        <v>302.9091203000462</v>
      </c>
      <c r="X348">
        <f t="shared" si="117"/>
        <v>0</v>
      </c>
      <c r="Z348" s="5">
        <f t="shared" si="134"/>
        <v>44893</v>
      </c>
      <c r="AA348" s="25"/>
      <c r="AB348" s="25"/>
      <c r="AC348" s="25"/>
      <c r="AD348" s="6">
        <f t="shared" si="127"/>
        <v>0</v>
      </c>
      <c r="AE348">
        <f t="shared" si="118"/>
        <v>0</v>
      </c>
      <c r="AF348" s="5">
        <f t="shared" si="135"/>
        <v>45623</v>
      </c>
      <c r="AG348" s="25"/>
      <c r="AH348" s="25"/>
      <c r="AI348" s="25"/>
      <c r="AJ348" s="6">
        <f t="shared" si="128"/>
        <v>0</v>
      </c>
      <c r="AK348">
        <f t="shared" si="119"/>
        <v>0</v>
      </c>
      <c r="AL348" s="5">
        <f t="shared" si="136"/>
        <v>45989</v>
      </c>
      <c r="AM348" s="25"/>
      <c r="AN348" s="25"/>
      <c r="AO348" s="25"/>
      <c r="AP348" s="6">
        <f t="shared" si="129"/>
        <v>0</v>
      </c>
      <c r="AQ348">
        <f t="shared" si="120"/>
        <v>0</v>
      </c>
    </row>
    <row r="349" spans="1:43" x14ac:dyDescent="0.3">
      <c r="A349" s="5">
        <f t="shared" si="130"/>
        <v>43798</v>
      </c>
      <c r="B349" s="25">
        <v>208.71976800000667</v>
      </c>
      <c r="C349" s="25">
        <v>49.025879099998626</v>
      </c>
      <c r="D349" s="25">
        <v>20.138000000000002</v>
      </c>
      <c r="E349" s="6">
        <f t="shared" si="124"/>
        <v>277.88364710000525</v>
      </c>
      <c r="F349">
        <f t="shared" si="121"/>
        <v>0</v>
      </c>
      <c r="G349" s="5">
        <f t="shared" si="131"/>
        <v>44163</v>
      </c>
      <c r="H349" s="25">
        <v>179.42050960004329</v>
      </c>
      <c r="I349" s="25">
        <v>49.123923900000754</v>
      </c>
      <c r="J349" s="25">
        <v>19.742000000000001</v>
      </c>
      <c r="K349" s="6">
        <f t="shared" si="125"/>
        <v>248.28643350004404</v>
      </c>
      <c r="L349">
        <f t="shared" si="122"/>
        <v>0</v>
      </c>
      <c r="M349" s="5">
        <f t="shared" si="132"/>
        <v>44529</v>
      </c>
      <c r="N349" s="25">
        <v>222.67101980006694</v>
      </c>
      <c r="O349" s="25">
        <v>52.469097400002184</v>
      </c>
      <c r="P349" s="25">
        <v>21.53191450000007</v>
      </c>
      <c r="Q349" s="6">
        <f t="shared" si="123"/>
        <v>296.67203170006923</v>
      </c>
      <c r="R349">
        <f t="shared" si="116"/>
        <v>0</v>
      </c>
      <c r="S349" s="5">
        <f t="shared" si="133"/>
        <v>44894</v>
      </c>
      <c r="T349" s="25">
        <v>212.17656069993973</v>
      </c>
      <c r="U349" s="25">
        <v>56.395558799996969</v>
      </c>
      <c r="V349" s="25">
        <v>22.466087700002362</v>
      </c>
      <c r="W349" s="6">
        <f t="shared" si="126"/>
        <v>291.03820719993905</v>
      </c>
      <c r="X349">
        <f t="shared" si="117"/>
        <v>0</v>
      </c>
      <c r="Z349" s="5">
        <f t="shared" si="134"/>
        <v>44894</v>
      </c>
      <c r="AA349" s="25"/>
      <c r="AB349" s="25"/>
      <c r="AC349" s="25"/>
      <c r="AD349" s="6">
        <f t="shared" si="127"/>
        <v>0</v>
      </c>
      <c r="AE349">
        <f t="shared" si="118"/>
        <v>0</v>
      </c>
      <c r="AF349" s="5">
        <f t="shared" si="135"/>
        <v>45624</v>
      </c>
      <c r="AG349" s="25"/>
      <c r="AH349" s="25"/>
      <c r="AI349" s="25"/>
      <c r="AJ349" s="6">
        <f t="shared" si="128"/>
        <v>0</v>
      </c>
      <c r="AK349">
        <f t="shared" si="119"/>
        <v>0</v>
      </c>
      <c r="AL349" s="5">
        <f t="shared" si="136"/>
        <v>45990</v>
      </c>
      <c r="AM349" s="25"/>
      <c r="AN349" s="25"/>
      <c r="AO349" s="25"/>
      <c r="AP349" s="6">
        <f t="shared" si="129"/>
        <v>0</v>
      </c>
      <c r="AQ349">
        <f t="shared" si="120"/>
        <v>0</v>
      </c>
    </row>
    <row r="350" spans="1:43" x14ac:dyDescent="0.3">
      <c r="A350" s="21">
        <f t="shared" si="130"/>
        <v>43799</v>
      </c>
      <c r="B350" s="25">
        <v>193.83052289998531</v>
      </c>
      <c r="C350" s="25">
        <v>44.847232500001788</v>
      </c>
      <c r="D350" s="25">
        <v>19.536000000000001</v>
      </c>
      <c r="E350" s="6">
        <f t="shared" si="124"/>
        <v>258.21375539998712</v>
      </c>
      <c r="F350">
        <f t="shared" si="121"/>
        <v>0</v>
      </c>
      <c r="G350" s="5">
        <f t="shared" si="131"/>
        <v>44164</v>
      </c>
      <c r="H350" s="25">
        <v>156.69752259993552</v>
      </c>
      <c r="I350" s="25">
        <v>37.763270500004289</v>
      </c>
      <c r="J350" s="25">
        <v>18.591999999999999</v>
      </c>
      <c r="K350" s="6">
        <f t="shared" si="125"/>
        <v>213.05279309993983</v>
      </c>
      <c r="L350">
        <f t="shared" si="122"/>
        <v>0</v>
      </c>
      <c r="M350" s="21">
        <f t="shared" si="132"/>
        <v>44530</v>
      </c>
      <c r="N350" s="25">
        <v>236.49271509993076</v>
      </c>
      <c r="O350" s="25">
        <v>53.742300999999046</v>
      </c>
      <c r="P350" s="25">
        <v>22.048333099999699</v>
      </c>
      <c r="Q350" s="6">
        <f t="shared" si="123"/>
        <v>312.28334919992949</v>
      </c>
      <c r="R350">
        <f t="shared" si="116"/>
        <v>0</v>
      </c>
      <c r="S350" s="21">
        <f t="shared" si="133"/>
        <v>44895</v>
      </c>
      <c r="T350" s="25">
        <v>201.74204360008241</v>
      </c>
      <c r="U350" s="25">
        <v>53.322258900001643</v>
      </c>
      <c r="V350" s="25">
        <v>21.992138800000305</v>
      </c>
      <c r="W350" s="6">
        <f t="shared" si="126"/>
        <v>277.05644130008437</v>
      </c>
      <c r="X350">
        <f t="shared" si="117"/>
        <v>0</v>
      </c>
      <c r="Z350" s="21">
        <f t="shared" si="134"/>
        <v>44895</v>
      </c>
      <c r="AA350" s="25"/>
      <c r="AB350" s="25"/>
      <c r="AC350" s="25"/>
      <c r="AD350" s="6">
        <f t="shared" si="127"/>
        <v>0</v>
      </c>
      <c r="AE350">
        <f t="shared" si="118"/>
        <v>0</v>
      </c>
      <c r="AF350" s="21">
        <f t="shared" si="135"/>
        <v>45625</v>
      </c>
      <c r="AG350" s="25"/>
      <c r="AH350" s="25"/>
      <c r="AI350" s="25"/>
      <c r="AJ350" s="6">
        <f t="shared" si="128"/>
        <v>0</v>
      </c>
      <c r="AK350">
        <f t="shared" si="119"/>
        <v>0</v>
      </c>
      <c r="AL350" s="21">
        <f t="shared" si="136"/>
        <v>45991</v>
      </c>
      <c r="AM350" s="25"/>
      <c r="AN350" s="25"/>
      <c r="AO350" s="25"/>
      <c r="AP350" s="6">
        <f t="shared" si="129"/>
        <v>0</v>
      </c>
      <c r="AQ350">
        <f t="shared" si="120"/>
        <v>0</v>
      </c>
    </row>
    <row r="351" spans="1:43" x14ac:dyDescent="0.3">
      <c r="A351" s="5">
        <f t="shared" si="130"/>
        <v>43800</v>
      </c>
      <c r="B351" s="25">
        <v>190.40439509999752</v>
      </c>
      <c r="C351" s="25">
        <v>38.211296399999412</v>
      </c>
      <c r="D351" s="25">
        <v>17.065000000000001</v>
      </c>
      <c r="E351" s="6">
        <f t="shared" si="124"/>
        <v>245.68069149999693</v>
      </c>
      <c r="F351">
        <f t="shared" si="121"/>
        <v>0</v>
      </c>
      <c r="G351" s="21">
        <f t="shared" si="131"/>
        <v>44165</v>
      </c>
      <c r="H351" s="25">
        <v>182.44487300002575</v>
      </c>
      <c r="I351" s="25">
        <v>42.55295120000094</v>
      </c>
      <c r="J351" s="25">
        <v>22.048999999999999</v>
      </c>
      <c r="K351" s="6">
        <f t="shared" si="125"/>
        <v>247.04682420002669</v>
      </c>
      <c r="L351">
        <f t="shared" si="122"/>
        <v>0</v>
      </c>
      <c r="M351" s="5">
        <f t="shared" si="132"/>
        <v>44531</v>
      </c>
      <c r="N351" s="25">
        <v>240.62485600006579</v>
      </c>
      <c r="O351" s="25">
        <v>55.11892599999905</v>
      </c>
      <c r="P351" s="25">
        <v>23.093208699999376</v>
      </c>
      <c r="Q351" s="6">
        <f t="shared" si="123"/>
        <v>318.83699070006418</v>
      </c>
      <c r="R351">
        <f t="shared" si="116"/>
        <v>0</v>
      </c>
      <c r="S351" s="5">
        <f t="shared" si="133"/>
        <v>44896</v>
      </c>
      <c r="T351" s="25">
        <v>200.31221119999884</v>
      </c>
      <c r="U351" s="25">
        <v>52.705782099992035</v>
      </c>
      <c r="V351" s="25">
        <v>22.965238100001123</v>
      </c>
      <c r="W351" s="6">
        <f t="shared" si="126"/>
        <v>275.98323139999201</v>
      </c>
      <c r="X351">
        <f t="shared" si="117"/>
        <v>0</v>
      </c>
      <c r="Z351" s="5">
        <f t="shared" si="134"/>
        <v>44896</v>
      </c>
      <c r="AA351" s="25"/>
      <c r="AB351" s="25"/>
      <c r="AC351" s="25"/>
      <c r="AD351" s="6">
        <f t="shared" si="127"/>
        <v>0</v>
      </c>
      <c r="AE351">
        <f t="shared" si="118"/>
        <v>0</v>
      </c>
      <c r="AF351" s="5">
        <f t="shared" si="135"/>
        <v>45626</v>
      </c>
      <c r="AG351" s="25"/>
      <c r="AH351" s="25"/>
      <c r="AI351" s="25"/>
      <c r="AJ351" s="6">
        <f t="shared" si="128"/>
        <v>0</v>
      </c>
      <c r="AK351">
        <f t="shared" si="119"/>
        <v>0</v>
      </c>
      <c r="AL351" s="5">
        <f t="shared" si="136"/>
        <v>45992</v>
      </c>
      <c r="AM351" s="25"/>
      <c r="AN351" s="25"/>
      <c r="AO351" s="25"/>
      <c r="AP351" s="6">
        <f t="shared" si="129"/>
        <v>0</v>
      </c>
      <c r="AQ351">
        <f t="shared" si="120"/>
        <v>0</v>
      </c>
    </row>
    <row r="352" spans="1:43" x14ac:dyDescent="0.3">
      <c r="A352" s="5">
        <f t="shared" si="130"/>
        <v>43801</v>
      </c>
      <c r="B352" s="25">
        <v>207.36456630003451</v>
      </c>
      <c r="C352" s="25">
        <v>46.606618900001052</v>
      </c>
      <c r="D352" s="25">
        <v>19.338000000000001</v>
      </c>
      <c r="E352" s="6">
        <f t="shared" si="124"/>
        <v>273.30918520003559</v>
      </c>
      <c r="F352">
        <f t="shared" si="121"/>
        <v>0</v>
      </c>
      <c r="G352" s="5">
        <f t="shared" si="131"/>
        <v>44166</v>
      </c>
      <c r="H352" s="25">
        <v>191.58964470005034</v>
      </c>
      <c r="I352" s="25">
        <v>47.575485599994657</v>
      </c>
      <c r="J352" s="25">
        <v>20.951000000000001</v>
      </c>
      <c r="K352" s="6">
        <f t="shared" si="125"/>
        <v>260.11613030004503</v>
      </c>
      <c r="L352">
        <f t="shared" si="122"/>
        <v>0</v>
      </c>
      <c r="M352" s="5">
        <f t="shared" si="132"/>
        <v>44532</v>
      </c>
      <c r="N352" s="25">
        <v>236.18740499997139</v>
      </c>
      <c r="O352" s="25">
        <v>54.178569200001654</v>
      </c>
      <c r="P352" s="25">
        <v>21.875068600002617</v>
      </c>
      <c r="Q352" s="6">
        <f t="shared" si="123"/>
        <v>312.24104279997567</v>
      </c>
      <c r="R352">
        <f t="shared" si="116"/>
        <v>0</v>
      </c>
      <c r="S352" s="5">
        <f t="shared" si="133"/>
        <v>44897</v>
      </c>
      <c r="T352" s="25">
        <v>211.87296560001374</v>
      </c>
      <c r="U352" s="25">
        <v>52.878916400000456</v>
      </c>
      <c r="V352" s="25">
        <v>21.178496699998156</v>
      </c>
      <c r="W352" s="6">
        <f t="shared" si="126"/>
        <v>285.93037870001234</v>
      </c>
      <c r="X352">
        <f t="shared" si="117"/>
        <v>0</v>
      </c>
      <c r="Z352" s="5">
        <f t="shared" si="134"/>
        <v>44897</v>
      </c>
      <c r="AA352" s="25"/>
      <c r="AB352" s="25"/>
      <c r="AC352" s="25"/>
      <c r="AD352" s="6">
        <f t="shared" si="127"/>
        <v>0</v>
      </c>
      <c r="AE352">
        <f t="shared" si="118"/>
        <v>0</v>
      </c>
      <c r="AF352" s="5">
        <f t="shared" si="135"/>
        <v>45627</v>
      </c>
      <c r="AG352" s="25"/>
      <c r="AH352" s="25"/>
      <c r="AI352" s="25"/>
      <c r="AJ352" s="6">
        <f t="shared" si="128"/>
        <v>0</v>
      </c>
      <c r="AK352">
        <f t="shared" si="119"/>
        <v>0</v>
      </c>
      <c r="AL352" s="5">
        <f t="shared" si="136"/>
        <v>45993</v>
      </c>
      <c r="AM352" s="25"/>
      <c r="AN352" s="25"/>
      <c r="AO352" s="25"/>
      <c r="AP352" s="6">
        <f t="shared" si="129"/>
        <v>0</v>
      </c>
      <c r="AQ352">
        <f t="shared" si="120"/>
        <v>0</v>
      </c>
    </row>
    <row r="353" spans="1:43" x14ac:dyDescent="0.3">
      <c r="A353" s="5">
        <f t="shared" si="130"/>
        <v>43802</v>
      </c>
      <c r="B353" s="25">
        <v>203.18679009997845</v>
      </c>
      <c r="C353" s="25">
        <v>45.840208099998534</v>
      </c>
      <c r="D353" s="25">
        <v>19.963000000000001</v>
      </c>
      <c r="E353" s="6">
        <f t="shared" si="124"/>
        <v>268.98999819997698</v>
      </c>
      <c r="F353">
        <f t="shared" si="121"/>
        <v>0</v>
      </c>
      <c r="G353" s="5">
        <f t="shared" si="131"/>
        <v>44167</v>
      </c>
      <c r="H353" s="25">
        <v>188.6252741999626</v>
      </c>
      <c r="I353" s="25">
        <v>48.212709800004959</v>
      </c>
      <c r="J353" s="25">
        <v>20.329999999999998</v>
      </c>
      <c r="K353" s="6">
        <f t="shared" si="125"/>
        <v>257.16798399996753</v>
      </c>
      <c r="L353">
        <f t="shared" si="122"/>
        <v>0</v>
      </c>
      <c r="M353" s="5">
        <f t="shared" si="132"/>
        <v>44533</v>
      </c>
      <c r="N353" s="25">
        <v>219.68690520000459</v>
      </c>
      <c r="O353" s="25">
        <v>54.118121899999679</v>
      </c>
      <c r="P353" s="25">
        <v>22.115499499998869</v>
      </c>
      <c r="Q353" s="6">
        <f t="shared" si="123"/>
        <v>295.92052660000314</v>
      </c>
      <c r="R353">
        <f t="shared" si="116"/>
        <v>0</v>
      </c>
      <c r="S353" s="5">
        <f t="shared" si="133"/>
        <v>44898</v>
      </c>
      <c r="T353" s="25">
        <v>195.17525529992579</v>
      </c>
      <c r="U353" s="25">
        <v>51.675156300008297</v>
      </c>
      <c r="V353" s="25">
        <v>21.293431699998678</v>
      </c>
      <c r="W353" s="6">
        <f t="shared" si="126"/>
        <v>268.14384329993277</v>
      </c>
      <c r="X353">
        <f t="shared" si="117"/>
        <v>0</v>
      </c>
      <c r="Z353" s="5">
        <f t="shared" si="134"/>
        <v>44898</v>
      </c>
      <c r="AA353" s="25"/>
      <c r="AB353" s="25"/>
      <c r="AC353" s="25"/>
      <c r="AD353" s="6">
        <f t="shared" si="127"/>
        <v>0</v>
      </c>
      <c r="AE353">
        <f t="shared" si="118"/>
        <v>0</v>
      </c>
      <c r="AF353" s="5">
        <f t="shared" si="135"/>
        <v>45628</v>
      </c>
      <c r="AG353" s="25"/>
      <c r="AH353" s="25"/>
      <c r="AI353" s="25"/>
      <c r="AJ353" s="6">
        <f t="shared" si="128"/>
        <v>0</v>
      </c>
      <c r="AK353">
        <f t="shared" si="119"/>
        <v>0</v>
      </c>
      <c r="AL353" s="5">
        <f t="shared" si="136"/>
        <v>45994</v>
      </c>
      <c r="AM353" s="25"/>
      <c r="AN353" s="25"/>
      <c r="AO353" s="25"/>
      <c r="AP353" s="6">
        <f t="shared" si="129"/>
        <v>0</v>
      </c>
      <c r="AQ353">
        <f t="shared" si="120"/>
        <v>0</v>
      </c>
    </row>
    <row r="354" spans="1:43" x14ac:dyDescent="0.3">
      <c r="A354" s="5">
        <f t="shared" si="130"/>
        <v>43803</v>
      </c>
      <c r="B354" s="25">
        <v>206.37094869995119</v>
      </c>
      <c r="C354" s="25">
        <v>45.785921799998732</v>
      </c>
      <c r="D354" s="25">
        <v>19.695</v>
      </c>
      <c r="E354" s="6">
        <f t="shared" si="124"/>
        <v>271.85187049994994</v>
      </c>
      <c r="F354">
        <f t="shared" si="121"/>
        <v>0</v>
      </c>
      <c r="G354" s="5">
        <f t="shared" si="131"/>
        <v>44168</v>
      </c>
      <c r="H354" s="25">
        <v>186.96627999997139</v>
      </c>
      <c r="I354" s="25">
        <v>46.230769499994814</v>
      </c>
      <c r="J354" s="25">
        <v>18.271799999999995</v>
      </c>
      <c r="K354" s="6">
        <f t="shared" si="125"/>
        <v>251.46884949996618</v>
      </c>
      <c r="L354">
        <f t="shared" si="122"/>
        <v>0</v>
      </c>
      <c r="M354" s="5">
        <f t="shared" si="132"/>
        <v>44534</v>
      </c>
      <c r="N354" s="25">
        <v>200.03940859997272</v>
      </c>
      <c r="O354" s="25">
        <v>53.011089299999178</v>
      </c>
      <c r="P354" s="25">
        <v>21.885478999998536</v>
      </c>
      <c r="Q354" s="6">
        <f t="shared" si="123"/>
        <v>274.93597689997046</v>
      </c>
      <c r="R354">
        <f t="shared" si="116"/>
        <v>0</v>
      </c>
      <c r="S354" s="5">
        <f t="shared" si="133"/>
        <v>44899</v>
      </c>
      <c r="T354" s="25">
        <v>200.00118000006677</v>
      </c>
      <c r="U354" s="25">
        <v>47.172115600004794</v>
      </c>
      <c r="V354" s="25">
        <v>16.640013500001746</v>
      </c>
      <c r="W354" s="6">
        <f t="shared" si="126"/>
        <v>263.8133091000733</v>
      </c>
      <c r="X354">
        <f t="shared" si="117"/>
        <v>0</v>
      </c>
      <c r="Z354" s="5">
        <f t="shared" si="134"/>
        <v>44899</v>
      </c>
      <c r="AA354" s="25"/>
      <c r="AB354" s="25"/>
      <c r="AC354" s="25"/>
      <c r="AD354" s="6">
        <f t="shared" si="127"/>
        <v>0</v>
      </c>
      <c r="AE354">
        <f t="shared" si="118"/>
        <v>0</v>
      </c>
      <c r="AF354" s="5">
        <f t="shared" si="135"/>
        <v>45629</v>
      </c>
      <c r="AG354" s="25"/>
      <c r="AH354" s="25"/>
      <c r="AI354" s="25"/>
      <c r="AJ354" s="6">
        <f t="shared" si="128"/>
        <v>0</v>
      </c>
      <c r="AK354">
        <f t="shared" si="119"/>
        <v>0</v>
      </c>
      <c r="AL354" s="5">
        <f t="shared" si="136"/>
        <v>45995</v>
      </c>
      <c r="AM354" s="25"/>
      <c r="AN354" s="25"/>
      <c r="AO354" s="25"/>
      <c r="AP354" s="6">
        <f t="shared" si="129"/>
        <v>0</v>
      </c>
      <c r="AQ354">
        <f t="shared" si="120"/>
        <v>0</v>
      </c>
    </row>
    <row r="355" spans="1:43" x14ac:dyDescent="0.3">
      <c r="A355" s="5">
        <f t="shared" si="130"/>
        <v>43804</v>
      </c>
      <c r="B355" s="25">
        <v>206.51159870004653</v>
      </c>
      <c r="C355" s="25">
        <v>45.134732400000097</v>
      </c>
      <c r="D355" s="25">
        <v>20.133200000000002</v>
      </c>
      <c r="E355" s="6">
        <f t="shared" si="124"/>
        <v>271.77953110004665</v>
      </c>
      <c r="F355">
        <f t="shared" si="121"/>
        <v>0</v>
      </c>
      <c r="G355" s="5">
        <f t="shared" si="131"/>
        <v>44169</v>
      </c>
      <c r="H355" s="25">
        <v>181.3579578000307</v>
      </c>
      <c r="I355" s="25">
        <v>44.793768000006679</v>
      </c>
      <c r="J355" s="25">
        <v>20.952650000000002</v>
      </c>
      <c r="K355" s="6">
        <f t="shared" si="125"/>
        <v>247.10437580003739</v>
      </c>
      <c r="L355">
        <f t="shared" si="122"/>
        <v>0</v>
      </c>
      <c r="M355" s="5">
        <f t="shared" si="132"/>
        <v>44535</v>
      </c>
      <c r="N355" s="25">
        <v>175.3694294000864</v>
      </c>
      <c r="O355" s="25">
        <v>46.639319700002673</v>
      </c>
      <c r="P355" s="25">
        <v>17.950340000000782</v>
      </c>
      <c r="Q355" s="6">
        <f t="shared" si="123"/>
        <v>239.95908910008984</v>
      </c>
      <c r="R355">
        <f t="shared" si="116"/>
        <v>0</v>
      </c>
      <c r="S355" s="5">
        <f t="shared" si="133"/>
        <v>44900</v>
      </c>
      <c r="T355" s="25">
        <v>242.0945612000227</v>
      </c>
      <c r="U355" s="25">
        <v>60.554555599987509</v>
      </c>
      <c r="V355" s="25">
        <v>18.105558999998497</v>
      </c>
      <c r="W355" s="6">
        <f t="shared" si="126"/>
        <v>320.75467580000873</v>
      </c>
      <c r="X355">
        <f t="shared" si="117"/>
        <v>0</v>
      </c>
      <c r="Z355" s="5">
        <f t="shared" si="134"/>
        <v>44900</v>
      </c>
      <c r="AA355" s="25"/>
      <c r="AB355" s="25"/>
      <c r="AC355" s="25"/>
      <c r="AD355" s="6">
        <f t="shared" si="127"/>
        <v>0</v>
      </c>
      <c r="AE355">
        <f t="shared" si="118"/>
        <v>0</v>
      </c>
      <c r="AF355" s="5">
        <f t="shared" si="135"/>
        <v>45630</v>
      </c>
      <c r="AG355" s="25"/>
      <c r="AH355" s="25"/>
      <c r="AI355" s="25"/>
      <c r="AJ355" s="6">
        <f t="shared" si="128"/>
        <v>0</v>
      </c>
      <c r="AK355">
        <f t="shared" si="119"/>
        <v>0</v>
      </c>
      <c r="AL355" s="5">
        <f t="shared" si="136"/>
        <v>45996</v>
      </c>
      <c r="AM355" s="25"/>
      <c r="AN355" s="25"/>
      <c r="AO355" s="25"/>
      <c r="AP355" s="6">
        <f t="shared" si="129"/>
        <v>0</v>
      </c>
      <c r="AQ355">
        <f t="shared" si="120"/>
        <v>0</v>
      </c>
    </row>
    <row r="356" spans="1:43" x14ac:dyDescent="0.3">
      <c r="A356" s="5">
        <f t="shared" si="130"/>
        <v>43805</v>
      </c>
      <c r="B356" s="25">
        <v>203.15268949997426</v>
      </c>
      <c r="C356" s="25">
        <v>45.129460599999874</v>
      </c>
      <c r="D356" s="25">
        <v>19.664999999999999</v>
      </c>
      <c r="E356" s="6">
        <f t="shared" si="124"/>
        <v>267.94715009997412</v>
      </c>
      <c r="F356">
        <f t="shared" si="121"/>
        <v>0</v>
      </c>
      <c r="G356" s="5">
        <f t="shared" si="131"/>
        <v>44170</v>
      </c>
      <c r="H356" s="25">
        <v>185.17277950000764</v>
      </c>
      <c r="I356" s="25">
        <v>43.343798299998042</v>
      </c>
      <c r="J356" s="25">
        <v>22.109099999999998</v>
      </c>
      <c r="K356" s="6">
        <f t="shared" si="125"/>
        <v>250.62567780000569</v>
      </c>
      <c r="L356">
        <f t="shared" si="122"/>
        <v>0</v>
      </c>
      <c r="M356" s="5">
        <f t="shared" si="132"/>
        <v>44536</v>
      </c>
      <c r="N356" s="25">
        <v>219.13907829999923</v>
      </c>
      <c r="O356" s="25">
        <v>52.437034400001167</v>
      </c>
      <c r="P356" s="25">
        <v>21.903768300001278</v>
      </c>
      <c r="Q356" s="6">
        <f t="shared" si="123"/>
        <v>293.47988100000168</v>
      </c>
      <c r="R356">
        <f t="shared" si="116"/>
        <v>0</v>
      </c>
      <c r="S356" s="5">
        <f t="shared" si="133"/>
        <v>44901</v>
      </c>
      <c r="T356" s="25">
        <v>228.43065619993209</v>
      </c>
      <c r="U356" s="25">
        <v>58.63918520000577</v>
      </c>
      <c r="V356" s="25">
        <v>20.50880080000125</v>
      </c>
      <c r="W356" s="6">
        <f t="shared" si="126"/>
        <v>307.57864219993911</v>
      </c>
      <c r="X356">
        <f t="shared" si="117"/>
        <v>0</v>
      </c>
      <c r="Z356" s="5">
        <f t="shared" si="134"/>
        <v>44901</v>
      </c>
      <c r="AA356" s="25"/>
      <c r="AB356" s="25"/>
      <c r="AC356" s="25"/>
      <c r="AD356" s="6">
        <f t="shared" si="127"/>
        <v>0</v>
      </c>
      <c r="AE356">
        <f t="shared" si="118"/>
        <v>0</v>
      </c>
      <c r="AF356" s="5">
        <f t="shared" si="135"/>
        <v>45631</v>
      </c>
      <c r="AG356" s="25"/>
      <c r="AH356" s="25"/>
      <c r="AI356" s="25"/>
      <c r="AJ356" s="6">
        <f t="shared" si="128"/>
        <v>0</v>
      </c>
      <c r="AK356">
        <f t="shared" si="119"/>
        <v>0</v>
      </c>
      <c r="AL356" s="5">
        <f t="shared" si="136"/>
        <v>45997</v>
      </c>
      <c r="AM356" s="25"/>
      <c r="AN356" s="25"/>
      <c r="AO356" s="25"/>
      <c r="AP356" s="6">
        <f t="shared" si="129"/>
        <v>0</v>
      </c>
      <c r="AQ356">
        <f t="shared" si="120"/>
        <v>0</v>
      </c>
    </row>
    <row r="357" spans="1:43" x14ac:dyDescent="0.3">
      <c r="A357" s="5">
        <f t="shared" si="130"/>
        <v>43806</v>
      </c>
      <c r="B357" s="25">
        <v>194.63213460004329</v>
      </c>
      <c r="C357" s="25">
        <v>43.824572900000959</v>
      </c>
      <c r="D357" s="25">
        <v>18.678999999999998</v>
      </c>
      <c r="E357" s="6">
        <f t="shared" si="124"/>
        <v>257.13570750004425</v>
      </c>
      <c r="F357">
        <f t="shared" si="121"/>
        <v>0</v>
      </c>
      <c r="G357" s="5">
        <f t="shared" si="131"/>
        <v>44171</v>
      </c>
      <c r="H357" s="25">
        <v>158.18785979998111</v>
      </c>
      <c r="I357" s="25">
        <v>37.537338399998845</v>
      </c>
      <c r="J357" s="25">
        <v>19.965400000000002</v>
      </c>
      <c r="K357" s="6">
        <f t="shared" si="125"/>
        <v>215.69059819997995</v>
      </c>
      <c r="L357">
        <f t="shared" si="122"/>
        <v>0</v>
      </c>
      <c r="M357" s="5">
        <f t="shared" si="132"/>
        <v>44537</v>
      </c>
      <c r="N357" s="25">
        <v>198.46522589993478</v>
      </c>
      <c r="O357" s="25">
        <v>55.772324699997903</v>
      </c>
      <c r="P357" s="25">
        <v>22.740780299998587</v>
      </c>
      <c r="Q357" s="6">
        <f t="shared" si="123"/>
        <v>276.97833089993128</v>
      </c>
      <c r="R357">
        <f t="shared" si="116"/>
        <v>0</v>
      </c>
      <c r="S357" s="5">
        <f t="shared" si="133"/>
        <v>44902</v>
      </c>
      <c r="T357" s="25">
        <v>248.0897501000166</v>
      </c>
      <c r="U357" s="25">
        <v>59.061923899993303</v>
      </c>
      <c r="V357" s="25">
        <v>23.091494700000155</v>
      </c>
      <c r="W357" s="6">
        <f t="shared" si="126"/>
        <v>330.24316870001007</v>
      </c>
      <c r="X357">
        <f t="shared" si="117"/>
        <v>0</v>
      </c>
      <c r="Z357" s="5">
        <f t="shared" si="134"/>
        <v>44902</v>
      </c>
      <c r="AA357" s="25"/>
      <c r="AB357" s="25"/>
      <c r="AC357" s="25"/>
      <c r="AD357" s="6">
        <f t="shared" si="127"/>
        <v>0</v>
      </c>
      <c r="AE357">
        <f t="shared" si="118"/>
        <v>0</v>
      </c>
      <c r="AF357" s="5">
        <f t="shared" si="135"/>
        <v>45632</v>
      </c>
      <c r="AG357" s="25"/>
      <c r="AH357" s="25"/>
      <c r="AI357" s="25"/>
      <c r="AJ357" s="6">
        <f t="shared" si="128"/>
        <v>0</v>
      </c>
      <c r="AK357">
        <f t="shared" si="119"/>
        <v>0</v>
      </c>
      <c r="AL357" s="5">
        <f t="shared" si="136"/>
        <v>45998</v>
      </c>
      <c r="AM357" s="25"/>
      <c r="AN357" s="25"/>
      <c r="AO357" s="25"/>
      <c r="AP357" s="6">
        <f t="shared" si="129"/>
        <v>0</v>
      </c>
      <c r="AQ357">
        <f t="shared" si="120"/>
        <v>0</v>
      </c>
    </row>
    <row r="358" spans="1:43" x14ac:dyDescent="0.3">
      <c r="A358" s="5">
        <f t="shared" si="130"/>
        <v>43807</v>
      </c>
      <c r="B358" s="25">
        <v>189.13573039996623</v>
      </c>
      <c r="C358" s="25">
        <v>38.049197099998594</v>
      </c>
      <c r="D358" s="25">
        <v>12.8454</v>
      </c>
      <c r="E358" s="6">
        <f t="shared" si="124"/>
        <v>240.03032749996484</v>
      </c>
      <c r="F358">
        <f t="shared" si="121"/>
        <v>0</v>
      </c>
      <c r="G358" s="5">
        <f t="shared" si="131"/>
        <v>44172</v>
      </c>
      <c r="H358" s="25">
        <v>204.6833193000555</v>
      </c>
      <c r="I358" s="25">
        <v>45.864801299996671</v>
      </c>
      <c r="J358" s="25">
        <v>23.192</v>
      </c>
      <c r="K358" s="6">
        <f t="shared" si="125"/>
        <v>273.74012060005219</v>
      </c>
      <c r="L358">
        <f t="shared" si="122"/>
        <v>0</v>
      </c>
      <c r="M358" s="5">
        <f t="shared" si="132"/>
        <v>44538</v>
      </c>
      <c r="N358" s="25">
        <v>209.93508519995211</v>
      </c>
      <c r="O358" s="25">
        <v>45.637168700002135</v>
      </c>
      <c r="P358" s="25">
        <v>18.823165899999672</v>
      </c>
      <c r="Q358" s="6">
        <f t="shared" si="123"/>
        <v>274.39541979995391</v>
      </c>
      <c r="R358">
        <f t="shared" si="116"/>
        <v>0</v>
      </c>
      <c r="S358" s="5">
        <f t="shared" si="133"/>
        <v>44903</v>
      </c>
      <c r="T358" s="25">
        <v>211.52399790000916</v>
      </c>
      <c r="U358" s="25">
        <v>55.561959000006318</v>
      </c>
      <c r="V358" s="25">
        <v>21.57823639999982</v>
      </c>
      <c r="W358" s="6">
        <f t="shared" si="126"/>
        <v>288.66419330001531</v>
      </c>
      <c r="X358">
        <f t="shared" si="117"/>
        <v>0</v>
      </c>
      <c r="Z358" s="5">
        <f t="shared" si="134"/>
        <v>44903</v>
      </c>
      <c r="AA358" s="25"/>
      <c r="AB358" s="25"/>
      <c r="AC358" s="25"/>
      <c r="AD358" s="6">
        <f t="shared" si="127"/>
        <v>0</v>
      </c>
      <c r="AE358">
        <f t="shared" si="118"/>
        <v>0</v>
      </c>
      <c r="AF358" s="5">
        <f t="shared" si="135"/>
        <v>45633</v>
      </c>
      <c r="AG358" s="25"/>
      <c r="AH358" s="25"/>
      <c r="AI358" s="25"/>
      <c r="AJ358" s="6">
        <f t="shared" si="128"/>
        <v>0</v>
      </c>
      <c r="AK358">
        <f t="shared" si="119"/>
        <v>0</v>
      </c>
      <c r="AL358" s="5">
        <f t="shared" si="136"/>
        <v>45999</v>
      </c>
      <c r="AM358" s="25"/>
      <c r="AN358" s="25"/>
      <c r="AO358" s="25"/>
      <c r="AP358" s="6">
        <f t="shared" si="129"/>
        <v>0</v>
      </c>
      <c r="AQ358">
        <f t="shared" si="120"/>
        <v>0</v>
      </c>
    </row>
    <row r="359" spans="1:43" x14ac:dyDescent="0.3">
      <c r="A359" s="5">
        <f t="shared" si="130"/>
        <v>43808</v>
      </c>
      <c r="B359" s="25">
        <v>241.34753040003775</v>
      </c>
      <c r="C359" s="25">
        <v>44.398242900002749</v>
      </c>
      <c r="D359" s="25">
        <v>23.114999999999998</v>
      </c>
      <c r="E359" s="6">
        <f t="shared" si="124"/>
        <v>308.86077330004053</v>
      </c>
      <c r="F359">
        <f t="shared" si="121"/>
        <v>0</v>
      </c>
      <c r="G359" s="5">
        <f t="shared" si="131"/>
        <v>44173</v>
      </c>
      <c r="H359" s="25">
        <v>198.12043139994145</v>
      </c>
      <c r="I359" s="25">
        <v>40.144819099999964</v>
      </c>
      <c r="J359" s="25">
        <v>21.527999999999999</v>
      </c>
      <c r="K359" s="6">
        <f t="shared" si="125"/>
        <v>259.79325049994145</v>
      </c>
      <c r="L359">
        <f t="shared" si="122"/>
        <v>0</v>
      </c>
      <c r="M359" s="5">
        <f t="shared" si="132"/>
        <v>44539</v>
      </c>
      <c r="N359" s="25">
        <v>216.87001520001888</v>
      </c>
      <c r="O359" s="25">
        <v>54.652637699998913</v>
      </c>
      <c r="P359" s="25">
        <v>22.41625530000066</v>
      </c>
      <c r="Q359" s="6">
        <f t="shared" si="123"/>
        <v>293.93890820001849</v>
      </c>
      <c r="R359">
        <f t="shared" si="116"/>
        <v>0</v>
      </c>
      <c r="S359" s="5">
        <f t="shared" si="133"/>
        <v>44904</v>
      </c>
      <c r="T359" s="25">
        <v>246.15974510002135</v>
      </c>
      <c r="U359" s="25">
        <v>59.537814300000669</v>
      </c>
      <c r="V359" s="25">
        <v>21.539765699998476</v>
      </c>
      <c r="W359" s="6">
        <f t="shared" si="126"/>
        <v>327.23732510002054</v>
      </c>
      <c r="X359">
        <f t="shared" si="117"/>
        <v>0</v>
      </c>
      <c r="Z359" s="5">
        <f t="shared" si="134"/>
        <v>44904</v>
      </c>
      <c r="AA359" s="25"/>
      <c r="AB359" s="25"/>
      <c r="AC359" s="25"/>
      <c r="AD359" s="6">
        <f t="shared" si="127"/>
        <v>0</v>
      </c>
      <c r="AE359">
        <f t="shared" si="118"/>
        <v>0</v>
      </c>
      <c r="AF359" s="5">
        <f t="shared" si="135"/>
        <v>45634</v>
      </c>
      <c r="AG359" s="25"/>
      <c r="AH359" s="25"/>
      <c r="AI359" s="25"/>
      <c r="AJ359" s="6">
        <f t="shared" si="128"/>
        <v>0</v>
      </c>
      <c r="AK359">
        <f t="shared" si="119"/>
        <v>0</v>
      </c>
      <c r="AL359" s="5">
        <f t="shared" si="136"/>
        <v>46000</v>
      </c>
      <c r="AM359" s="25"/>
      <c r="AN359" s="25"/>
      <c r="AO359" s="25"/>
      <c r="AP359" s="6">
        <f t="shared" si="129"/>
        <v>0</v>
      </c>
      <c r="AQ359">
        <f t="shared" si="120"/>
        <v>0</v>
      </c>
    </row>
    <row r="360" spans="1:43" x14ac:dyDescent="0.3">
      <c r="A360" s="5">
        <f t="shared" si="130"/>
        <v>43809</v>
      </c>
      <c r="B360" s="25">
        <v>246.26084710001945</v>
      </c>
      <c r="C360" s="25">
        <v>43.43766539999843</v>
      </c>
      <c r="D360" s="25">
        <v>20.082000000000001</v>
      </c>
      <c r="E360" s="6">
        <f t="shared" si="124"/>
        <v>309.78051250001789</v>
      </c>
      <c r="F360">
        <f t="shared" si="121"/>
        <v>0</v>
      </c>
      <c r="G360" s="5">
        <f t="shared" si="131"/>
        <v>44174</v>
      </c>
      <c r="H360" s="25">
        <v>197.48653320002555</v>
      </c>
      <c r="I360" s="25">
        <v>47.20260940000415</v>
      </c>
      <c r="J360" s="25">
        <v>21.922000000000001</v>
      </c>
      <c r="K360" s="6">
        <f t="shared" si="125"/>
        <v>266.61114260002972</v>
      </c>
      <c r="L360">
        <f t="shared" si="122"/>
        <v>0</v>
      </c>
      <c r="M360" s="5">
        <f t="shared" si="132"/>
        <v>44540</v>
      </c>
      <c r="N360" s="25">
        <v>237.88093940007687</v>
      </c>
      <c r="O360" s="25">
        <v>54.820298900000751</v>
      </c>
      <c r="P360" s="25">
        <v>21.914787199999786</v>
      </c>
      <c r="Q360" s="6">
        <f t="shared" si="123"/>
        <v>314.61602550007746</v>
      </c>
      <c r="R360">
        <f t="shared" si="116"/>
        <v>0</v>
      </c>
      <c r="S360" s="5">
        <f t="shared" si="133"/>
        <v>44905</v>
      </c>
      <c r="T360" s="25">
        <v>219.97007929992677</v>
      </c>
      <c r="U360" s="25">
        <v>51.903403500005602</v>
      </c>
      <c r="V360" s="25">
        <v>22.808878000003752</v>
      </c>
      <c r="W360" s="6">
        <f t="shared" si="126"/>
        <v>294.68236079993613</v>
      </c>
      <c r="X360">
        <f t="shared" si="117"/>
        <v>0</v>
      </c>
      <c r="Z360" s="5">
        <f t="shared" si="134"/>
        <v>44905</v>
      </c>
      <c r="AA360" s="25"/>
      <c r="AB360" s="25"/>
      <c r="AC360" s="25"/>
      <c r="AD360" s="6">
        <f t="shared" si="127"/>
        <v>0</v>
      </c>
      <c r="AE360">
        <f t="shared" si="118"/>
        <v>0</v>
      </c>
      <c r="AF360" s="5">
        <f t="shared" si="135"/>
        <v>45635</v>
      </c>
      <c r="AG360" s="25"/>
      <c r="AH360" s="25"/>
      <c r="AI360" s="25"/>
      <c r="AJ360" s="6">
        <f t="shared" si="128"/>
        <v>0</v>
      </c>
      <c r="AK360">
        <f t="shared" si="119"/>
        <v>0</v>
      </c>
      <c r="AL360" s="5">
        <f t="shared" si="136"/>
        <v>46001</v>
      </c>
      <c r="AM360" s="25"/>
      <c r="AN360" s="25"/>
      <c r="AO360" s="25"/>
      <c r="AP360" s="6">
        <f t="shared" si="129"/>
        <v>0</v>
      </c>
      <c r="AQ360">
        <f t="shared" si="120"/>
        <v>0</v>
      </c>
    </row>
    <row r="361" spans="1:43" x14ac:dyDescent="0.3">
      <c r="A361" s="5">
        <f t="shared" si="130"/>
        <v>43810</v>
      </c>
      <c r="B361" s="25">
        <v>209.24417639994621</v>
      </c>
      <c r="C361" s="25">
        <v>45.652829500000927</v>
      </c>
      <c r="D361" s="25">
        <v>19.776</v>
      </c>
      <c r="E361" s="6">
        <f t="shared" si="124"/>
        <v>274.67300589994716</v>
      </c>
      <c r="F361">
        <f t="shared" si="121"/>
        <v>0</v>
      </c>
      <c r="G361" s="5">
        <f t="shared" si="131"/>
        <v>44175</v>
      </c>
      <c r="H361" s="25">
        <v>211.73869459998608</v>
      </c>
      <c r="I361" s="25">
        <v>46.663239100001753</v>
      </c>
      <c r="J361" s="25">
        <v>21.870999999999999</v>
      </c>
      <c r="K361" s="6">
        <f t="shared" si="125"/>
        <v>280.27293369998779</v>
      </c>
      <c r="L361">
        <f t="shared" si="122"/>
        <v>0</v>
      </c>
      <c r="M361" s="5">
        <f t="shared" si="132"/>
        <v>44541</v>
      </c>
      <c r="N361" s="25">
        <v>220.23068509995937</v>
      </c>
      <c r="O361" s="25">
        <v>54.538246500000355</v>
      </c>
      <c r="P361" s="25">
        <v>21.457499000002048</v>
      </c>
      <c r="Q361" s="6">
        <f t="shared" si="123"/>
        <v>296.22643059996176</v>
      </c>
      <c r="R361">
        <f t="shared" si="116"/>
        <v>0</v>
      </c>
      <c r="S361" s="5">
        <f t="shared" si="133"/>
        <v>44906</v>
      </c>
      <c r="T361" s="25">
        <v>217.78134710001945</v>
      </c>
      <c r="U361" s="25">
        <v>47.177139399990438</v>
      </c>
      <c r="V361" s="25">
        <v>18.562716799997258</v>
      </c>
      <c r="W361" s="6">
        <f t="shared" si="126"/>
        <v>283.52120330000713</v>
      </c>
      <c r="X361">
        <f t="shared" si="117"/>
        <v>0</v>
      </c>
      <c r="Z361" s="5">
        <f t="shared" si="134"/>
        <v>44906</v>
      </c>
      <c r="AA361" s="25"/>
      <c r="AB361" s="25"/>
      <c r="AC361" s="25"/>
      <c r="AD361" s="6">
        <f t="shared" si="127"/>
        <v>0</v>
      </c>
      <c r="AE361">
        <f t="shared" si="118"/>
        <v>0</v>
      </c>
      <c r="AF361" s="5">
        <f t="shared" si="135"/>
        <v>45636</v>
      </c>
      <c r="AG361" s="25"/>
      <c r="AH361" s="25"/>
      <c r="AI361" s="25"/>
      <c r="AJ361" s="6">
        <f t="shared" si="128"/>
        <v>0</v>
      </c>
      <c r="AK361">
        <f t="shared" si="119"/>
        <v>0</v>
      </c>
      <c r="AL361" s="5">
        <f t="shared" si="136"/>
        <v>46002</v>
      </c>
      <c r="AM361" s="25"/>
      <c r="AN361" s="25"/>
      <c r="AO361" s="25"/>
      <c r="AP361" s="6">
        <f t="shared" si="129"/>
        <v>0</v>
      </c>
      <c r="AQ361">
        <f t="shared" si="120"/>
        <v>0</v>
      </c>
    </row>
    <row r="362" spans="1:43" x14ac:dyDescent="0.3">
      <c r="A362" s="5">
        <f t="shared" si="130"/>
        <v>43811</v>
      </c>
      <c r="B362" s="25">
        <v>211.0512569999695</v>
      </c>
      <c r="C362" s="25">
        <v>45.152544799998402</v>
      </c>
      <c r="D362" s="25">
        <v>18.736000000000001</v>
      </c>
      <c r="E362" s="6">
        <f t="shared" si="124"/>
        <v>274.93980179996788</v>
      </c>
      <c r="F362">
        <f t="shared" si="121"/>
        <v>0</v>
      </c>
      <c r="G362" s="5">
        <f t="shared" si="131"/>
        <v>44176</v>
      </c>
      <c r="H362" s="25">
        <v>198.93408219993114</v>
      </c>
      <c r="I362" s="25">
        <v>47.912369499996302</v>
      </c>
      <c r="J362" s="25">
        <v>22.77</v>
      </c>
      <c r="K362" s="6">
        <f t="shared" si="125"/>
        <v>269.61645169992744</v>
      </c>
      <c r="L362">
        <f t="shared" si="122"/>
        <v>0</v>
      </c>
      <c r="M362" s="5">
        <f t="shared" si="132"/>
        <v>44542</v>
      </c>
      <c r="N362" s="25">
        <v>169.13948080003263</v>
      </c>
      <c r="O362" s="25">
        <v>43.745973499998449</v>
      </c>
      <c r="P362" s="25">
        <v>18.313107099999556</v>
      </c>
      <c r="Q362" s="6">
        <f t="shared" si="123"/>
        <v>231.19856140003066</v>
      </c>
      <c r="R362">
        <f t="shared" si="116"/>
        <v>0</v>
      </c>
      <c r="S362" s="5">
        <f t="shared" si="133"/>
        <v>44907</v>
      </c>
      <c r="T362" s="25">
        <v>253.66895010006428</v>
      </c>
      <c r="U362" s="25">
        <v>58.151376599997285</v>
      </c>
      <c r="V362" s="25">
        <v>23.980367399998475</v>
      </c>
      <c r="W362" s="6">
        <f t="shared" si="126"/>
        <v>335.80069410006007</v>
      </c>
      <c r="X362">
        <f t="shared" si="117"/>
        <v>0</v>
      </c>
      <c r="Z362" s="5">
        <f t="shared" si="134"/>
        <v>44907</v>
      </c>
      <c r="AA362" s="25"/>
      <c r="AB362" s="25"/>
      <c r="AC362" s="25"/>
      <c r="AD362" s="6">
        <f t="shared" si="127"/>
        <v>0</v>
      </c>
      <c r="AE362">
        <f t="shared" si="118"/>
        <v>0</v>
      </c>
      <c r="AF362" s="5">
        <f t="shared" si="135"/>
        <v>45637</v>
      </c>
      <c r="AG362" s="25"/>
      <c r="AH362" s="25"/>
      <c r="AI362" s="25"/>
      <c r="AJ362" s="6">
        <f t="shared" si="128"/>
        <v>0</v>
      </c>
      <c r="AK362">
        <f t="shared" si="119"/>
        <v>0</v>
      </c>
      <c r="AL362" s="5">
        <f t="shared" si="136"/>
        <v>46003</v>
      </c>
      <c r="AM362" s="25"/>
      <c r="AN362" s="25"/>
      <c r="AO362" s="25"/>
      <c r="AP362" s="6">
        <f t="shared" si="129"/>
        <v>0</v>
      </c>
      <c r="AQ362">
        <f t="shared" si="120"/>
        <v>0</v>
      </c>
    </row>
    <row r="363" spans="1:43" x14ac:dyDescent="0.3">
      <c r="A363" s="5">
        <f t="shared" si="130"/>
        <v>43812</v>
      </c>
      <c r="B363" s="25">
        <v>216.77004000008105</v>
      </c>
      <c r="C363" s="25">
        <v>44.824332600001249</v>
      </c>
      <c r="D363" s="25">
        <v>20.77</v>
      </c>
      <c r="E363" s="6">
        <f t="shared" si="124"/>
        <v>282.36437260008228</v>
      </c>
      <c r="F363">
        <f t="shared" si="121"/>
        <v>0</v>
      </c>
      <c r="G363" s="5">
        <f t="shared" si="131"/>
        <v>44177</v>
      </c>
      <c r="H363" s="25">
        <v>181.34278760004042</v>
      </c>
      <c r="I363" s="25">
        <v>47.091591700002553</v>
      </c>
      <c r="J363" s="25">
        <v>22.564</v>
      </c>
      <c r="K363" s="6">
        <f t="shared" si="125"/>
        <v>250.99837930004296</v>
      </c>
      <c r="L363">
        <f t="shared" si="122"/>
        <v>0</v>
      </c>
      <c r="M363" s="5">
        <f t="shared" si="132"/>
        <v>44543</v>
      </c>
      <c r="N363" s="25">
        <v>228.53656699991225</v>
      </c>
      <c r="O363" s="25">
        <v>53.542495600000024</v>
      </c>
      <c r="P363" s="25">
        <v>22.418752499998082</v>
      </c>
      <c r="Q363" s="6">
        <f t="shared" si="123"/>
        <v>304.49781509991038</v>
      </c>
      <c r="R363">
        <f t="shared" si="116"/>
        <v>0</v>
      </c>
      <c r="S363" s="5">
        <f t="shared" si="133"/>
        <v>44908</v>
      </c>
      <c r="T363" s="25">
        <v>218.02522099995613</v>
      </c>
      <c r="U363" s="25">
        <v>59.563093400001527</v>
      </c>
      <c r="V363" s="25">
        <v>22.3678815000006</v>
      </c>
      <c r="W363" s="6">
        <f t="shared" si="126"/>
        <v>299.95619589995823</v>
      </c>
      <c r="X363">
        <f t="shared" si="117"/>
        <v>0</v>
      </c>
      <c r="Z363" s="5">
        <f t="shared" si="134"/>
        <v>44908</v>
      </c>
      <c r="AA363" s="25"/>
      <c r="AB363" s="25"/>
      <c r="AC363" s="25"/>
      <c r="AD363" s="6">
        <f t="shared" si="127"/>
        <v>0</v>
      </c>
      <c r="AE363">
        <f t="shared" si="118"/>
        <v>0</v>
      </c>
      <c r="AF363" s="5">
        <f t="shared" si="135"/>
        <v>45638</v>
      </c>
      <c r="AG363" s="25"/>
      <c r="AH363" s="25"/>
      <c r="AI363" s="25"/>
      <c r="AJ363" s="6">
        <f t="shared" si="128"/>
        <v>0</v>
      </c>
      <c r="AK363">
        <f t="shared" si="119"/>
        <v>0</v>
      </c>
      <c r="AL363" s="5">
        <f t="shared" si="136"/>
        <v>46004</v>
      </c>
      <c r="AM363" s="25"/>
      <c r="AN363" s="25"/>
      <c r="AO363" s="25"/>
      <c r="AP363" s="6">
        <f t="shared" si="129"/>
        <v>0</v>
      </c>
      <c r="AQ363">
        <f t="shared" si="120"/>
        <v>0</v>
      </c>
    </row>
    <row r="364" spans="1:43" x14ac:dyDescent="0.3">
      <c r="A364" s="5">
        <f t="shared" si="130"/>
        <v>43813</v>
      </c>
      <c r="B364" s="25">
        <v>201.02675199997424</v>
      </c>
      <c r="C364" s="25">
        <v>44.776206900000574</v>
      </c>
      <c r="D364" s="25">
        <v>22.670999999999999</v>
      </c>
      <c r="E364" s="6">
        <f t="shared" si="124"/>
        <v>268.47395889997483</v>
      </c>
      <c r="F364">
        <f t="shared" si="121"/>
        <v>0</v>
      </c>
      <c r="G364" s="5">
        <f t="shared" si="131"/>
        <v>44178</v>
      </c>
      <c r="H364" s="25">
        <v>168.07049810004236</v>
      </c>
      <c r="I364" s="25">
        <v>40.268070199996231</v>
      </c>
      <c r="J364" s="25">
        <v>21.073</v>
      </c>
      <c r="K364" s="6">
        <f t="shared" si="125"/>
        <v>229.4115683000386</v>
      </c>
      <c r="L364">
        <f t="shared" si="122"/>
        <v>0</v>
      </c>
      <c r="M364" s="5">
        <f t="shared" si="132"/>
        <v>44544</v>
      </c>
      <c r="N364" s="25">
        <v>213.09111000001431</v>
      </c>
      <c r="O364" s="25">
        <v>55.02245910000056</v>
      </c>
      <c r="P364" s="25">
        <v>21.932449499999873</v>
      </c>
      <c r="Q364" s="6">
        <f t="shared" si="123"/>
        <v>290.04601860001469</v>
      </c>
      <c r="R364">
        <f t="shared" si="116"/>
        <v>0</v>
      </c>
      <c r="S364" s="5">
        <f t="shared" si="133"/>
        <v>44909</v>
      </c>
      <c r="T364" s="25">
        <v>235.61385930001737</v>
      </c>
      <c r="U364" s="25">
        <v>59.497399000003931</v>
      </c>
      <c r="V364" s="25">
        <v>23.22027670000028</v>
      </c>
      <c r="W364" s="6">
        <f t="shared" si="126"/>
        <v>318.33153500002157</v>
      </c>
      <c r="X364">
        <f t="shared" si="117"/>
        <v>0</v>
      </c>
      <c r="Z364" s="5">
        <f t="shared" si="134"/>
        <v>44909</v>
      </c>
      <c r="AA364" s="25"/>
      <c r="AB364" s="25"/>
      <c r="AC364" s="25"/>
      <c r="AD364" s="6">
        <f t="shared" si="127"/>
        <v>0</v>
      </c>
      <c r="AE364">
        <f t="shared" si="118"/>
        <v>0</v>
      </c>
      <c r="AF364" s="5">
        <f t="shared" si="135"/>
        <v>45639</v>
      </c>
      <c r="AG364" s="25"/>
      <c r="AH364" s="25"/>
      <c r="AI364" s="25"/>
      <c r="AJ364" s="6">
        <f t="shared" si="128"/>
        <v>0</v>
      </c>
      <c r="AK364">
        <f t="shared" si="119"/>
        <v>0</v>
      </c>
      <c r="AL364" s="5">
        <f t="shared" si="136"/>
        <v>46005</v>
      </c>
      <c r="AM364" s="25"/>
      <c r="AN364" s="25"/>
      <c r="AO364" s="25"/>
      <c r="AP364" s="6">
        <f t="shared" si="129"/>
        <v>0</v>
      </c>
      <c r="AQ364">
        <f t="shared" si="120"/>
        <v>0</v>
      </c>
    </row>
    <row r="365" spans="1:43" x14ac:dyDescent="0.3">
      <c r="A365" s="5">
        <f t="shared" si="130"/>
        <v>43814</v>
      </c>
      <c r="B365" s="25">
        <v>191.91065619993211</v>
      </c>
      <c r="C365" s="25">
        <v>38.2300308999978</v>
      </c>
      <c r="D365" s="25">
        <v>16.984000000000002</v>
      </c>
      <c r="E365" s="6">
        <f t="shared" si="124"/>
        <v>247.1246870999299</v>
      </c>
      <c r="F365">
        <f t="shared" si="121"/>
        <v>0</v>
      </c>
      <c r="G365" s="5">
        <f t="shared" si="131"/>
        <v>44179</v>
      </c>
      <c r="H365" s="25">
        <v>195.26716129994392</v>
      </c>
      <c r="I365" s="25">
        <v>52.038768100000915</v>
      </c>
      <c r="J365" s="25">
        <v>23.036999999999999</v>
      </c>
      <c r="K365" s="6">
        <f t="shared" si="125"/>
        <v>270.34292939994481</v>
      </c>
      <c r="L365">
        <f t="shared" si="122"/>
        <v>0</v>
      </c>
      <c r="M365" s="5">
        <f t="shared" si="132"/>
        <v>44545</v>
      </c>
      <c r="N365" s="25">
        <v>214.29987990009784</v>
      </c>
      <c r="O365" s="25">
        <v>54.041540299996733</v>
      </c>
      <c r="P365" s="25">
        <v>21.751538799999981</v>
      </c>
      <c r="Q365" s="6">
        <f t="shared" si="123"/>
        <v>290.09295900009454</v>
      </c>
      <c r="R365">
        <f t="shared" si="116"/>
        <v>0</v>
      </c>
      <c r="S365" s="5">
        <f t="shared" si="133"/>
        <v>44910</v>
      </c>
      <c r="T365" s="25">
        <v>237.19218079996108</v>
      </c>
      <c r="U365" s="25">
        <v>59.4632351000011</v>
      </c>
      <c r="V365" s="25">
        <v>20.680966100001708</v>
      </c>
      <c r="W365" s="6">
        <f t="shared" si="126"/>
        <v>317.33638199996386</v>
      </c>
      <c r="X365">
        <f t="shared" si="117"/>
        <v>0</v>
      </c>
      <c r="Z365" s="5">
        <f t="shared" si="134"/>
        <v>44910</v>
      </c>
      <c r="AA365" s="25"/>
      <c r="AB365" s="25"/>
      <c r="AC365" s="25"/>
      <c r="AD365" s="6">
        <f t="shared" si="127"/>
        <v>0</v>
      </c>
      <c r="AE365">
        <f t="shared" si="118"/>
        <v>0</v>
      </c>
      <c r="AF365" s="5">
        <f t="shared" si="135"/>
        <v>45640</v>
      </c>
      <c r="AG365" s="25"/>
      <c r="AH365" s="25"/>
      <c r="AI365" s="25"/>
      <c r="AJ365" s="6">
        <f t="shared" si="128"/>
        <v>0</v>
      </c>
      <c r="AK365">
        <f t="shared" si="119"/>
        <v>0</v>
      </c>
      <c r="AL365" s="5">
        <f t="shared" si="136"/>
        <v>46006</v>
      </c>
      <c r="AM365" s="25"/>
      <c r="AN365" s="25"/>
      <c r="AO365" s="25"/>
      <c r="AP365" s="6">
        <f t="shared" si="129"/>
        <v>0</v>
      </c>
      <c r="AQ365">
        <f t="shared" si="120"/>
        <v>0</v>
      </c>
    </row>
    <row r="366" spans="1:43" x14ac:dyDescent="0.3">
      <c r="A366" s="5">
        <f t="shared" si="130"/>
        <v>43815</v>
      </c>
      <c r="B366" s="25">
        <v>214.36151750004291</v>
      </c>
      <c r="C366" s="25">
        <v>45.353784000001845</v>
      </c>
      <c r="D366" s="25">
        <v>24.449000000000002</v>
      </c>
      <c r="E366" s="6">
        <f t="shared" si="124"/>
        <v>284.16430150004476</v>
      </c>
      <c r="F366">
        <f t="shared" si="121"/>
        <v>0</v>
      </c>
      <c r="G366" s="5">
        <f t="shared" si="131"/>
        <v>44180</v>
      </c>
      <c r="H366" s="25">
        <v>206.62381130003928</v>
      </c>
      <c r="I366" s="25">
        <v>45.511225699998441</v>
      </c>
      <c r="J366" s="25">
        <v>22.077000000000002</v>
      </c>
      <c r="K366" s="6">
        <f t="shared" si="125"/>
        <v>274.21203700003775</v>
      </c>
      <c r="L366">
        <f t="shared" si="122"/>
        <v>0</v>
      </c>
      <c r="M366" s="5">
        <f t="shared" si="132"/>
        <v>44546</v>
      </c>
      <c r="N366" s="25">
        <v>220.62071399998666</v>
      </c>
      <c r="O366" s="25">
        <v>54.6228498999998</v>
      </c>
      <c r="P366" s="25">
        <v>22.704962999998941</v>
      </c>
      <c r="Q366" s="6">
        <f t="shared" si="123"/>
        <v>297.94852689998538</v>
      </c>
      <c r="R366">
        <f t="shared" si="116"/>
        <v>0</v>
      </c>
      <c r="S366" s="5">
        <f t="shared" si="133"/>
        <v>44911</v>
      </c>
      <c r="T366" s="25">
        <v>256.85353450000287</v>
      </c>
      <c r="U366" s="25">
        <v>59.945662599995735</v>
      </c>
      <c r="V366" s="25">
        <v>19.161494799999986</v>
      </c>
      <c r="W366" s="6">
        <f t="shared" si="126"/>
        <v>335.96069189999855</v>
      </c>
      <c r="X366">
        <f t="shared" si="117"/>
        <v>0</v>
      </c>
      <c r="Z366" s="5">
        <f t="shared" si="134"/>
        <v>44911</v>
      </c>
      <c r="AA366" s="25"/>
      <c r="AB366" s="25"/>
      <c r="AC366" s="25"/>
      <c r="AD366" s="6">
        <f t="shared" si="127"/>
        <v>0</v>
      </c>
      <c r="AE366">
        <f t="shared" si="118"/>
        <v>0</v>
      </c>
      <c r="AF366" s="5">
        <f t="shared" si="135"/>
        <v>45641</v>
      </c>
      <c r="AG366" s="25"/>
      <c r="AH366" s="25"/>
      <c r="AI366" s="25"/>
      <c r="AJ366" s="6">
        <f t="shared" si="128"/>
        <v>0</v>
      </c>
      <c r="AK366">
        <f t="shared" si="119"/>
        <v>0</v>
      </c>
      <c r="AL366" s="5">
        <f t="shared" si="136"/>
        <v>46007</v>
      </c>
      <c r="AM366" s="25"/>
      <c r="AN366" s="25"/>
      <c r="AO366" s="25"/>
      <c r="AP366" s="6">
        <f t="shared" si="129"/>
        <v>0</v>
      </c>
      <c r="AQ366">
        <f t="shared" si="120"/>
        <v>0</v>
      </c>
    </row>
    <row r="367" spans="1:43" x14ac:dyDescent="0.3">
      <c r="A367" s="5">
        <f t="shared" si="130"/>
        <v>43816</v>
      </c>
      <c r="B367" s="25">
        <v>216.50073839998245</v>
      </c>
      <c r="C367" s="25">
        <v>46.130903000000863</v>
      </c>
      <c r="D367" s="25">
        <v>25.582999999999998</v>
      </c>
      <c r="E367" s="6">
        <f t="shared" si="124"/>
        <v>288.21464139998329</v>
      </c>
      <c r="F367">
        <f t="shared" si="121"/>
        <v>0</v>
      </c>
      <c r="G367" s="5">
        <f t="shared" si="131"/>
        <v>44181</v>
      </c>
      <c r="H367" s="25">
        <v>201.33068169999123</v>
      </c>
      <c r="I367" s="25">
        <v>46.221754399999973</v>
      </c>
      <c r="J367" s="25">
        <v>21.141999999999999</v>
      </c>
      <c r="K367" s="6">
        <f t="shared" si="125"/>
        <v>268.69443609999121</v>
      </c>
      <c r="L367">
        <f t="shared" si="122"/>
        <v>0</v>
      </c>
      <c r="M367" s="5">
        <f t="shared" si="132"/>
        <v>44547</v>
      </c>
      <c r="N367" s="25">
        <v>234.80572689998149</v>
      </c>
      <c r="O367" s="25">
        <v>54.706006300002336</v>
      </c>
      <c r="P367" s="25">
        <v>21.576896600003121</v>
      </c>
      <c r="Q367" s="6">
        <f t="shared" si="123"/>
        <v>311.08862979998696</v>
      </c>
      <c r="R367">
        <f t="shared" si="116"/>
        <v>0</v>
      </c>
      <c r="S367" s="5">
        <f t="shared" si="133"/>
        <v>44912</v>
      </c>
      <c r="T367" s="25">
        <v>215.17281980001925</v>
      </c>
      <c r="U367" s="25">
        <v>59.210244100004438</v>
      </c>
      <c r="V367" s="25">
        <v>23.000739999997894</v>
      </c>
      <c r="W367" s="6">
        <f t="shared" si="126"/>
        <v>297.38380390002158</v>
      </c>
      <c r="X367">
        <f t="shared" si="117"/>
        <v>0</v>
      </c>
      <c r="Z367" s="5">
        <f t="shared" si="134"/>
        <v>44912</v>
      </c>
      <c r="AA367" s="25"/>
      <c r="AB367" s="25"/>
      <c r="AC367" s="25"/>
      <c r="AD367" s="6">
        <f t="shared" si="127"/>
        <v>0</v>
      </c>
      <c r="AE367">
        <f t="shared" si="118"/>
        <v>0</v>
      </c>
      <c r="AF367" s="5">
        <f t="shared" si="135"/>
        <v>45642</v>
      </c>
      <c r="AG367" s="25"/>
      <c r="AH367" s="25"/>
      <c r="AI367" s="25"/>
      <c r="AJ367" s="6">
        <f t="shared" si="128"/>
        <v>0</v>
      </c>
      <c r="AK367">
        <f t="shared" si="119"/>
        <v>0</v>
      </c>
      <c r="AL367" s="5">
        <f t="shared" si="136"/>
        <v>46008</v>
      </c>
      <c r="AM367" s="25"/>
      <c r="AN367" s="25"/>
      <c r="AO367" s="25"/>
      <c r="AP367" s="6">
        <f t="shared" si="129"/>
        <v>0</v>
      </c>
      <c r="AQ367">
        <f t="shared" si="120"/>
        <v>0</v>
      </c>
    </row>
    <row r="368" spans="1:43" x14ac:dyDescent="0.3">
      <c r="A368" s="5">
        <f t="shared" si="130"/>
        <v>43817</v>
      </c>
      <c r="B368" s="25">
        <v>219.784584100008</v>
      </c>
      <c r="C368" s="25">
        <v>48.716672799997035</v>
      </c>
      <c r="D368" s="25">
        <v>24.47</v>
      </c>
      <c r="E368" s="6">
        <f t="shared" si="124"/>
        <v>292.97125690000507</v>
      </c>
      <c r="F368">
        <f t="shared" si="121"/>
        <v>0</v>
      </c>
      <c r="G368" s="5">
        <f t="shared" si="131"/>
        <v>44182</v>
      </c>
      <c r="H368" s="25">
        <v>182.27566019999981</v>
      </c>
      <c r="I368" s="25">
        <v>48.660962800003588</v>
      </c>
      <c r="J368" s="25">
        <v>23.074999999999999</v>
      </c>
      <c r="K368" s="6">
        <f t="shared" si="125"/>
        <v>254.0116230000034</v>
      </c>
      <c r="L368">
        <f t="shared" si="122"/>
        <v>0</v>
      </c>
      <c r="M368" s="5">
        <f t="shared" si="132"/>
        <v>44548</v>
      </c>
      <c r="N368" s="25">
        <v>214.75357099997998</v>
      </c>
      <c r="O368" s="25">
        <v>52.874169299997391</v>
      </c>
      <c r="P368" s="25">
        <v>21.233145899998256</v>
      </c>
      <c r="Q368" s="6">
        <f t="shared" si="123"/>
        <v>288.86088619997565</v>
      </c>
      <c r="R368">
        <f t="shared" si="116"/>
        <v>0</v>
      </c>
      <c r="S368" s="5">
        <f t="shared" si="133"/>
        <v>44913</v>
      </c>
      <c r="T368" s="25">
        <v>213.98163250005246</v>
      </c>
      <c r="U368" s="25">
        <v>52.794032499998806</v>
      </c>
      <c r="V368" s="25">
        <v>16.763039900000209</v>
      </c>
      <c r="W368" s="6">
        <f t="shared" si="126"/>
        <v>283.53870490005147</v>
      </c>
      <c r="X368">
        <f t="shared" si="117"/>
        <v>0</v>
      </c>
      <c r="Z368" s="5">
        <f t="shared" si="134"/>
        <v>44913</v>
      </c>
      <c r="AA368" s="25"/>
      <c r="AB368" s="25"/>
      <c r="AC368" s="25"/>
      <c r="AD368" s="6">
        <f t="shared" si="127"/>
        <v>0</v>
      </c>
      <c r="AE368">
        <f t="shared" si="118"/>
        <v>0</v>
      </c>
      <c r="AF368" s="5">
        <f t="shared" si="135"/>
        <v>45643</v>
      </c>
      <c r="AG368" s="25"/>
      <c r="AH368" s="25"/>
      <c r="AI368" s="25"/>
      <c r="AJ368" s="6">
        <f t="shared" si="128"/>
        <v>0</v>
      </c>
      <c r="AK368">
        <f t="shared" si="119"/>
        <v>0</v>
      </c>
      <c r="AL368" s="5">
        <f t="shared" si="136"/>
        <v>46009</v>
      </c>
      <c r="AM368" s="25"/>
      <c r="AN368" s="25"/>
      <c r="AO368" s="25"/>
      <c r="AP368" s="6">
        <f t="shared" si="129"/>
        <v>0</v>
      </c>
      <c r="AQ368">
        <f t="shared" si="120"/>
        <v>0</v>
      </c>
    </row>
    <row r="369" spans="1:44" x14ac:dyDescent="0.3">
      <c r="A369" s="5">
        <f t="shared" si="130"/>
        <v>43818</v>
      </c>
      <c r="B369" s="25">
        <v>216.34694019997119</v>
      </c>
      <c r="C369" s="25">
        <v>45.290944000002</v>
      </c>
      <c r="D369" s="25">
        <v>25.210999999999999</v>
      </c>
      <c r="E369" s="6">
        <f t="shared" si="124"/>
        <v>286.84888419997321</v>
      </c>
      <c r="F369">
        <f t="shared" si="121"/>
        <v>0</v>
      </c>
      <c r="G369" s="5">
        <f t="shared" si="131"/>
        <v>44183</v>
      </c>
      <c r="H369" s="25">
        <v>210.37828729999066</v>
      </c>
      <c r="I369" s="25">
        <v>49.043708200000225</v>
      </c>
      <c r="J369" s="25">
        <v>22.422000000000001</v>
      </c>
      <c r="K369" s="6">
        <f t="shared" si="125"/>
        <v>281.84399549999091</v>
      </c>
      <c r="L369">
        <f t="shared" si="122"/>
        <v>0</v>
      </c>
      <c r="M369" s="5">
        <f t="shared" si="132"/>
        <v>44549</v>
      </c>
      <c r="N369" s="25">
        <v>157.10430139994622</v>
      </c>
      <c r="O369" s="25">
        <v>43.524278000004593</v>
      </c>
      <c r="P369" s="25">
        <v>16.701256200001573</v>
      </c>
      <c r="Q369" s="6">
        <f t="shared" si="123"/>
        <v>217.32983559995239</v>
      </c>
      <c r="R369">
        <f t="shared" si="116"/>
        <v>0</v>
      </c>
      <c r="S369" s="5">
        <f t="shared" si="133"/>
        <v>44914</v>
      </c>
      <c r="T369" s="25">
        <v>227.08883899998665</v>
      </c>
      <c r="U369" s="25">
        <v>57.379631899997591</v>
      </c>
      <c r="V369" s="25">
        <v>22.767484800002073</v>
      </c>
      <c r="W369" s="6">
        <f t="shared" si="126"/>
        <v>307.23595569998633</v>
      </c>
      <c r="X369">
        <f t="shared" si="117"/>
        <v>0</v>
      </c>
      <c r="Z369" s="5">
        <f t="shared" si="134"/>
        <v>44914</v>
      </c>
      <c r="AA369" s="25"/>
      <c r="AB369" s="25"/>
      <c r="AC369" s="25"/>
      <c r="AD369" s="6">
        <f t="shared" si="127"/>
        <v>0</v>
      </c>
      <c r="AE369">
        <f t="shared" si="118"/>
        <v>0</v>
      </c>
      <c r="AF369" s="5">
        <f t="shared" si="135"/>
        <v>45644</v>
      </c>
      <c r="AG369" s="25"/>
      <c r="AH369" s="25"/>
      <c r="AI369" s="25"/>
      <c r="AJ369" s="6">
        <f t="shared" si="128"/>
        <v>0</v>
      </c>
      <c r="AK369">
        <f t="shared" si="119"/>
        <v>0</v>
      </c>
      <c r="AL369" s="5">
        <f t="shared" si="136"/>
        <v>46010</v>
      </c>
      <c r="AM369" s="25"/>
      <c r="AN369" s="25"/>
      <c r="AO369" s="25"/>
      <c r="AP369" s="6">
        <f t="shared" si="129"/>
        <v>0</v>
      </c>
      <c r="AQ369">
        <f t="shared" si="120"/>
        <v>0</v>
      </c>
    </row>
    <row r="370" spans="1:44" x14ac:dyDescent="0.3">
      <c r="A370" s="5">
        <f t="shared" si="130"/>
        <v>43819</v>
      </c>
      <c r="B370" s="25">
        <v>216.1832893999815</v>
      </c>
      <c r="C370" s="25">
        <v>45.721666400000451</v>
      </c>
      <c r="D370" s="25">
        <v>23.785</v>
      </c>
      <c r="E370" s="6">
        <f t="shared" si="124"/>
        <v>285.68995579998199</v>
      </c>
      <c r="F370">
        <f t="shared" si="121"/>
        <v>0</v>
      </c>
      <c r="G370" s="5">
        <f t="shared" si="131"/>
        <v>44184</v>
      </c>
      <c r="H370" s="25">
        <v>192.10150259995461</v>
      </c>
      <c r="I370" s="25">
        <v>47.225704399995507</v>
      </c>
      <c r="J370" s="25">
        <v>22.364000000000001</v>
      </c>
      <c r="K370" s="6">
        <f t="shared" si="125"/>
        <v>261.69120699995011</v>
      </c>
      <c r="L370">
        <f t="shared" si="122"/>
        <v>0</v>
      </c>
      <c r="M370" s="5">
        <f t="shared" si="132"/>
        <v>44550</v>
      </c>
      <c r="N370" s="25">
        <v>193.66899180006982</v>
      </c>
      <c r="O370" s="25">
        <v>52.958900600001215</v>
      </c>
      <c r="P370" s="25">
        <v>20.138267399999663</v>
      </c>
      <c r="Q370" s="6">
        <f t="shared" si="123"/>
        <v>266.76615980007068</v>
      </c>
      <c r="R370">
        <f t="shared" si="116"/>
        <v>0</v>
      </c>
      <c r="S370" s="5">
        <f t="shared" si="133"/>
        <v>44915</v>
      </c>
      <c r="T370" s="25">
        <v>244.20801499998569</v>
      </c>
      <c r="U370" s="25">
        <v>58.381451300010085</v>
      </c>
      <c r="V370" s="25">
        <v>22.730515499997885</v>
      </c>
      <c r="W370" s="6">
        <f t="shared" si="126"/>
        <v>325.31998179999363</v>
      </c>
      <c r="X370">
        <f t="shared" si="117"/>
        <v>0</v>
      </c>
      <c r="Z370" s="5">
        <f t="shared" si="134"/>
        <v>44915</v>
      </c>
      <c r="AA370" s="25"/>
      <c r="AB370" s="25"/>
      <c r="AC370" s="25"/>
      <c r="AD370" s="6">
        <f t="shared" si="127"/>
        <v>0</v>
      </c>
      <c r="AE370">
        <f t="shared" si="118"/>
        <v>0</v>
      </c>
      <c r="AF370" s="5">
        <f t="shared" si="135"/>
        <v>45645</v>
      </c>
      <c r="AG370" s="25"/>
      <c r="AH370" s="25"/>
      <c r="AI370" s="25"/>
      <c r="AJ370" s="6">
        <f t="shared" si="128"/>
        <v>0</v>
      </c>
      <c r="AK370">
        <f t="shared" si="119"/>
        <v>0</v>
      </c>
      <c r="AL370" s="5">
        <f t="shared" si="136"/>
        <v>46011</v>
      </c>
      <c r="AM370" s="25"/>
      <c r="AN370" s="25"/>
      <c r="AO370" s="25"/>
      <c r="AP370" s="6">
        <f t="shared" si="129"/>
        <v>0</v>
      </c>
      <c r="AQ370">
        <f t="shared" si="120"/>
        <v>0</v>
      </c>
    </row>
    <row r="371" spans="1:44" x14ac:dyDescent="0.3">
      <c r="A371" s="5">
        <f t="shared" si="130"/>
        <v>43820</v>
      </c>
      <c r="B371" s="25">
        <v>200.7521033000946</v>
      </c>
      <c r="C371" s="25">
        <v>43.569878599997608</v>
      </c>
      <c r="D371" s="25">
        <v>22.869</v>
      </c>
      <c r="E371" s="6">
        <f t="shared" si="124"/>
        <v>267.1909819000922</v>
      </c>
      <c r="F371">
        <f t="shared" si="121"/>
        <v>0</v>
      </c>
      <c r="G371" s="5">
        <f t="shared" si="131"/>
        <v>44185</v>
      </c>
      <c r="H371" s="25">
        <v>160.01681470000744</v>
      </c>
      <c r="I371" s="25">
        <v>40.480388600006698</v>
      </c>
      <c r="J371" s="25">
        <v>19.808</v>
      </c>
      <c r="K371" s="6">
        <f t="shared" si="125"/>
        <v>220.30520330001414</v>
      </c>
      <c r="L371">
        <f t="shared" si="122"/>
        <v>0</v>
      </c>
      <c r="M371" s="5">
        <f t="shared" si="132"/>
        <v>44551</v>
      </c>
      <c r="N371" s="25">
        <v>203.15854579997063</v>
      </c>
      <c r="O371" s="25">
        <v>51.743941100001337</v>
      </c>
      <c r="P371" s="25">
        <v>20.581397599997814</v>
      </c>
      <c r="Q371" s="6">
        <f t="shared" si="123"/>
        <v>275.4838844999698</v>
      </c>
      <c r="R371">
        <f t="shared" si="116"/>
        <v>0</v>
      </c>
      <c r="S371" s="5">
        <f t="shared" si="133"/>
        <v>44916</v>
      </c>
      <c r="T371" s="25">
        <v>247.96843429994584</v>
      </c>
      <c r="U371" s="25">
        <v>59.849103099986912</v>
      </c>
      <c r="V371" s="25">
        <v>24.393496900002937</v>
      </c>
      <c r="W371" s="6">
        <f t="shared" si="126"/>
        <v>332.2110342999357</v>
      </c>
      <c r="X371">
        <f t="shared" si="117"/>
        <v>0</v>
      </c>
      <c r="Z371" s="5">
        <f t="shared" si="134"/>
        <v>44916</v>
      </c>
      <c r="AA371" s="25"/>
      <c r="AB371" s="25"/>
      <c r="AC371" s="25"/>
      <c r="AD371" s="6">
        <f t="shared" si="127"/>
        <v>0</v>
      </c>
      <c r="AE371">
        <f t="shared" si="118"/>
        <v>0</v>
      </c>
      <c r="AF371" s="5">
        <f t="shared" si="135"/>
        <v>45646</v>
      </c>
      <c r="AG371" s="25"/>
      <c r="AH371" s="25"/>
      <c r="AI371" s="25"/>
      <c r="AJ371" s="6">
        <f t="shared" si="128"/>
        <v>0</v>
      </c>
      <c r="AK371">
        <f t="shared" si="119"/>
        <v>0</v>
      </c>
      <c r="AL371" s="5">
        <f t="shared" si="136"/>
        <v>46012</v>
      </c>
      <c r="AM371" s="25"/>
      <c r="AN371" s="25"/>
      <c r="AO371" s="25"/>
      <c r="AP371" s="6">
        <f t="shared" si="129"/>
        <v>0</v>
      </c>
      <c r="AQ371">
        <f t="shared" si="120"/>
        <v>0</v>
      </c>
    </row>
    <row r="372" spans="1:44" x14ac:dyDescent="0.3">
      <c r="A372" s="5">
        <f t="shared" si="130"/>
        <v>43821</v>
      </c>
      <c r="B372" s="25">
        <v>193.53443649995327</v>
      </c>
      <c r="C372" s="25">
        <v>38.27274860000238</v>
      </c>
      <c r="D372" s="25">
        <v>17.257000000000001</v>
      </c>
      <c r="E372" s="6">
        <f t="shared" si="124"/>
        <v>249.06418509995567</v>
      </c>
      <c r="F372">
        <f t="shared" si="121"/>
        <v>0</v>
      </c>
      <c r="G372" s="5">
        <f t="shared" si="131"/>
        <v>44186</v>
      </c>
      <c r="H372" s="25">
        <v>207.33222190010548</v>
      </c>
      <c r="I372" s="25">
        <v>48.735782399997113</v>
      </c>
      <c r="J372" s="25">
        <v>21.215</v>
      </c>
      <c r="K372" s="6">
        <f t="shared" si="125"/>
        <v>277.28300430010256</v>
      </c>
      <c r="L372">
        <f t="shared" si="122"/>
        <v>0</v>
      </c>
      <c r="M372" s="5">
        <f t="shared" si="132"/>
        <v>44552</v>
      </c>
      <c r="N372" s="25">
        <v>226.31146950006485</v>
      </c>
      <c r="O372" s="25">
        <v>53.484648699998857</v>
      </c>
      <c r="P372" s="25">
        <v>20.87858400000038</v>
      </c>
      <c r="Q372" s="6">
        <f t="shared" si="123"/>
        <v>300.67470220006408</v>
      </c>
      <c r="R372">
        <f t="shared" si="116"/>
        <v>0</v>
      </c>
      <c r="S372" s="5">
        <f t="shared" si="133"/>
        <v>44917</v>
      </c>
      <c r="T372" s="25">
        <v>224.73649080002309</v>
      </c>
      <c r="U372" s="25">
        <v>60.394861500009895</v>
      </c>
      <c r="V372" s="25">
        <v>24.981586999997496</v>
      </c>
      <c r="W372" s="6">
        <f t="shared" si="126"/>
        <v>310.11293930003046</v>
      </c>
      <c r="X372">
        <f t="shared" si="117"/>
        <v>0</v>
      </c>
      <c r="Z372" s="5">
        <f t="shared" si="134"/>
        <v>44917</v>
      </c>
      <c r="AA372" s="25"/>
      <c r="AB372" s="25"/>
      <c r="AC372" s="25"/>
      <c r="AD372" s="6">
        <f t="shared" si="127"/>
        <v>0</v>
      </c>
      <c r="AE372">
        <f t="shared" si="118"/>
        <v>0</v>
      </c>
      <c r="AF372" s="5">
        <f t="shared" si="135"/>
        <v>45647</v>
      </c>
      <c r="AG372" s="25"/>
      <c r="AH372" s="25"/>
      <c r="AI372" s="25"/>
      <c r="AJ372" s="6">
        <f t="shared" si="128"/>
        <v>0</v>
      </c>
      <c r="AK372">
        <f t="shared" si="119"/>
        <v>0</v>
      </c>
      <c r="AL372" s="5">
        <f t="shared" si="136"/>
        <v>46013</v>
      </c>
      <c r="AM372" s="25"/>
      <c r="AN372" s="25"/>
      <c r="AO372" s="25"/>
      <c r="AP372" s="6">
        <f t="shared" si="129"/>
        <v>0</v>
      </c>
      <c r="AQ372">
        <f t="shared" si="120"/>
        <v>0</v>
      </c>
    </row>
    <row r="373" spans="1:44" x14ac:dyDescent="0.3">
      <c r="A373" s="5">
        <f t="shared" si="130"/>
        <v>43822</v>
      </c>
      <c r="B373" s="25">
        <v>208.6623655999899</v>
      </c>
      <c r="C373" s="25">
        <v>45.496255399998276</v>
      </c>
      <c r="D373" s="25">
        <v>21.5215</v>
      </c>
      <c r="E373" s="6">
        <f t="shared" si="124"/>
        <v>275.68012099998816</v>
      </c>
      <c r="F373">
        <f t="shared" si="121"/>
        <v>0</v>
      </c>
      <c r="G373" s="5">
        <f t="shared" si="131"/>
        <v>44187</v>
      </c>
      <c r="H373" s="25">
        <v>206.25855279994011</v>
      </c>
      <c r="I373" s="25">
        <v>51.180223300002517</v>
      </c>
      <c r="J373" s="25">
        <v>22.724</v>
      </c>
      <c r="K373" s="6">
        <f t="shared" si="125"/>
        <v>280.16277609994262</v>
      </c>
      <c r="L373">
        <f t="shared" si="122"/>
        <v>0</v>
      </c>
      <c r="M373" s="5">
        <f t="shared" si="132"/>
        <v>44553</v>
      </c>
      <c r="N373" s="25">
        <v>245.74393919992445</v>
      </c>
      <c r="O373" s="25">
        <v>54.033013299994174</v>
      </c>
      <c r="P373" s="25">
        <v>23.131391400000545</v>
      </c>
      <c r="Q373" s="6">
        <f t="shared" si="123"/>
        <v>322.9083438999192</v>
      </c>
      <c r="R373">
        <f t="shared" si="116"/>
        <v>0</v>
      </c>
      <c r="S373" s="5">
        <f t="shared" si="133"/>
        <v>44918</v>
      </c>
      <c r="T373" s="25">
        <v>192.52145370006562</v>
      </c>
      <c r="U373" s="25">
        <v>59.235469599992037</v>
      </c>
      <c r="V373" s="25">
        <v>24.494115700000897</v>
      </c>
      <c r="W373" s="6">
        <f t="shared" si="126"/>
        <v>276.25103900005854</v>
      </c>
      <c r="X373">
        <f t="shared" si="117"/>
        <v>0</v>
      </c>
      <c r="Z373" s="5">
        <f t="shared" si="134"/>
        <v>44918</v>
      </c>
      <c r="AA373" s="25"/>
      <c r="AB373" s="25"/>
      <c r="AC373" s="25"/>
      <c r="AD373" s="6">
        <f t="shared" si="127"/>
        <v>0</v>
      </c>
      <c r="AE373">
        <f t="shared" si="118"/>
        <v>0</v>
      </c>
      <c r="AF373" s="5">
        <f t="shared" si="135"/>
        <v>45648</v>
      </c>
      <c r="AG373" s="25"/>
      <c r="AH373" s="25"/>
      <c r="AI373" s="25"/>
      <c r="AJ373" s="6">
        <f t="shared" si="128"/>
        <v>0</v>
      </c>
      <c r="AK373">
        <f t="shared" si="119"/>
        <v>0</v>
      </c>
      <c r="AL373" s="5">
        <f t="shared" si="136"/>
        <v>46014</v>
      </c>
      <c r="AM373" s="25"/>
      <c r="AN373" s="25"/>
      <c r="AO373" s="25"/>
      <c r="AP373" s="6">
        <f t="shared" si="129"/>
        <v>0</v>
      </c>
      <c r="AQ373">
        <f t="shared" si="120"/>
        <v>0</v>
      </c>
    </row>
    <row r="374" spans="1:44" x14ac:dyDescent="0.3">
      <c r="A374" s="5">
        <f t="shared" si="130"/>
        <v>43823</v>
      </c>
      <c r="B374" s="25">
        <v>204.4566374000311</v>
      </c>
      <c r="C374" s="25">
        <v>42.845017300002276</v>
      </c>
      <c r="D374" s="25">
        <v>21.560200000000002</v>
      </c>
      <c r="E374" s="6">
        <f t="shared" si="124"/>
        <v>268.86185470003335</v>
      </c>
      <c r="F374">
        <f t="shared" si="121"/>
        <v>0</v>
      </c>
      <c r="G374" s="5">
        <f t="shared" si="131"/>
        <v>44188</v>
      </c>
      <c r="H374" s="25">
        <v>198.89312199997903</v>
      </c>
      <c r="I374" s="25">
        <v>48.416528899997473</v>
      </c>
      <c r="J374" s="25">
        <v>22.535</v>
      </c>
      <c r="K374" s="6">
        <f t="shared" si="125"/>
        <v>269.8446508999765</v>
      </c>
      <c r="L374">
        <f t="shared" si="122"/>
        <v>0</v>
      </c>
      <c r="M374" s="5">
        <f t="shared" si="132"/>
        <v>44554</v>
      </c>
      <c r="N374" s="25">
        <v>217.35888020002841</v>
      </c>
      <c r="O374" s="25">
        <v>50.520823700003326</v>
      </c>
      <c r="P374" s="25">
        <v>19.958500799998873</v>
      </c>
      <c r="Q374" s="6">
        <f t="shared" si="123"/>
        <v>287.83820470003064</v>
      </c>
      <c r="R374">
        <f t="shared" si="116"/>
        <v>0</v>
      </c>
      <c r="S374" s="5">
        <f t="shared" si="133"/>
        <v>44919</v>
      </c>
      <c r="T374" s="25">
        <v>167.50651719999314</v>
      </c>
      <c r="U374" s="25">
        <v>51.780636500000952</v>
      </c>
      <c r="V374" s="25">
        <v>16.393802399999927</v>
      </c>
      <c r="W374" s="6">
        <f t="shared" si="126"/>
        <v>235.68095609999403</v>
      </c>
      <c r="X374">
        <f t="shared" si="117"/>
        <v>0</v>
      </c>
      <c r="Z374" s="5">
        <f t="shared" si="134"/>
        <v>44919</v>
      </c>
      <c r="AA374" s="25"/>
      <c r="AB374" s="25"/>
      <c r="AC374" s="25"/>
      <c r="AD374" s="6">
        <f t="shared" si="127"/>
        <v>0</v>
      </c>
      <c r="AE374">
        <f t="shared" si="118"/>
        <v>0</v>
      </c>
      <c r="AF374" s="5">
        <f t="shared" si="135"/>
        <v>45649</v>
      </c>
      <c r="AG374" s="25"/>
      <c r="AH374" s="25"/>
      <c r="AI374" s="25"/>
      <c r="AJ374" s="6">
        <f t="shared" si="128"/>
        <v>0</v>
      </c>
      <c r="AK374">
        <f t="shared" si="119"/>
        <v>0</v>
      </c>
      <c r="AL374" s="5">
        <f t="shared" si="136"/>
        <v>46015</v>
      </c>
      <c r="AM374" s="25"/>
      <c r="AN374" s="25"/>
      <c r="AO374" s="25"/>
      <c r="AP374" s="6">
        <f t="shared" si="129"/>
        <v>0</v>
      </c>
      <c r="AQ374">
        <f t="shared" si="120"/>
        <v>0</v>
      </c>
    </row>
    <row r="375" spans="1:44" x14ac:dyDescent="0.3">
      <c r="A375" s="5">
        <f t="shared" si="130"/>
        <v>43824</v>
      </c>
      <c r="B375" s="25">
        <v>179.29647200000286</v>
      </c>
      <c r="C375" s="25">
        <v>34.341135999999942</v>
      </c>
      <c r="D375" s="25">
        <v>11.959899999999999</v>
      </c>
      <c r="E375" s="6">
        <f t="shared" si="124"/>
        <v>225.59750800000282</v>
      </c>
      <c r="F375">
        <f t="shared" si="121"/>
        <v>0</v>
      </c>
      <c r="G375" s="5">
        <f t="shared" si="131"/>
        <v>44189</v>
      </c>
      <c r="H375" s="25">
        <v>188.64309469997883</v>
      </c>
      <c r="I375" s="25">
        <v>45.880439599998297</v>
      </c>
      <c r="J375" s="25">
        <v>21.856999999999999</v>
      </c>
      <c r="K375" s="6">
        <f t="shared" si="125"/>
        <v>256.38053429997717</v>
      </c>
      <c r="L375">
        <f t="shared" si="122"/>
        <v>0</v>
      </c>
      <c r="M375" s="5">
        <f t="shared" si="132"/>
        <v>44555</v>
      </c>
      <c r="N375" s="25">
        <v>154.06019669997693</v>
      </c>
      <c r="O375" s="25">
        <v>37.364251699998974</v>
      </c>
      <c r="P375" s="25">
        <v>11.118060100000118</v>
      </c>
      <c r="Q375" s="6">
        <f t="shared" si="123"/>
        <v>202.54250849997604</v>
      </c>
      <c r="R375">
        <f t="shared" si="116"/>
        <v>0</v>
      </c>
      <c r="S375" s="5">
        <f t="shared" si="133"/>
        <v>44920</v>
      </c>
      <c r="T375" s="25">
        <v>166.16266609990598</v>
      </c>
      <c r="U375" s="25">
        <v>43.364386199995877</v>
      </c>
      <c r="V375" s="25">
        <v>12.441439300001599</v>
      </c>
      <c r="W375" s="6">
        <f t="shared" si="126"/>
        <v>221.96849159990347</v>
      </c>
      <c r="X375">
        <f t="shared" si="117"/>
        <v>0</v>
      </c>
      <c r="Z375" s="5">
        <f t="shared" si="134"/>
        <v>44920</v>
      </c>
      <c r="AA375" s="25"/>
      <c r="AB375" s="25"/>
      <c r="AC375" s="25"/>
      <c r="AD375" s="6">
        <f t="shared" si="127"/>
        <v>0</v>
      </c>
      <c r="AE375">
        <f t="shared" si="118"/>
        <v>0</v>
      </c>
      <c r="AF375" s="5">
        <f t="shared" si="135"/>
        <v>45650</v>
      </c>
      <c r="AG375" s="25"/>
      <c r="AH375" s="25"/>
      <c r="AI375" s="25"/>
      <c r="AJ375" s="6">
        <f t="shared" si="128"/>
        <v>0</v>
      </c>
      <c r="AK375">
        <f t="shared" si="119"/>
        <v>0</v>
      </c>
      <c r="AL375" s="5">
        <f t="shared" si="136"/>
        <v>46016</v>
      </c>
      <c r="AM375" s="25"/>
      <c r="AN375" s="25"/>
      <c r="AO375" s="25"/>
      <c r="AP375" s="6">
        <f t="shared" si="129"/>
        <v>0</v>
      </c>
      <c r="AQ375">
        <f t="shared" si="120"/>
        <v>0</v>
      </c>
    </row>
    <row r="376" spans="1:44" x14ac:dyDescent="0.3">
      <c r="A376" s="5">
        <f t="shared" si="130"/>
        <v>43825</v>
      </c>
      <c r="B376" s="25">
        <v>213.84059769999982</v>
      </c>
      <c r="C376" s="25">
        <v>47.374184999998661</v>
      </c>
      <c r="D376" s="25">
        <v>23.189</v>
      </c>
      <c r="E376" s="6">
        <f t="shared" si="124"/>
        <v>284.40378269999849</v>
      </c>
      <c r="F376">
        <f t="shared" si="121"/>
        <v>0</v>
      </c>
      <c r="G376" s="5">
        <f t="shared" si="131"/>
        <v>44190</v>
      </c>
      <c r="H376" s="25">
        <v>150.22311040008069</v>
      </c>
      <c r="I376" s="25">
        <v>34.436671000003813</v>
      </c>
      <c r="J376" s="25">
        <v>15.817</v>
      </c>
      <c r="K376" s="6">
        <f t="shared" si="125"/>
        <v>200.47678140008452</v>
      </c>
      <c r="L376">
        <f t="shared" si="122"/>
        <v>0</v>
      </c>
      <c r="M376" s="5">
        <f t="shared" si="132"/>
        <v>44556</v>
      </c>
      <c r="N376" s="25">
        <v>169.54532620000839</v>
      </c>
      <c r="O376" s="25">
        <v>41.485579300001262</v>
      </c>
      <c r="P376" s="25">
        <v>11.565552600002615</v>
      </c>
      <c r="Q376" s="6">
        <f t="shared" si="123"/>
        <v>222.59645810001226</v>
      </c>
      <c r="R376">
        <f t="shared" si="116"/>
        <v>0</v>
      </c>
      <c r="S376" s="5">
        <f t="shared" si="133"/>
        <v>44921</v>
      </c>
      <c r="T376" s="25">
        <v>193.84456420004369</v>
      </c>
      <c r="U376" s="25">
        <v>58.759683800011871</v>
      </c>
      <c r="V376" s="25">
        <v>22.028273999999278</v>
      </c>
      <c r="W376" s="6">
        <f t="shared" si="126"/>
        <v>274.63252200005485</v>
      </c>
      <c r="X376">
        <f t="shared" si="117"/>
        <v>0</v>
      </c>
      <c r="Z376" s="5">
        <f t="shared" si="134"/>
        <v>44921</v>
      </c>
      <c r="AA376" s="25"/>
      <c r="AB376" s="25"/>
      <c r="AC376" s="25"/>
      <c r="AD376" s="6">
        <f t="shared" si="127"/>
        <v>0</v>
      </c>
      <c r="AE376">
        <f t="shared" si="118"/>
        <v>0</v>
      </c>
      <c r="AF376" s="5">
        <f t="shared" si="135"/>
        <v>45651</v>
      </c>
      <c r="AG376" s="25"/>
      <c r="AH376" s="25"/>
      <c r="AI376" s="25"/>
      <c r="AJ376" s="6">
        <f t="shared" si="128"/>
        <v>0</v>
      </c>
      <c r="AK376">
        <f t="shared" si="119"/>
        <v>0</v>
      </c>
      <c r="AL376" s="5">
        <f t="shared" si="136"/>
        <v>46017</v>
      </c>
      <c r="AM376" s="25"/>
      <c r="AN376" s="25"/>
      <c r="AO376" s="25"/>
      <c r="AP376" s="6">
        <f t="shared" si="129"/>
        <v>0</v>
      </c>
      <c r="AQ376">
        <f t="shared" si="120"/>
        <v>0</v>
      </c>
    </row>
    <row r="377" spans="1:44" x14ac:dyDescent="0.3">
      <c r="A377" s="5">
        <f t="shared" si="130"/>
        <v>43826</v>
      </c>
      <c r="B377" s="25">
        <v>220.47908449995518</v>
      </c>
      <c r="C377" s="25">
        <v>45.160760800000283</v>
      </c>
      <c r="D377" s="25">
        <v>22.841000000000001</v>
      </c>
      <c r="E377" s="6">
        <f t="shared" si="124"/>
        <v>288.48084529995549</v>
      </c>
      <c r="F377">
        <f t="shared" si="121"/>
        <v>0</v>
      </c>
      <c r="G377" s="5">
        <f t="shared" si="131"/>
        <v>44191</v>
      </c>
      <c r="H377" s="25">
        <v>185.0646737999916</v>
      </c>
      <c r="I377" s="25">
        <v>41.694109600000083</v>
      </c>
      <c r="J377" s="25">
        <v>21.966999999999999</v>
      </c>
      <c r="K377" s="6">
        <f t="shared" si="125"/>
        <v>248.72578339999166</v>
      </c>
      <c r="L377">
        <f t="shared" si="122"/>
        <v>0</v>
      </c>
      <c r="M377" s="5">
        <f t="shared" si="132"/>
        <v>44557</v>
      </c>
      <c r="N377" s="25">
        <v>207.83091929996013</v>
      </c>
      <c r="O377" s="25">
        <v>51.549381999999284</v>
      </c>
      <c r="P377" s="25">
        <v>20.44686550000019</v>
      </c>
      <c r="Q377" s="6">
        <f t="shared" si="123"/>
        <v>279.82716679995957</v>
      </c>
      <c r="R377">
        <f t="shared" si="116"/>
        <v>0</v>
      </c>
      <c r="S377" s="5">
        <f t="shared" si="133"/>
        <v>44922</v>
      </c>
      <c r="T377" s="25">
        <v>194.10764069998265</v>
      </c>
      <c r="U377" s="25">
        <v>60.961657299995423</v>
      </c>
      <c r="V377" s="25">
        <v>23.664574699998369</v>
      </c>
      <c r="W377" s="6">
        <f t="shared" si="126"/>
        <v>278.73387269997642</v>
      </c>
      <c r="X377">
        <f t="shared" si="117"/>
        <v>0</v>
      </c>
      <c r="Z377" s="5">
        <f t="shared" si="134"/>
        <v>44922</v>
      </c>
      <c r="AA377" s="25"/>
      <c r="AB377" s="25"/>
      <c r="AC377" s="25"/>
      <c r="AD377" s="6">
        <f t="shared" si="127"/>
        <v>0</v>
      </c>
      <c r="AE377">
        <f t="shared" si="118"/>
        <v>0</v>
      </c>
      <c r="AF377" s="5">
        <f t="shared" si="135"/>
        <v>45652</v>
      </c>
      <c r="AG377" s="25"/>
      <c r="AH377" s="25"/>
      <c r="AI377" s="25"/>
      <c r="AJ377" s="6">
        <f t="shared" si="128"/>
        <v>0</v>
      </c>
      <c r="AK377">
        <f t="shared" si="119"/>
        <v>0</v>
      </c>
      <c r="AL377" s="5">
        <f t="shared" si="136"/>
        <v>46018</v>
      </c>
      <c r="AM377" s="25"/>
      <c r="AN377" s="25"/>
      <c r="AO377" s="25"/>
      <c r="AP377" s="6">
        <f t="shared" si="129"/>
        <v>0</v>
      </c>
      <c r="AQ377">
        <f t="shared" si="120"/>
        <v>0</v>
      </c>
    </row>
    <row r="378" spans="1:44" x14ac:dyDescent="0.3">
      <c r="A378" s="5">
        <f t="shared" si="130"/>
        <v>43827</v>
      </c>
      <c r="B378" s="25">
        <v>195.84775209999086</v>
      </c>
      <c r="C378" s="25">
        <v>44.100428800001744</v>
      </c>
      <c r="D378" s="25">
        <v>23.48</v>
      </c>
      <c r="E378" s="6">
        <f t="shared" si="124"/>
        <v>263.42818089999258</v>
      </c>
      <c r="F378">
        <f t="shared" si="121"/>
        <v>0</v>
      </c>
      <c r="G378" s="5">
        <f t="shared" si="131"/>
        <v>44192</v>
      </c>
      <c r="H378" s="25">
        <v>182.21145569992066</v>
      </c>
      <c r="I378" s="25">
        <v>38.928142699994147</v>
      </c>
      <c r="J378" s="25">
        <v>18.806000000000001</v>
      </c>
      <c r="K378" s="6">
        <f t="shared" si="125"/>
        <v>239.94559839991481</v>
      </c>
      <c r="L378">
        <f t="shared" si="122"/>
        <v>0</v>
      </c>
      <c r="M378" s="5">
        <f t="shared" si="132"/>
        <v>44558</v>
      </c>
      <c r="N378" s="25">
        <v>234.90539630007743</v>
      </c>
      <c r="O378" s="25">
        <v>53.53865709999949</v>
      </c>
      <c r="P378" s="25">
        <v>22.415621899997234</v>
      </c>
      <c r="Q378" s="6">
        <f t="shared" si="123"/>
        <v>310.85967530007417</v>
      </c>
      <c r="R378">
        <f t="shared" si="116"/>
        <v>0</v>
      </c>
      <c r="S378" s="5">
        <f t="shared" si="133"/>
        <v>44923</v>
      </c>
      <c r="T378" s="25">
        <v>230.15652639997006</v>
      </c>
      <c r="U378" s="25">
        <v>59.753710700005293</v>
      </c>
      <c r="V378" s="25">
        <v>24.160804500000086</v>
      </c>
      <c r="W378" s="6">
        <f t="shared" si="126"/>
        <v>314.07104159997544</v>
      </c>
      <c r="X378">
        <f t="shared" si="117"/>
        <v>0</v>
      </c>
      <c r="Z378" s="5">
        <f t="shared" si="134"/>
        <v>44923</v>
      </c>
      <c r="AA378" s="25"/>
      <c r="AB378" s="25"/>
      <c r="AC378" s="25"/>
      <c r="AD378" s="6">
        <f t="shared" si="127"/>
        <v>0</v>
      </c>
      <c r="AE378">
        <f t="shared" si="118"/>
        <v>0</v>
      </c>
      <c r="AF378" s="5">
        <f t="shared" si="135"/>
        <v>45653</v>
      </c>
      <c r="AG378" s="25"/>
      <c r="AH378" s="25"/>
      <c r="AI378" s="25"/>
      <c r="AJ378" s="6">
        <f t="shared" si="128"/>
        <v>0</v>
      </c>
      <c r="AK378">
        <f t="shared" si="119"/>
        <v>0</v>
      </c>
      <c r="AL378" s="5">
        <f t="shared" si="136"/>
        <v>46019</v>
      </c>
      <c r="AM378" s="25"/>
      <c r="AN378" s="25"/>
      <c r="AO378" s="25"/>
      <c r="AP378" s="6">
        <f t="shared" si="129"/>
        <v>0</v>
      </c>
      <c r="AQ378">
        <f t="shared" si="120"/>
        <v>0</v>
      </c>
    </row>
    <row r="379" spans="1:44" x14ac:dyDescent="0.3">
      <c r="A379" s="5">
        <f t="shared" si="130"/>
        <v>43828</v>
      </c>
      <c r="B379" s="25">
        <v>186.97457179999353</v>
      </c>
      <c r="C379" s="25">
        <v>37.01502089999989</v>
      </c>
      <c r="D379" s="25">
        <v>16.675000000000001</v>
      </c>
      <c r="E379" s="6">
        <f t="shared" si="124"/>
        <v>240.66459269999342</v>
      </c>
      <c r="F379">
        <f t="shared" si="121"/>
        <v>0</v>
      </c>
      <c r="G379" s="5">
        <f t="shared" si="131"/>
        <v>44193</v>
      </c>
      <c r="H379" s="25">
        <v>211.45130540001392</v>
      </c>
      <c r="I379" s="25">
        <v>48.22415720000118</v>
      </c>
      <c r="J379" s="25">
        <v>25.1</v>
      </c>
      <c r="K379" s="6">
        <f t="shared" si="125"/>
        <v>284.77546260001515</v>
      </c>
      <c r="L379">
        <f t="shared" si="122"/>
        <v>0</v>
      </c>
      <c r="M379" s="5">
        <f t="shared" si="132"/>
        <v>44559</v>
      </c>
      <c r="N379" s="25">
        <v>212.77983910000324</v>
      </c>
      <c r="O379" s="25">
        <v>54.484365100003778</v>
      </c>
      <c r="P379" s="25">
        <v>22.453423899999937</v>
      </c>
      <c r="Q379" s="6">
        <f t="shared" si="123"/>
        <v>289.717628100007</v>
      </c>
      <c r="R379">
        <f t="shared" si="116"/>
        <v>0</v>
      </c>
      <c r="S379" s="5">
        <f t="shared" si="133"/>
        <v>44924</v>
      </c>
      <c r="T379" s="25">
        <v>196.92603610002993</v>
      </c>
      <c r="U379" s="25">
        <v>54.801504699990154</v>
      </c>
      <c r="V379" s="25">
        <v>24.078449399999808</v>
      </c>
      <c r="W379" s="6">
        <f t="shared" si="126"/>
        <v>275.80599020001989</v>
      </c>
      <c r="X379">
        <f t="shared" si="117"/>
        <v>0</v>
      </c>
      <c r="Z379" s="5">
        <f t="shared" si="134"/>
        <v>44924</v>
      </c>
      <c r="AA379" s="25"/>
      <c r="AB379" s="25"/>
      <c r="AC379" s="25"/>
      <c r="AD379" s="6">
        <f t="shared" si="127"/>
        <v>0</v>
      </c>
      <c r="AE379">
        <f t="shared" si="118"/>
        <v>0</v>
      </c>
      <c r="AF379" s="5">
        <f t="shared" si="135"/>
        <v>45654</v>
      </c>
      <c r="AG379" s="25"/>
      <c r="AH379" s="25"/>
      <c r="AI379" s="25"/>
      <c r="AJ379" s="6">
        <f t="shared" si="128"/>
        <v>0</v>
      </c>
      <c r="AK379">
        <f t="shared" si="119"/>
        <v>0</v>
      </c>
      <c r="AL379" s="5">
        <f t="shared" si="136"/>
        <v>46020</v>
      </c>
      <c r="AM379" s="25"/>
      <c r="AN379" s="25"/>
      <c r="AO379" s="25"/>
      <c r="AP379" s="6">
        <f t="shared" si="129"/>
        <v>0</v>
      </c>
      <c r="AQ379">
        <f t="shared" si="120"/>
        <v>0</v>
      </c>
    </row>
    <row r="380" spans="1:44" x14ac:dyDescent="0.3">
      <c r="A380" s="5">
        <f t="shared" si="130"/>
        <v>43829</v>
      </c>
      <c r="B380" s="25">
        <v>207.06488660001756</v>
      </c>
      <c r="C380" s="25">
        <v>44.796209599997852</v>
      </c>
      <c r="D380" s="25">
        <v>22.997</v>
      </c>
      <c r="E380" s="6">
        <f t="shared" si="124"/>
        <v>274.85809620001544</v>
      </c>
      <c r="F380">
        <f t="shared" si="121"/>
        <v>0</v>
      </c>
      <c r="G380" s="5">
        <f t="shared" si="131"/>
        <v>44194</v>
      </c>
      <c r="H380" s="25">
        <v>200.72604210007191</v>
      </c>
      <c r="I380" s="25">
        <v>47.60875290000439</v>
      </c>
      <c r="J380" s="25">
        <v>24.331</v>
      </c>
      <c r="K380" s="6">
        <f t="shared" si="125"/>
        <v>272.66579500007629</v>
      </c>
      <c r="L380">
        <f t="shared" si="122"/>
        <v>0</v>
      </c>
      <c r="M380" s="5">
        <f t="shared" si="132"/>
        <v>44560</v>
      </c>
      <c r="N380" s="25">
        <v>225.33648389995099</v>
      </c>
      <c r="O380" s="25">
        <v>52.743990899994969</v>
      </c>
      <c r="P380" s="25">
        <v>23.556000000000001</v>
      </c>
      <c r="Q380" s="6">
        <f t="shared" si="123"/>
        <v>301.63647479994592</v>
      </c>
      <c r="R380">
        <f t="shared" si="116"/>
        <v>0</v>
      </c>
      <c r="S380" s="5">
        <f t="shared" si="133"/>
        <v>44925</v>
      </c>
      <c r="T380" s="25">
        <v>189.36578780007363</v>
      </c>
      <c r="U380" s="25">
        <v>51.092288599997758</v>
      </c>
      <c r="V380" s="25">
        <v>20.727796800001524</v>
      </c>
      <c r="W380" s="6">
        <f t="shared" si="126"/>
        <v>261.18587320007288</v>
      </c>
      <c r="X380">
        <f t="shared" si="117"/>
        <v>0</v>
      </c>
      <c r="Z380" s="5">
        <f t="shared" si="134"/>
        <v>44925</v>
      </c>
      <c r="AA380" s="25"/>
      <c r="AB380" s="25"/>
      <c r="AC380" s="25"/>
      <c r="AD380" s="6">
        <f t="shared" si="127"/>
        <v>0</v>
      </c>
      <c r="AE380">
        <f t="shared" si="118"/>
        <v>0</v>
      </c>
      <c r="AF380" s="5">
        <f t="shared" si="135"/>
        <v>45655</v>
      </c>
      <c r="AG380" s="25"/>
      <c r="AH380" s="25"/>
      <c r="AI380" s="25"/>
      <c r="AJ380" s="6">
        <f t="shared" si="128"/>
        <v>0</v>
      </c>
      <c r="AK380">
        <f t="shared" si="119"/>
        <v>0</v>
      </c>
      <c r="AL380" s="5">
        <f t="shared" si="136"/>
        <v>46021</v>
      </c>
      <c r="AM380" s="25"/>
      <c r="AN380" s="25"/>
      <c r="AO380" s="25"/>
      <c r="AP380" s="6">
        <f t="shared" si="129"/>
        <v>0</v>
      </c>
      <c r="AQ380">
        <f t="shared" si="120"/>
        <v>0</v>
      </c>
    </row>
    <row r="381" spans="1:44" x14ac:dyDescent="0.3">
      <c r="A381" s="21">
        <f t="shared" si="130"/>
        <v>43830</v>
      </c>
      <c r="B381" s="25">
        <v>204.96717219996452</v>
      </c>
      <c r="C381" s="25">
        <v>42.394683499999346</v>
      </c>
      <c r="D381" s="25">
        <v>20.041</v>
      </c>
      <c r="E381" s="6">
        <f t="shared" si="124"/>
        <v>267.40285569996388</v>
      </c>
      <c r="F381">
        <f t="shared" si="121"/>
        <v>0</v>
      </c>
      <c r="G381" s="5">
        <f t="shared" si="131"/>
        <v>44195</v>
      </c>
      <c r="H381" s="25">
        <v>204.84052059996128</v>
      </c>
      <c r="I381" s="25">
        <v>49.765677799999715</v>
      </c>
      <c r="J381" s="25">
        <v>23.786000000000001</v>
      </c>
      <c r="K381" s="6">
        <f t="shared" si="125"/>
        <v>278.39219839996099</v>
      </c>
      <c r="L381">
        <f t="shared" si="122"/>
        <v>0</v>
      </c>
      <c r="M381" s="21">
        <f t="shared" si="132"/>
        <v>44561</v>
      </c>
      <c r="N381" s="25">
        <v>199.54575160002707</v>
      </c>
      <c r="O381" s="25">
        <v>51.66048640000075</v>
      </c>
      <c r="P381" s="25">
        <v>14.911</v>
      </c>
      <c r="Q381" s="6">
        <f t="shared" si="123"/>
        <v>266.11723800002784</v>
      </c>
      <c r="R381">
        <f t="shared" si="116"/>
        <v>0</v>
      </c>
      <c r="S381" s="21">
        <f t="shared" si="133"/>
        <v>44926</v>
      </c>
      <c r="T381" s="25">
        <v>195.90317399990559</v>
      </c>
      <c r="U381" s="25">
        <v>47.884429200008512</v>
      </c>
      <c r="V381" s="25">
        <v>16.85251470000064</v>
      </c>
      <c r="W381" s="6">
        <f t="shared" si="126"/>
        <v>260.64011789991474</v>
      </c>
      <c r="X381">
        <f t="shared" si="117"/>
        <v>0</v>
      </c>
      <c r="Z381" s="21">
        <f t="shared" si="134"/>
        <v>44926</v>
      </c>
      <c r="AA381" s="25"/>
      <c r="AB381" s="25"/>
      <c r="AC381" s="25"/>
      <c r="AD381" s="6">
        <f t="shared" si="127"/>
        <v>0</v>
      </c>
      <c r="AE381">
        <f t="shared" si="118"/>
        <v>0</v>
      </c>
      <c r="AF381" s="21">
        <f t="shared" si="135"/>
        <v>45656</v>
      </c>
      <c r="AG381" s="25"/>
      <c r="AH381" s="25"/>
      <c r="AI381" s="25"/>
      <c r="AJ381" s="6">
        <f t="shared" si="128"/>
        <v>0</v>
      </c>
      <c r="AK381">
        <f t="shared" si="119"/>
        <v>0</v>
      </c>
      <c r="AL381" s="21">
        <f t="shared" si="136"/>
        <v>46022</v>
      </c>
      <c r="AM381" s="25"/>
      <c r="AN381" s="25"/>
      <c r="AO381" s="25"/>
      <c r="AP381" s="6">
        <f t="shared" si="129"/>
        <v>0</v>
      </c>
      <c r="AQ381">
        <f t="shared" si="120"/>
        <v>0</v>
      </c>
    </row>
    <row r="382" spans="1:44" x14ac:dyDescent="0.3">
      <c r="G382" s="21">
        <f t="shared" si="131"/>
        <v>44196</v>
      </c>
      <c r="H382" s="25">
        <v>194.94885810005664</v>
      </c>
      <c r="I382" s="25">
        <v>45.00934519999474</v>
      </c>
      <c r="J382" s="25">
        <v>21.4239</v>
      </c>
      <c r="K382" s="6">
        <f t="shared" ref="K382" si="137">SUM(H382:J382)</f>
        <v>261.38210330005137</v>
      </c>
      <c r="L382">
        <f t="shared" ref="L382" si="138">IF(K382&gt;321500,1,0)</f>
        <v>0</v>
      </c>
      <c r="W382" s="6">
        <f t="shared" si="126"/>
        <v>0</v>
      </c>
      <c r="AD382" s="6">
        <f t="shared" si="127"/>
        <v>0</v>
      </c>
      <c r="AE382">
        <f t="shared" ref="AE382" si="139">IF(AD382&gt;321500,1,0)</f>
        <v>0</v>
      </c>
      <c r="AF382" s="21">
        <f t="shared" si="135"/>
        <v>45657</v>
      </c>
      <c r="AG382" s="25"/>
      <c r="AH382" s="25"/>
      <c r="AI382" s="25"/>
      <c r="AJ382" s="6">
        <f t="shared" ref="AJ382:AJ383" si="140">SUM(AG382:AI382)</f>
        <v>0</v>
      </c>
      <c r="AP382" s="6">
        <f t="shared" si="129"/>
        <v>0</v>
      </c>
      <c r="AQ382">
        <f t="shared" si="120"/>
        <v>0</v>
      </c>
    </row>
    <row r="383" spans="1:44" x14ac:dyDescent="0.3">
      <c r="AJ383" s="6">
        <f t="shared" si="140"/>
        <v>0</v>
      </c>
    </row>
    <row r="384" spans="1:44" x14ac:dyDescent="0.3">
      <c r="A384" s="100"/>
      <c r="E384" s="17"/>
      <c r="F384" s="14"/>
      <c r="G384" s="14"/>
      <c r="K384" s="17"/>
      <c r="L384" s="14"/>
      <c r="M384" s="14"/>
      <c r="Q384" s="17"/>
      <c r="R384" s="14"/>
      <c r="S384" s="14"/>
      <c r="W384" s="17"/>
      <c r="X384" s="14"/>
      <c r="Y384" s="32"/>
      <c r="Z384" s="14"/>
      <c r="AD384" s="17"/>
      <c r="AL384" s="14"/>
      <c r="AP384" s="17"/>
      <c r="AR384" s="14"/>
    </row>
    <row r="385" spans="1:44" x14ac:dyDescent="0.3">
      <c r="A385" s="16"/>
      <c r="B385" s="14"/>
      <c r="C385" s="14"/>
      <c r="D385" s="14"/>
      <c r="E385" s="27"/>
      <c r="F385" s="11"/>
      <c r="G385" s="16"/>
      <c r="H385" s="14"/>
      <c r="I385" s="14"/>
      <c r="J385" s="14"/>
      <c r="K385" s="27"/>
      <c r="L385" s="11"/>
      <c r="M385" s="16"/>
      <c r="N385" s="14"/>
      <c r="O385" s="14"/>
      <c r="P385" s="14"/>
      <c r="Q385" s="27"/>
      <c r="R385" s="11"/>
      <c r="S385" s="16"/>
      <c r="T385" s="14"/>
      <c r="U385" s="14"/>
      <c r="V385" s="14"/>
      <c r="W385" s="27"/>
      <c r="X385" s="11"/>
      <c r="Y385" s="50"/>
      <c r="Z385" s="16"/>
      <c r="AA385" s="14"/>
      <c r="AB385" s="14"/>
      <c r="AC385" s="14"/>
      <c r="AD385" s="27"/>
      <c r="AE385" s="14"/>
      <c r="AF385" s="14"/>
      <c r="AJ385" s="17"/>
      <c r="AK385" s="14"/>
      <c r="AL385" s="16"/>
      <c r="AM385" s="14"/>
      <c r="AN385" s="14"/>
      <c r="AO385" s="14"/>
      <c r="AP385" s="27"/>
      <c r="AQ385" s="14"/>
      <c r="AR385" s="11"/>
    </row>
    <row r="386" spans="1:44" x14ac:dyDescent="0.3">
      <c r="A386" s="16"/>
      <c r="B386" s="14"/>
      <c r="C386" s="14"/>
      <c r="D386" s="14"/>
      <c r="E386" s="27"/>
      <c r="F386" s="11"/>
      <c r="G386" s="16"/>
      <c r="H386" s="14"/>
      <c r="I386" s="14"/>
      <c r="J386" s="14"/>
      <c r="K386" s="27"/>
      <c r="L386" s="11"/>
      <c r="M386" s="16"/>
      <c r="N386" s="14"/>
      <c r="O386" s="14"/>
      <c r="P386" s="14"/>
      <c r="Q386" s="27"/>
      <c r="R386" s="11"/>
      <c r="S386" s="16"/>
      <c r="T386" s="14"/>
      <c r="U386" s="14"/>
      <c r="V386" s="14"/>
      <c r="W386" s="27"/>
      <c r="X386" s="11"/>
      <c r="Y386" s="50"/>
      <c r="Z386" s="16"/>
      <c r="AA386" s="14"/>
      <c r="AB386" s="14"/>
      <c r="AC386" s="14"/>
      <c r="AD386" s="27"/>
      <c r="AE386" s="11"/>
      <c r="AF386" s="16"/>
      <c r="AG386" s="14"/>
      <c r="AH386" s="14"/>
      <c r="AI386" s="14"/>
      <c r="AJ386" s="27"/>
      <c r="AK386" s="11"/>
      <c r="AL386" s="16"/>
      <c r="AM386" s="14"/>
      <c r="AN386" s="14"/>
      <c r="AO386" s="14"/>
      <c r="AP386" s="27"/>
      <c r="AQ386" s="11"/>
      <c r="AR386" s="11"/>
    </row>
    <row r="387" spans="1:44" x14ac:dyDescent="0.3">
      <c r="A387" s="16"/>
      <c r="B387" s="14"/>
      <c r="C387" s="14"/>
      <c r="D387" s="14"/>
      <c r="E387" s="27"/>
      <c r="F387" s="11"/>
      <c r="G387" s="16"/>
      <c r="H387" s="14"/>
      <c r="I387" s="14"/>
      <c r="J387" s="14"/>
      <c r="K387" s="27"/>
      <c r="L387" s="11"/>
      <c r="M387" s="16"/>
      <c r="N387" s="14"/>
      <c r="O387" s="14"/>
      <c r="P387" s="14"/>
      <c r="Q387" s="27"/>
      <c r="R387" s="11"/>
      <c r="S387" s="16"/>
      <c r="T387" s="14"/>
      <c r="U387" s="14"/>
      <c r="V387" s="14"/>
      <c r="W387" s="27"/>
      <c r="X387" s="11"/>
      <c r="Y387" s="50"/>
      <c r="Z387" s="16"/>
      <c r="AA387" s="14"/>
      <c r="AB387" s="14"/>
      <c r="AC387" s="14"/>
      <c r="AD387" s="27"/>
      <c r="AE387" s="11"/>
      <c r="AF387" s="16"/>
      <c r="AG387" s="14"/>
      <c r="AH387" s="14"/>
      <c r="AI387" s="14"/>
      <c r="AJ387" s="27"/>
      <c r="AK387" s="11"/>
      <c r="AL387" s="16"/>
      <c r="AM387" s="14"/>
      <c r="AN387" s="14"/>
      <c r="AO387" s="14"/>
      <c r="AP387" s="27"/>
      <c r="AQ387" s="11"/>
      <c r="AR387" s="11"/>
    </row>
    <row r="388" spans="1:44" x14ac:dyDescent="0.3">
      <c r="A388" s="16"/>
      <c r="B388" s="14"/>
      <c r="C388" s="14"/>
      <c r="D388" s="14"/>
      <c r="E388" s="27"/>
      <c r="F388" s="11"/>
      <c r="G388" s="16"/>
      <c r="H388" s="14"/>
      <c r="I388" s="14"/>
      <c r="J388" s="14"/>
      <c r="K388" s="27"/>
      <c r="L388" s="11"/>
      <c r="M388" s="16"/>
      <c r="N388" s="14"/>
      <c r="O388" s="14"/>
      <c r="P388" s="14"/>
      <c r="Q388" s="27"/>
      <c r="R388" s="11"/>
      <c r="S388" s="16"/>
      <c r="T388" s="14"/>
      <c r="U388" s="14"/>
      <c r="V388" s="14"/>
      <c r="W388" s="27"/>
      <c r="X388" s="11"/>
      <c r="Y388" s="50"/>
      <c r="Z388" s="16"/>
      <c r="AA388" s="14"/>
      <c r="AB388" s="14"/>
      <c r="AC388" s="14"/>
      <c r="AD388" s="27"/>
      <c r="AE388" s="11"/>
      <c r="AF388" s="16"/>
      <c r="AG388" s="14"/>
      <c r="AH388" s="14"/>
      <c r="AI388" s="14"/>
      <c r="AJ388" s="27"/>
      <c r="AK388" s="11"/>
      <c r="AL388" s="16"/>
      <c r="AM388" s="14"/>
      <c r="AN388" s="14"/>
      <c r="AO388" s="14"/>
      <c r="AP388" s="27"/>
      <c r="AQ388" s="11"/>
      <c r="AR388" s="11"/>
    </row>
    <row r="389" spans="1:44" x14ac:dyDescent="0.3">
      <c r="A389" s="16"/>
      <c r="B389" s="14"/>
      <c r="C389" s="14"/>
      <c r="D389" s="14"/>
      <c r="E389" s="27"/>
      <c r="F389" s="11"/>
      <c r="G389" s="16"/>
      <c r="H389" s="14"/>
      <c r="I389" s="14"/>
      <c r="J389" s="14"/>
      <c r="K389" s="27"/>
      <c r="L389" s="11"/>
      <c r="M389" s="16"/>
      <c r="N389" s="14"/>
      <c r="O389" s="14"/>
      <c r="P389" s="14"/>
      <c r="Q389" s="27"/>
      <c r="R389" s="11"/>
      <c r="S389" s="16"/>
      <c r="T389" s="14"/>
      <c r="U389" s="14"/>
      <c r="V389" s="14"/>
      <c r="W389" s="27"/>
      <c r="X389" s="11"/>
      <c r="Y389" s="50"/>
      <c r="Z389" s="16"/>
      <c r="AA389" s="14"/>
      <c r="AB389" s="14"/>
      <c r="AC389" s="14"/>
      <c r="AD389" s="27"/>
      <c r="AE389" s="11"/>
      <c r="AF389" s="16"/>
      <c r="AG389" s="14"/>
      <c r="AH389" s="14"/>
      <c r="AI389" s="14"/>
      <c r="AJ389" s="27"/>
      <c r="AK389" s="11"/>
      <c r="AL389" s="16"/>
      <c r="AM389" s="14"/>
      <c r="AN389" s="14"/>
      <c r="AO389" s="14"/>
      <c r="AP389" s="27"/>
      <c r="AQ389" s="11"/>
      <c r="AR389" s="11"/>
    </row>
    <row r="390" spans="1:44" x14ac:dyDescent="0.3">
      <c r="A390" s="16"/>
      <c r="B390" s="14"/>
      <c r="C390" s="14"/>
      <c r="D390" s="14"/>
      <c r="E390" s="27"/>
      <c r="F390" s="11"/>
      <c r="G390" s="16"/>
      <c r="H390" s="14"/>
      <c r="I390" s="14"/>
      <c r="J390" s="14"/>
      <c r="K390" s="27"/>
      <c r="L390" s="11"/>
      <c r="M390" s="16"/>
      <c r="N390" s="14"/>
      <c r="O390" s="14"/>
      <c r="P390" s="14"/>
      <c r="Q390" s="27"/>
      <c r="R390" s="11"/>
      <c r="S390" s="16"/>
      <c r="T390" s="14"/>
      <c r="U390" s="14"/>
      <c r="V390" s="14"/>
      <c r="W390" s="27"/>
      <c r="X390" s="11"/>
      <c r="Y390" s="50"/>
      <c r="Z390" s="16"/>
      <c r="AA390" s="14"/>
      <c r="AB390" s="14"/>
      <c r="AC390" s="14"/>
      <c r="AD390" s="27"/>
      <c r="AE390" s="11"/>
      <c r="AF390" s="16"/>
      <c r="AG390" s="14"/>
      <c r="AH390" s="14"/>
      <c r="AI390" s="14"/>
      <c r="AJ390" s="27"/>
      <c r="AK390" s="11"/>
      <c r="AL390" s="16"/>
      <c r="AM390" s="14"/>
      <c r="AN390" s="14"/>
      <c r="AO390" s="14"/>
      <c r="AP390" s="27"/>
      <c r="AQ390" s="11"/>
      <c r="AR390" s="11"/>
    </row>
    <row r="391" spans="1:44" x14ac:dyDescent="0.3">
      <c r="A391" s="16"/>
      <c r="B391" s="14"/>
      <c r="C391" s="14"/>
      <c r="D391" s="14"/>
      <c r="E391" s="27"/>
      <c r="F391" s="11"/>
      <c r="G391" s="16"/>
      <c r="H391" s="14"/>
      <c r="I391" s="14"/>
      <c r="J391" s="14"/>
      <c r="K391" s="27"/>
      <c r="L391" s="11"/>
      <c r="M391" s="16"/>
      <c r="N391" s="14"/>
      <c r="O391" s="14"/>
      <c r="P391" s="14"/>
      <c r="Q391" s="27"/>
      <c r="R391" s="11"/>
      <c r="S391" s="16"/>
      <c r="T391" s="14"/>
      <c r="U391" s="14"/>
      <c r="V391" s="14"/>
      <c r="W391" s="27"/>
      <c r="X391" s="11"/>
      <c r="Y391" s="50"/>
      <c r="Z391" s="16"/>
      <c r="AA391" s="14"/>
      <c r="AB391" s="14"/>
      <c r="AC391" s="14"/>
      <c r="AD391" s="27"/>
      <c r="AE391" s="11"/>
      <c r="AF391" s="16"/>
      <c r="AG391" s="14"/>
      <c r="AH391" s="14"/>
      <c r="AI391" s="14"/>
      <c r="AJ391" s="27"/>
      <c r="AK391" s="11"/>
      <c r="AL391" s="16"/>
      <c r="AM391" s="14"/>
      <c r="AN391" s="14"/>
      <c r="AO391" s="14"/>
      <c r="AP391" s="27"/>
      <c r="AQ391" s="11"/>
      <c r="AR391" s="11"/>
    </row>
  </sheetData>
  <mergeCells count="37">
    <mergeCell ref="AJ15:AJ16"/>
    <mergeCell ref="AL14:AP14"/>
    <mergeCell ref="AL15:AL16"/>
    <mergeCell ref="AM15:AM16"/>
    <mergeCell ref="AO15:AO16"/>
    <mergeCell ref="AP15:AP16"/>
    <mergeCell ref="AG18:AJ18"/>
    <mergeCell ref="AM18:AP18"/>
    <mergeCell ref="S14:W14"/>
    <mergeCell ref="S15:S16"/>
    <mergeCell ref="T15:T16"/>
    <mergeCell ref="V15:V16"/>
    <mergeCell ref="W15:W16"/>
    <mergeCell ref="Z14:AD14"/>
    <mergeCell ref="Z15:Z16"/>
    <mergeCell ref="AA15:AA16"/>
    <mergeCell ref="AC15:AC16"/>
    <mergeCell ref="AD15:AD16"/>
    <mergeCell ref="AF14:AJ14"/>
    <mergeCell ref="AF15:AF16"/>
    <mergeCell ref="AG15:AG16"/>
    <mergeCell ref="AI15:AI16"/>
    <mergeCell ref="A14:E14"/>
    <mergeCell ref="A15:A16"/>
    <mergeCell ref="B15:B16"/>
    <mergeCell ref="D15:D16"/>
    <mergeCell ref="E15:E16"/>
    <mergeCell ref="G14:K14"/>
    <mergeCell ref="G15:G16"/>
    <mergeCell ref="H15:H16"/>
    <mergeCell ref="J15:J16"/>
    <mergeCell ref="K15:K16"/>
    <mergeCell ref="M14:Q14"/>
    <mergeCell ref="M15:M16"/>
    <mergeCell ref="N15:N16"/>
    <mergeCell ref="P15:P16"/>
    <mergeCell ref="Q15:Q16"/>
  </mergeCells>
  <phoneticPr fontId="13" type="noConversion"/>
  <conditionalFormatting sqref="B17:B381">
    <cfRule type="cellIs" dxfId="44" priority="64" operator="greaterThan">
      <formula>303</formula>
    </cfRule>
    <cfRule type="cellIs" dxfId="43" priority="65" operator="greaterThan">
      <formula>304</formula>
    </cfRule>
  </conditionalFormatting>
  <conditionalFormatting sqref="C17:C381">
    <cfRule type="cellIs" dxfId="42" priority="62" operator="greaterThan">
      <formula>41.1</formula>
    </cfRule>
  </conditionalFormatting>
  <conditionalFormatting sqref="D17:D381">
    <cfRule type="cellIs" dxfId="41" priority="63" operator="greaterThan">
      <formula>28</formula>
    </cfRule>
  </conditionalFormatting>
  <conditionalFormatting sqref="E17:E381">
    <cfRule type="cellIs" dxfId="40" priority="66" operator="greaterThan">
      <formula>309</formula>
    </cfRule>
  </conditionalFormatting>
  <conditionalFormatting sqref="H17:H382">
    <cfRule type="cellIs" dxfId="39" priority="50" operator="greaterThan">
      <formula>304</formula>
    </cfRule>
    <cfRule type="cellIs" dxfId="38" priority="49" operator="greaterThan">
      <formula>303</formula>
    </cfRule>
  </conditionalFormatting>
  <conditionalFormatting sqref="I17:I382">
    <cfRule type="cellIs" dxfId="37" priority="51" operator="greaterThan">
      <formula>41.1</formula>
    </cfRule>
  </conditionalFormatting>
  <conditionalFormatting sqref="J17:J382">
    <cfRule type="cellIs" dxfId="36" priority="58" operator="greaterThan">
      <formula>28</formula>
    </cfRule>
  </conditionalFormatting>
  <conditionalFormatting sqref="K17:K382">
    <cfRule type="cellIs" dxfId="35" priority="61" operator="greaterThan">
      <formula>309</formula>
    </cfRule>
  </conditionalFormatting>
  <conditionalFormatting sqref="N17:N106">
    <cfRule type="cellIs" dxfId="34" priority="80" operator="greaterThan">
      <formula>304</formula>
    </cfRule>
    <cfRule type="cellIs" dxfId="33" priority="79" operator="greaterThan">
      <formula>303</formula>
    </cfRule>
  </conditionalFormatting>
  <conditionalFormatting sqref="N108:N381">
    <cfRule type="cellIs" dxfId="32" priority="42" operator="greaterThan">
      <formula>304</formula>
    </cfRule>
    <cfRule type="cellIs" dxfId="31" priority="41" operator="greaterThan">
      <formula>303</formula>
    </cfRule>
  </conditionalFormatting>
  <conditionalFormatting sqref="O17:O381">
    <cfRule type="cellIs" dxfId="30" priority="43" operator="greaterThan">
      <formula>41.1</formula>
    </cfRule>
  </conditionalFormatting>
  <conditionalFormatting sqref="P17:P381">
    <cfRule type="cellIs" dxfId="29" priority="73" operator="greaterThan">
      <formula>28</formula>
    </cfRule>
  </conditionalFormatting>
  <conditionalFormatting sqref="Q17:Q381">
    <cfRule type="cellIs" dxfId="28" priority="90" operator="greaterThan">
      <formula>309</formula>
    </cfRule>
  </conditionalFormatting>
  <conditionalFormatting sqref="T17:T106">
    <cfRule type="cellIs" dxfId="27" priority="39" operator="greaterThan">
      <formula>304</formula>
    </cfRule>
    <cfRule type="cellIs" dxfId="26" priority="38" operator="greaterThan">
      <formula>303</formula>
    </cfRule>
  </conditionalFormatting>
  <conditionalFormatting sqref="T108:T381">
    <cfRule type="cellIs" dxfId="25" priority="31" operator="greaterThan">
      <formula>304</formula>
    </cfRule>
    <cfRule type="cellIs" dxfId="24" priority="30" operator="greaterThan">
      <formula>303</formula>
    </cfRule>
  </conditionalFormatting>
  <conditionalFormatting sqref="U17:U381">
    <cfRule type="cellIs" dxfId="23" priority="32" operator="greaterThan">
      <formula>41.1</formula>
    </cfRule>
  </conditionalFormatting>
  <conditionalFormatting sqref="V17:V381">
    <cfRule type="cellIs" dxfId="22" priority="37" operator="greaterThan">
      <formula>28</formula>
    </cfRule>
  </conditionalFormatting>
  <conditionalFormatting sqref="W17:W382">
    <cfRule type="cellIs" dxfId="21" priority="29" operator="greaterThan">
      <formula>309</formula>
    </cfRule>
  </conditionalFormatting>
  <conditionalFormatting sqref="AA17:AA106">
    <cfRule type="cellIs" dxfId="20" priority="28" operator="greaterThan">
      <formula>304</formula>
    </cfRule>
    <cfRule type="cellIs" dxfId="19" priority="27" operator="greaterThan">
      <formula>303</formula>
    </cfRule>
  </conditionalFormatting>
  <conditionalFormatting sqref="AA108:AA381">
    <cfRule type="cellIs" dxfId="18" priority="20" operator="greaterThan">
      <formula>304</formula>
    </cfRule>
    <cfRule type="cellIs" dxfId="17" priority="19" operator="greaterThan">
      <formula>303</formula>
    </cfRule>
  </conditionalFormatting>
  <conditionalFormatting sqref="AB17:AB381">
    <cfRule type="cellIs" dxfId="16" priority="21" operator="greaterThan">
      <formula>41.1</formula>
    </cfRule>
  </conditionalFormatting>
  <conditionalFormatting sqref="AC17:AC381">
    <cfRule type="cellIs" dxfId="15" priority="26" operator="greaterThan">
      <formula>28</formula>
    </cfRule>
  </conditionalFormatting>
  <conditionalFormatting sqref="AD17:AD382">
    <cfRule type="cellIs" dxfId="14" priority="18" operator="greaterThan">
      <formula>309</formula>
    </cfRule>
  </conditionalFormatting>
  <conditionalFormatting sqref="AG17:AG106">
    <cfRule type="cellIs" dxfId="13" priority="17" operator="greaterThan">
      <formula>304</formula>
    </cfRule>
    <cfRule type="cellIs" dxfId="12" priority="16" operator="greaterThan">
      <formula>303</formula>
    </cfRule>
  </conditionalFormatting>
  <conditionalFormatting sqref="AG108:AG382">
    <cfRule type="cellIs" dxfId="11" priority="13" operator="greaterThan">
      <formula>304</formula>
    </cfRule>
    <cfRule type="cellIs" dxfId="10" priority="12" operator="greaterThan">
      <formula>303</formula>
    </cfRule>
  </conditionalFormatting>
  <conditionalFormatting sqref="AH17 AH19:AH382">
    <cfRule type="cellIs" dxfId="9" priority="14" operator="greaterThan">
      <formula>41.1</formula>
    </cfRule>
  </conditionalFormatting>
  <conditionalFormatting sqref="AI17 AI19:AI382">
    <cfRule type="cellIs" dxfId="8" priority="15" operator="greaterThan">
      <formula>28</formula>
    </cfRule>
  </conditionalFormatting>
  <conditionalFormatting sqref="AJ17 AJ19:AJ383">
    <cfRule type="cellIs" dxfId="7" priority="10" operator="greaterThan">
      <formula>309</formula>
    </cfRule>
  </conditionalFormatting>
  <conditionalFormatting sqref="AM17:AM106">
    <cfRule type="cellIs" dxfId="6" priority="1" operator="greaterThan">
      <formula>303</formula>
    </cfRule>
    <cfRule type="cellIs" dxfId="5" priority="2" operator="greaterThan">
      <formula>304</formula>
    </cfRule>
  </conditionalFormatting>
  <conditionalFormatting sqref="AM108:AM381">
    <cfRule type="cellIs" dxfId="4" priority="5" operator="greaterThan">
      <formula>304</formula>
    </cfRule>
    <cfRule type="cellIs" dxfId="3" priority="4" operator="greaterThan">
      <formula>303</formula>
    </cfRule>
  </conditionalFormatting>
  <conditionalFormatting sqref="AN17 AN19:AN381">
    <cfRule type="cellIs" dxfId="2" priority="6" operator="greaterThan">
      <formula>41.1</formula>
    </cfRule>
  </conditionalFormatting>
  <conditionalFormatting sqref="AO17 AO19:AO381">
    <cfRule type="cellIs" dxfId="1" priority="7" operator="greaterThan">
      <formula>28</formula>
    </cfRule>
  </conditionalFormatting>
  <conditionalFormatting sqref="AP17 AP19:AP382">
    <cfRule type="cellIs" dxfId="0" priority="3" operator="greaterThan">
      <formula>309</formula>
    </cfRule>
  </conditionalFormatting>
  <pageMargins left="0.70000000000000007" right="0.70000000000000007" top="0.75000000000000011" bottom="0.75000000000000011" header="0.30000000000000004" footer="0.30000000000000004"/>
  <pageSetup scale="17" fitToHeight="3" orientation="landscape" r:id="rId1"/>
  <extLst>
    <ext xmlns:mx="http://schemas.microsoft.com/office/mac/excel/2008/main" uri="{64002731-A6B0-56B0-2670-7721B7C09600}">
      <mx:PLV Mode="0" OnePage="0" WScale="10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562838-09de-4b65-939a-432777c5c6ca">
      <Value>4</Value>
      <Value>3</Value>
      <Value>2</Value>
      <Value>1</Value>
    </TaxCatchAll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Props1.xml><?xml version="1.0" encoding="utf-8"?>
<ds:datastoreItem xmlns:ds="http://schemas.openxmlformats.org/officeDocument/2006/customXml" ds:itemID="{82AD1678-2845-45A0-BB85-47F59F2B0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C3EC0-A82C-4CB1-996C-07B23A2E0BB9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23ef702a-2cb7-441f-b5a2-23a70e078abd"/>
    <ds:schemaRef ds:uri="http://schemas.microsoft.com/office/2006/metadata/properties"/>
    <ds:schemaRef ds:uri="38eed7cd-6800-47a8-88c3-3b47dd90e5f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7EAAF36-6EC7-4110-8A1F-9CE7CB3BA7AF}"/>
</file>

<file path=customXml/itemProps4.xml><?xml version="1.0" encoding="utf-8"?>
<ds:datastoreItem xmlns:ds="http://schemas.openxmlformats.org/officeDocument/2006/customXml" ds:itemID="{648737B4-6295-4100-B180-1E5BAEA86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GMAG </vt:lpstr>
      <vt:lpstr>TOTAL EDELMAG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Huepe Sergio (GMAG)</dc:creator>
  <cp:lastModifiedBy>Martin Reyes Pedro (GMAG)</cp:lastModifiedBy>
  <cp:lastPrinted>2018-02-06T12:52:51Z</cp:lastPrinted>
  <dcterms:created xsi:type="dcterms:W3CDTF">2012-05-22T20:24:22Z</dcterms:created>
  <dcterms:modified xsi:type="dcterms:W3CDTF">2026-03-05T18:16:54Z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